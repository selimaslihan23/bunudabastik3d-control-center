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f46149d84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2095112f324a3e"/>
    <x:sheet xmlns:r="http://schemas.openxmlformats.org/officeDocument/2006/relationships" name="Ayarlar" sheetId="2" r:id="R59b4b5c2b16b420b"/>
    <x:sheet xmlns:r="http://schemas.openxmlformats.org/officeDocument/2006/relationships" name="Katalog_Fiyatlayici" sheetId="3" r:id="R5692294660bb4c74"/>
    <x:sheet xmlns:r="http://schemas.openxmlformats.org/officeDocument/2006/relationships" name="MakerWorld_Verileri" sheetId="4" r:id="R3c927cd8c9e947de"/>
    <x:sheet xmlns:r="http://schemas.openxmlformats.org/officeDocument/2006/relationships" name="Odoo_Export" sheetId="5" r:id="R065bff9d7bf145b7"/>
    <x:sheet xmlns:r="http://schemas.openxmlformats.org/officeDocument/2006/relationships" name="Otomatik_Veri_Rehberi" sheetId="6" r:id="R5419bb4885a049a3"/>
    <x:sheet xmlns:r="http://schemas.openxmlformats.org/officeDocument/2006/relationships" name="Veri_Listeleri" sheetId="7" r:id="R7460523e06d14ef9"/>
    <x:sheet xmlns:r="http://schemas.openxmlformats.org/officeDocument/2006/relationships" name="Kaynaklar" sheetId="8" r:id="Rdd7cea11d2ff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₺#,##0"/>
    <x:numFmt numFmtId="202" formatCode="₺#,##0.00"/>
    <x:numFmt numFmtId="203" formatCode="0.0x"/>
    <x:numFmt numFmtId="204" formatCode="0"/>
    <x:numFmt numFmtId="205" formatCode="yyyy-mm-dd"/>
  </x:numFmts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111827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4C1D95"/>
      <x:name val="Carlito"/>
    </x:font>
    <x:font>
      <x:sz val="9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4C1D95"/>
      </x:patternFill>
    </x:fill>
    <x:fill>
      <x:patternFill patternType="solid">
        <x:fgColor rgb="EDE9FE"/>
      </x:patternFill>
    </x:fill>
    <x:fill>
      <x:patternFill patternType="solid">
        <x:fgColor rgb="6D28D9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0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f259ffdc84191" /><Relationship Type="http://schemas.openxmlformats.org/officeDocument/2006/relationships/theme" Target="/xl/theme/theme1.xml" Id="R6125952988eb4a7a" /><Relationship Type="http://schemas.openxmlformats.org/officeDocument/2006/relationships/sharedStrings" Target="/xl/sharedStrings.xml" Id="Ra61826f4c21b4161" /><Relationship Type="http://schemas.openxmlformats.org/officeDocument/2006/relationships/worksheet" Target="/xl/worksheets/sheet1.xml" Id="R402095112f324a3e" /><Relationship Type="http://schemas.openxmlformats.org/officeDocument/2006/relationships/worksheet" Target="/xl/worksheets/sheet2.xml" Id="R59b4b5c2b16b420b" /><Relationship Type="http://schemas.openxmlformats.org/officeDocument/2006/relationships/worksheet" Target="/xl/worksheets/sheet3.xml" Id="R5692294660bb4c74" /><Relationship Type="http://schemas.openxmlformats.org/officeDocument/2006/relationships/worksheet" Target="/xl/worksheets/sheet4.xml" Id="R3c927cd8c9e947de" /><Relationship Type="http://schemas.openxmlformats.org/officeDocument/2006/relationships/worksheet" Target="/xl/worksheets/sheet5.xml" Id="R065bff9d7bf145b7" /><Relationship Type="http://schemas.openxmlformats.org/officeDocument/2006/relationships/worksheet" Target="/xl/worksheets/sheet6.xml" Id="R5419bb4885a049a3" /><Relationship Type="http://schemas.openxmlformats.org/officeDocument/2006/relationships/worksheet" Target="/xl/worksheets/sheet7.xml" Id="R7460523e06d14ef9" /><Relationship Type="http://schemas.openxmlformats.org/officeDocument/2006/relationships/worksheet" Target="/xl/worksheets/sheet8.xml" Id="Rdd7cea11d2ff45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59cc98b6aa41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Malzeme Bazlı Katalog Adedi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Adet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'Dashboard'!$F$5:$F$14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9cc98b6aa41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lzemeAyarTable" displayName="MalzemeAyarTable" ref="A18:F28" headerRowCount="1">
  <x:tableColumns count="6">
    <x:tableColumn id="1" name="Malzeme"/>
    <x:tableColumn id="2" name="Kg Alış TL"/>
    <x:tableColumn id="3" name="Gram Maliyet TL"/>
    <x:tableColumn id="4" name="Fiyat Çarpanı"/>
    <x:tableColumn id="5" name="Kullanım"/>
    <x:tableColumn id="6" name="Not"/>
  </x:tableColumns>
  <x:tableStyleInfo name="TableStyleMedium2" showRowStripes="1"/>
</x:table>
</file>

<file path=xl/tables/table2.xml><?xml version="1.0" encoding="utf-8"?>
<x:table xmlns:x="http://schemas.openxmlformats.org/spreadsheetml/2006/main" id="3" name="KatalogFiyatTable" displayName="KatalogFiyatTable" ref="A4:AG504" headerRowCount="1">
  <x:tableColumns count="33">
    <x:tableColumn id="1" name="No"/>
    <x:tableColumn id="2" name="MakerWorld Link"/>
    <x:tableColumn id="3" name="Model ID"/>
    <x:tableColumn id="4" name="Model Adı"/>
    <x:tableColumn id="5" name="Print Profile"/>
    <x:tableColumn id="6" name="Lisans/Kullanım Notu"/>
    <x:tableColumn id="7" name="Malzeme"/>
    <x:tableColumn id="8" name="Adet"/>
    <x:tableColumn id="9" name="Auto Gram"/>
    <x:tableColumn id="10" name="Manuel Gram"/>
    <x:tableColumn id="11" name="Kullanılacak Gram"/>
    <x:tableColumn id="12" name="Auto Süre dk"/>
    <x:tableColumn id="13" name="Manuel Süre dk"/>
    <x:tableColumn id="14" name="Kullanılacak Süre dk"/>
    <x:tableColumn id="15" name="Destek/Purge Gram"/>
    <x:tableColumn id="16" name="Zorluk"/>
    <x:tableColumn id="17" name="Son İşlem dk"/>
    <x:tableColumn id="18" name="Paketleme TL"/>
    <x:tableColumn id="19" name="Diğer Maliyet TL"/>
    <x:tableColumn id="20" name="Filament Maliyeti TL"/>
    <x:tableColumn id="21" name="Makine Maliyeti TL"/>
    <x:tableColumn id="22" name="İşçilik TL"/>
    <x:tableColumn id="23" name="Ara Toplam TL"/>
    <x:tableColumn id="24" name="Komisyon TL"/>
    <x:tableColumn id="25" name="Kâr TL"/>
    <x:tableColumn id="26" name="KDV TL"/>
    <x:tableColumn id="27" name="Tahmini Satış TL"/>
    <x:tableColumn id="28" name="Birim Fiyat TL"/>
    <x:tableColumn id="29" name="Durum"/>
    <x:tableColumn id="30" name="Odoo SKU"/>
    <x:tableColumn id="31" name="Odoo Kategori"/>
    <x:tableColumn id="32" name="Odoo Ürün Adı"/>
    <x:tableColumn id="33" name="Notlar"/>
  </x:tableColumns>
  <x:tableStyleInfo name="TableStyleMedium2" showRowStripes="1"/>
</x:table>
</file>

<file path=xl/tables/table3.xml><?xml version="1.0" encoding="utf-8"?>
<x:table xmlns:x="http://schemas.openxmlformats.org/spreadsheetml/2006/main" id="2" name="MakerWorldDataTable" displayName="MakerWorldDataTable" ref="A4:I504" headerRowCount="1">
  <x:tableColumns count="9">
    <x:tableColumn id="1" name="Model ID"/>
    <x:tableColumn id="2" name="Model Adı"/>
    <x:tableColumn id="3" name="Print Profile"/>
    <x:tableColumn id="4" name="Auto Gram"/>
    <x:tableColumn id="5" name="Auto Süre dk"/>
    <x:tableColumn id="6" name="Kaynak Link"/>
    <x:tableColumn id="7" name="Veri Kaynağı"/>
    <x:tableColumn id="8" name="Son Kontrol"/>
    <x:tableColumn id="9" name="Not"/>
  </x:tableColumns>
  <x:tableStyleInfo name="TableStyleMedium2" showRowStripes="1"/>
</x:table>
</file>

<file path=xl/tables/table4.xml><?xml version="1.0" encoding="utf-8"?>
<x:table xmlns:x="http://schemas.openxmlformats.org/spreadsheetml/2006/main" id="4" name="OdooExportTable" displayName="OdooExportTable" ref="A4:L504" headerRowCount="1">
  <x:tableColumns count="12">
    <x:tableColumn id="1" name="External ID"/>
    <x:tableColumn id="2" name="Name"/>
    <x:tableColumn id="3" name="Sales Price"/>
    <x:tableColumn id="4" name="Cost"/>
    <x:tableColumn id="5" name="Product Type"/>
    <x:tableColumn id="6" name="Category"/>
    <x:tableColumn id="7" name="SKU"/>
    <x:tableColumn id="8" name="Website URL"/>
    <x:tableColumn id="9" name="Sales Description"/>
    <x:tableColumn id="10" name="Can be Sold"/>
    <x:tableColumn id="11" name="Can be Purchased"/>
    <x:tableColumn id="12" name="U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29242a27dd49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de487ed79c4b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5ba35af52a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3f09aafae344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65205dacdc4e32" /></Relationships>
</file>

<file path=xl/worksheets/sheet1.xml><?xml version="1.0" encoding="utf-8"?>
<x:worksheet xmlns:x="http://schemas.openxmlformats.org/spreadsheetml/2006/main">
  <x:sheetFormatPr defaultRowHeight="15"/>
  <x:cols>
    <x:col min="1" max="1" width="55.18000030517578" hidden="0" customWidth="1"/>
    <x:col min="2" max="2" width="18" hidden="0" customWidth="1"/>
    <x:col min="3" max="3" width="38" hidden="0" customWidth="1"/>
    <x:col min="5" max="5" width="9.829999923706055" hidden="0" customWidth="1"/>
    <x:col min="6" max="6" width="16" hidden="0" customWidth="1"/>
    <x:col min="7" max="7" width="16" hidden="0" customWidth="1"/>
  </x:cols>
  <x:sheetData>
    <x:row r="1" ht="30" customHeight="1">
      <x:c r="A1" s="5" t="str">
        <x:v>BunuDaBastık3D - Katalog Kokpiti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MakerWorld linklerinden tahmini fiyat, katalog ve Odoo export takibi.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KPI</x:v>
      </x:c>
      <x:c r="B4" s="24" t="str">
        <x:v>Değer</x:v>
      </x:c>
      <x:c r="C4" s="24" t="str">
        <x:v>Açıklama</x:v>
      </x:c>
      <x:c r="D4" s="64"/>
      <x:c r="E4" s="24" t="str">
        <x:v>Malzeme</x:v>
      </x:c>
      <x:c r="F4" s="24" t="str">
        <x:v>Adet</x:v>
      </x:c>
      <x:c r="G4" s="24" t="str">
        <x:v>Ortalama Fiyat</x:v>
      </x:c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65" t="str">
        <x:v>Toplam Link</x:v>
      </x:c>
      <x:c r="B5" s="66" t="n">
        <x:f>COUNTA(Katalog_Fiyatlayici!$B$5:$B$504)</x:f>
        <x:v>500</x:v>
      </x:c>
      <x:c r="C5" s="64" t="str">
        <x:v>Katalogda girili link sayısı</x:v>
      </x:c>
      <x:c r="D5" s="64"/>
      <x:c r="E5" s="64" t="str">
        <x:v>PLA</x:v>
      </x:c>
      <x:c r="F5" s="64" t="n">
        <x:f>COUNTIF(Katalog_Fiyatlayici!$G$5:$G$504,"PLA")</x:f>
        <x:v>0</x:v>
      </x:c>
      <x:c r="G5" s="67" t="n">
        <x:f>IFERROR(AVERAGEIFS(Katalog_Fiyatlayici!$AA$5:$AA$504,Katalog_Fiyatlayici!$G$5:$G$504,"PLA",Katalog_Fiyatlayici!$AA$5:$AA$504,"&gt;0"),0)</x:f>
        <x:v>0</x:v>
      </x:c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65" t="str">
        <x:v>Fiyat Hazır</x:v>
      </x:c>
      <x:c r="B6" s="66" t="n">
        <x:f>COUNTIF(Katalog_Fiyatlayici!$AC$5:$AC$504,"Fiyat Hazır")</x:f>
        <x:v>0</x:v>
      </x:c>
      <x:c r="C6" s="64" t="str">
        <x:v>Gramaj ve süre ile hesaplananlar</x:v>
      </x:c>
      <x:c r="D6" s="64"/>
      <x:c r="E6" s="64" t="str">
        <x:v>PETG</x:v>
      </x:c>
      <x:c r="F6" s="64" t="n">
        <x:f>COUNTIF(Katalog_Fiyatlayici!$G$5:$G$504,"PETG")</x:f>
        <x:v>0</x:v>
      </x:c>
      <x:c r="G6" s="67" t="n">
        <x:f>IFERROR(AVERAGEIFS(Katalog_Fiyatlayici!$AA$5:$AA$504,Katalog_Fiyatlayici!$G$5:$G$504,"PETG",Katalog_Fiyatlayici!$AA$5:$AA$504,"&gt;0"),0)</x:f>
        <x:v>0</x:v>
      </x:c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65" t="str">
        <x:v>Veri Eksik</x:v>
      </x:c>
      <x:c r="B7" s="66" t="n">
        <x:f>COUNTIF(Katalog_Fiyatlayici!$AC$5:$AC$504,"Veri Eksik")</x:f>
        <x:v>0</x:v>
      </x:c>
      <x:c r="C7" s="64" t="str">
        <x:v>Gramaj/süre bekleyenler</x:v>
      </x:c>
      <x:c r="D7" s="64"/>
      <x:c r="E7" s="64" t="str">
        <x:v>ABS</x:v>
      </x:c>
      <x:c r="F7" s="64" t="n">
        <x:f>COUNTIF(Katalog_Fiyatlayici!$G$5:$G$504,"ABS")</x:f>
        <x:v>0</x:v>
      </x:c>
      <x:c r="G7" s="67" t="n">
        <x:f>IFERROR(AVERAGEIFS(Katalog_Fiyatlayici!$AA$5:$AA$504,Katalog_Fiyatlayici!$G$5:$G$504,"ABS",Katalog_Fiyatlayici!$AA$5:$AA$504,"&gt;0"),0)</x:f>
        <x:v>0</x:v>
      </x:c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65" t="str">
        <x:v>Ortalama Fiyat</x:v>
      </x:c>
      <x:c r="B8" s="67" t="n">
        <x:f>IFERROR(AVERAGEIF(Katalog_Fiyatlayici!$AA$5:$AA$504,"&gt;0"),0)</x:f>
        <x:v>0</x:v>
      </x:c>
      <x:c r="C8" s="64" t="str">
        <x:v>Tahmini satış fiyatı ortalaması</x:v>
      </x:c>
      <x:c r="D8" s="64"/>
      <x:c r="E8" s="64" t="str">
        <x:v>ASA</x:v>
      </x:c>
      <x:c r="F8" s="64" t="n">
        <x:f>COUNTIF(Katalog_Fiyatlayici!$G$5:$G$504,"ASA")</x:f>
        <x:v>0</x:v>
      </x:c>
      <x:c r="G8" s="67" t="n">
        <x:f>IFERROR(AVERAGEIFS(Katalog_Fiyatlayici!$AA$5:$AA$504,Katalog_Fiyatlayici!$G$5:$G$504,"ASA",Katalog_Fiyatlayici!$AA$5:$AA$504,"&gt;0"),0)</x:f>
        <x:v>0</x:v>
      </x:c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65" t="str">
        <x:v>Toplam Katalog Cirosu</x:v>
      </x:c>
      <x:c r="B9" s="67" t="n">
        <x:f>SUM(Katalog_Fiyatlayici!$AA$5:$AA$504)</x:f>
        <x:v>0</x:v>
      </x:c>
      <x:c r="C9" s="64" t="str">
        <x:v>Tüm hazır fiyatların toplamı</x:v>
      </x:c>
      <x:c r="D9" s="64"/>
      <x:c r="E9" s="64" t="str">
        <x:v>TPU 95A</x:v>
      </x:c>
      <x:c r="F9" s="64" t="n">
        <x:f>COUNTIF(Katalog_Fiyatlayici!$G$5:$G$504,"TPU 95A")</x:f>
        <x:v>0</x:v>
      </x:c>
      <x:c r="G9" s="67" t="n">
        <x:f>IFERROR(AVERAGEIFS(Katalog_Fiyatlayici!$AA$5:$AA$504,Katalog_Fiyatlayici!$G$5:$G$504,"TPU 95A",Katalog_Fiyatlayici!$AA$5:$AA$504,"&gt;0"),0)</x:f>
        <x:v>0</x:v>
      </x:c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65" t="str">
        <x:v>Odoo Aktarılabilir</x:v>
      </x:c>
      <x:c r="B10" s="64" t="n">
        <x:f>COUNTIF(Odoo_Export!$A$5:$A$504,"&lt;&gt;")</x:f>
        <x:v>500</x:v>
      </x:c>
      <x:c r="C10" s="64" t="str">
        <x:v>Export sayfasındaki ürün sayısı</x:v>
      </x:c>
      <x:c r="D10" s="64"/>
      <x:c r="E10" s="64" t="str">
        <x:v>PA / Nylon</x:v>
      </x:c>
      <x:c r="F10" s="64" t="n">
        <x:f>COUNTIF(Katalog_Fiyatlayici!$G$5:$G$504,"PA / Nylon")</x:f>
        <x:v>0</x:v>
      </x:c>
      <x:c r="G10" s="67" t="n">
        <x:f>IFERROR(AVERAGEIFS(Katalog_Fiyatlayici!$AA$5:$AA$504,Katalog_Fiyatlayici!$G$5:$G$504,"PA / Nylon",Katalog_Fiyatlayici!$AA$5:$AA$504,"&gt;0"),0)</x:f>
        <x:v>0</x:v>
      </x:c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64"/>
      <x:c r="B11" s="64"/>
      <x:c r="C11" s="64"/>
      <x:c r="D11" s="64"/>
      <x:c r="E11" s="64" t="str">
        <x:v>PA-CF</x:v>
      </x:c>
      <x:c r="F11" s="64" t="n">
        <x:f>COUNTIF(Katalog_Fiyatlayici!$G$5:$G$504,"PA-CF")</x:f>
        <x:v>0</x:v>
      </x:c>
      <x:c r="G11" s="67" t="n">
        <x:f>IFERROR(AVERAGEIFS(Katalog_Fiyatlayici!$AA$5:$AA$504,Katalog_Fiyatlayici!$G$5:$G$504,"PA-CF",Katalog_Fiyatlayici!$AA$5:$AA$504,"&gt;0"),0)</x:f>
        <x:v>0</x:v>
      </x:c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24" t="str">
        <x:v>Kullanım Akışı</x:v>
      </x:c>
      <x:c r="B12" s="24" t="str">
        <x:v>Ne Yapacağım?</x:v>
      </x:c>
      <x:c r="C12" s="24" t="str">
        <x:v>Sonuç</x:v>
      </x:c>
      <x:c r="D12" s="64"/>
      <x:c r="E12" s="64" t="str">
        <x:v>Support PLA</x:v>
      </x:c>
      <x:c r="F12" s="64" t="n">
        <x:f>COUNTIF(Katalog_Fiyatlayici!$G$5:$G$504,"Support PLA")</x:f>
        <x:v>0</x:v>
      </x:c>
      <x:c r="G12" s="67" t="n">
        <x:f>IFERROR(AVERAGEIFS(Katalog_Fiyatlayici!$AA$5:$AA$504,Katalog_Fiyatlayici!$G$5:$G$504,"Support PLA",Katalog_Fiyatlayici!$AA$5:$AA$504,"&gt;0"),0)</x:f>
        <x:v>0</x:v>
      </x:c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68" t="str">
        <x:v>1</x:v>
      </x:c>
      <x:c r="B13" s="64" t="str">
        <x:v>Katalog_Fiyatlayici &gt; B kolonuna MakerWorld linkini yapıştır</x:v>
      </x:c>
      <x:c r="C13" s="64" t="str">
        <x:v>Model ID ve varsayılan alanlar oluşur</x:v>
      </x:c>
      <x:c r="D13" s="64"/>
      <x:c r="E13" s="64" t="str">
        <x:v>PVA</x:v>
      </x:c>
      <x:c r="F13" s="64" t="n">
        <x:f>COUNTIF(Katalog_Fiyatlayici!$G$5:$G$504,"PVA")</x:f>
        <x:v>0</x:v>
      </x:c>
      <x:c r="G13" s="67" t="n">
        <x:f>IFERROR(AVERAGEIFS(Katalog_Fiyatlayici!$AA$5:$AA$504,Katalog_Fiyatlayici!$G$5:$G$504,"PVA",Katalog_Fiyatlayici!$AA$5:$AA$504,"&gt;0"),0)</x:f>
        <x:v>0</x:v>
      </x:c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68" t="str">
        <x:v>2</x:v>
      </x:c>
      <x:c r="B14" s="64" t="str">
        <x:v>Otomatik_Veri_Rehberi sayfasındaki script/PQ ile veri çekmeyi dene</x:v>
      </x:c>
      <x:c r="C14" s="64" t="str">
        <x:v>Auto Gram ve Auto Süre alanları dolar</x:v>
      </x:c>
      <x:c r="D14" s="64"/>
      <x:c r="E14" s="64" t="str">
        <x:v>PC</x:v>
      </x:c>
      <x:c r="F14" s="64" t="n">
        <x:f>COUNTIF(Katalog_Fiyatlayici!$G$5:$G$504,"PC")</x:f>
        <x:v>0</x:v>
      </x:c>
      <x:c r="G14" s="67" t="n">
        <x:f>IFERROR(AVERAGEIFS(Katalog_Fiyatlayici!$AA$5:$AA$504,Katalog_Fiyatlayici!$G$5:$G$504,"PC",Katalog_Fiyatlayici!$AA$5:$AA$504,"&gt;0"),0)</x:f>
        <x:v>0</x:v>
      </x:c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68" t="str">
        <x:v>3</x:v>
      </x:c>
      <x:c r="B15" s="64" t="str">
        <x:v>Veri gelmezse Manuel Gram + Manuel Süre dk gir</x:v>
      </x:c>
      <x:c r="C15" s="64" t="str">
        <x:v>Güvenli mod fiyat üretir</x:v>
      </x:c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68" t="str">
        <x:v>4</x:v>
      </x:c>
      <x:c r="B16" s="64" t="str">
        <x:v>Fiyat Hazır durumundaki satırları kontrol et</x:v>
      </x:c>
      <x:c r="C16" s="64" t="str">
        <x:v>Odoo_Export sayfası otomatik dolar</x:v>
      </x:c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68" t="str">
        <x:v>5</x:v>
      </x:c>
      <x:c r="B17" s="64" t="str">
        <x:v>Odoo'ya ürün/hizmet olarak aktar</x:v>
      </x:c>
      <x:c r="C17" s="64" t="str">
        <x:v>Katalog satışa hazır olur</x:v>
      </x:c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64"/>
      <x:c r="B501" s="64"/>
      <x:c r="C501" s="64"/>
      <x:c r="D501" s="64"/>
      <x:c r="E501" s="64"/>
      <x:c r="F501" s="64"/>
      <x:c r="G501" s="64"/>
      <x:c r="H501" s="64"/>
      <x:c r="I501" s="64"/>
      <x:c r="J501" s="64"/>
      <x:c r="K501" s="64"/>
      <x:c r="L501" s="64"/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64"/>
      <x:c r="B502" s="64"/>
      <x:c r="C502" s="64"/>
      <x:c r="D502" s="64"/>
      <x:c r="E502" s="64"/>
      <x:c r="F502" s="64"/>
      <x:c r="G502" s="64"/>
      <x:c r="H502" s="64"/>
      <x:c r="I502" s="64"/>
      <x:c r="J502" s="64"/>
      <x:c r="K502" s="64"/>
      <x:c r="L502" s="64"/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64"/>
      <x:c r="B503" s="64"/>
      <x:c r="C503" s="64"/>
      <x:c r="D503" s="64"/>
      <x:c r="E503" s="64"/>
      <x:c r="F503" s="64"/>
      <x:c r="G503" s="64"/>
      <x:c r="H503" s="64"/>
      <x:c r="I503" s="64"/>
      <x:c r="J503" s="64"/>
      <x:c r="K503" s="64"/>
      <x:c r="L503" s="64"/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64"/>
      <x:c r="B504" s="64"/>
      <x:c r="C504" s="64"/>
      <x:c r="D504" s="64"/>
      <x:c r="E504" s="64"/>
      <x:c r="F504" s="64"/>
      <x:c r="G504" s="64"/>
      <x:c r="H504" s="64"/>
      <x:c r="I504" s="64"/>
      <x:c r="J504" s="64"/>
      <x:c r="K504" s="64"/>
      <x:c r="L504" s="64"/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9129242a27dd4926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.399999618530273" hidden="0" customWidth="1"/>
    <x:col min="3" max="3" width="18" hidden="0" customWidth="1"/>
    <x:col min="4" max="4" width="10.630000114440918" hidden="0" customWidth="1"/>
    <x:col min="5" max="5" width="19.110000610351562" hidden="0" customWidth="1"/>
    <x:col min="6" max="6" width="33.5099983215332" hidden="0" customWidth="1"/>
  </x:cols>
  <x:sheetData>
    <x:row r="1" ht="30" customHeight="1">
      <x:c r="A1" s="5" t="str">
        <x:v>BunuDaBastık3D - MakerWorld Katalog Ayarları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Maliyet, kâr ve malzeme parametrelerini buradan yönet.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Parametre</x:v>
      </x:c>
      <x:c r="B4" s="24" t="str">
        <x:v>Değer</x:v>
      </x:c>
      <x:c r="C4" s="24" t="str">
        <x:v>Açıklama</x:v>
      </x:c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65" t="str">
        <x:v>Firma</x:v>
      </x:c>
      <x:c r="B5" s="64" t="str">
        <x:v>BunuDaBastık3D</x:v>
      </x:c>
      <x:c r="C5" s="64" t="str">
        <x:v>Teklif ve katalog adı</x:v>
      </x:c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65" t="str">
        <x:v>Odoo URL</x:v>
      </x:c>
      <x:c r="B6" s="64" t="str">
        <x:v>bunudabastik3d.odoo.com</x:v>
      </x:c>
      <x:c r="C6" s="64" t="str">
        <x:v>Odoo ürün/katalog entegrasyonu için</x:v>
      </x:c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65" t="str">
        <x:v>Yazıcı</x:v>
      </x:c>
      <x:c r="B7" s="64" t="str">
        <x:v>Bambu Lab X2D</x:v>
      </x:c>
      <x:c r="C7" s="64" t="str">
        <x:v>Fiyatlamada kullanılan ana makine</x:v>
      </x:c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65" t="str">
        <x:v>Varsayılan Malzeme</x:v>
      </x:c>
      <x:c r="B8" s="67" t="str">
        <x:v>PLA</x:v>
      </x:c>
      <x:c r="C8" s="64" t="str">
        <x:v>Katalogda link girilince otomatik atanır</x:v>
      </x:c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65" t="str">
        <x:v>Makine Saat Ücreti TL</x:v>
      </x:c>
      <x:c r="B9" s="67" t="n">
        <x:v>70</x:v>
      </x:c>
      <x:c r="C9" s="64" t="str">
        <x:v>Amortisman, bakım ve çalışma payı</x:v>
      </x:c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65" t="str">
        <x:v>İşçilik Saat Ücreti TL</x:v>
      </x:c>
      <x:c r="B10" s="67" t="n">
        <x:v>180</x:v>
      </x:c>
      <x:c r="C10" s="64" t="str">
        <x:v>Son işlem, paketleme, müşteri takibi</x:v>
      </x:c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65" t="str">
        <x:v>Paketleme Varsayılan TL</x:v>
      </x:c>
      <x:c r="B11" s="74" t="n">
        <x:v>25</x:v>
      </x:c>
      <x:c r="C11" s="64" t="str">
        <x:v>Varsayılan paketleme bedeli</x:v>
      </x:c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65" t="str">
        <x:v>Fire Payı</x:v>
      </x:c>
      <x:c r="B12" s="67" t="n">
        <x:v>0.1</x:v>
      </x:c>
      <x:c r="C12" s="64" t="str">
        <x:v>Destek, purge, başarısız baskı riski için</x:v>
      </x:c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65" t="str">
        <x:v>Minimum İşçilik TL</x:v>
      </x:c>
      <x:c r="B13" s="74" t="n">
        <x:v>50</x:v>
      </x:c>
      <x:c r="C13" s="64" t="str">
        <x:v>Her sipariş için taban işçilik</x:v>
      </x:c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65" t="str">
        <x:v>Kâr Oranı</x:v>
      </x:c>
      <x:c r="B14" s="74" t="n">
        <x:v>0.45</x:v>
      </x:c>
      <x:c r="C14" s="64" t="str">
        <x:v>Ara toplam + komisyon üzerine eklenir</x:v>
      </x:c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65" t="str">
        <x:v>KDV Oranı</x:v>
      </x:c>
      <x:c r="B15" s="74" t="n">
        <x:v>0.2</x:v>
      </x:c>
      <x:c r="C15" s="64" t="str">
        <x:v>KDV dahil fiyat hesaplamak için</x:v>
      </x:c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65" t="str">
        <x:v>Komisyon Oranı</x:v>
      </x:c>
      <x:c r="B16" s="67" t="n">
        <x:v>0</x:v>
      </x:c>
      <x:c r="C16" s="64" t="str">
        <x:v>Pazaryeri/Odoo ödeme komisyonu</x:v>
      </x:c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64" t="str">
        <x:v>Yuvarlama TL</x:v>
      </x:c>
      <x:c r="B17" s="64" t="n">
        <x:v>10</x:v>
      </x:c>
      <x:c r="C17" s="64" t="str">
        <x:v>Fiyatı yukarı yuvarlama aralığı</x:v>
      </x:c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24" t="str">
        <x:v>Malzeme</x:v>
      </x:c>
      <x:c r="B18" s="24" t="str">
        <x:v>Kg Alış TL</x:v>
      </x:c>
      <x:c r="C18" s="24" t="str">
        <x:v>Gram Maliyet TL</x:v>
      </x:c>
      <x:c r="D18" s="24" t="str">
        <x:v>Fiyat Çarpanı</x:v>
      </x:c>
      <x:c r="E18" s="24" t="str">
        <x:v>Kullanım</x:v>
      </x:c>
      <x:c r="F18" s="24" t="str">
        <x:v>Not</x:v>
      </x:c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75" t="str">
        <x:v>PLA</x:v>
      </x:c>
      <x:c r="B19" s="76" t="n">
        <x:v>600</x:v>
      </x:c>
      <x:c r="C19" s="76" t="n">
        <x:f>B19/1000</x:f>
        <x:v>0.6</x:v>
      </x:c>
      <x:c r="D19" s="77" t="n">
        <x:v>3</x:v>
      </x:c>
      <x:c r="E19" s="75" t="str">
        <x:v>Dekoratif / hızlı prototip</x:v>
      </x:c>
      <x:c r="F19" s="75" t="str">
        <x:v>En ekonomik başlangıç malzemesi</x:v>
      </x:c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75" t="str">
        <x:v>PETG</x:v>
      </x:c>
      <x:c r="B20" s="76" t="n">
        <x:v>700</x:v>
      </x:c>
      <x:c r="C20" s="76" t="n">
        <x:f>B20/1000</x:f>
        <x:v>0.7</x:v>
      </x:c>
      <x:c r="D20" s="77" t="n">
        <x:v>3.2</x:v>
      </x:c>
      <x:c r="E20" s="75" t="str">
        <x:v>Dayanıklı genel parça</x:v>
      </x:c>
      <x:c r="F20" s="75" t="str">
        <x:v>Araç içi ve aparatlarda iyi seçenek</x:v>
      </x:c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75" t="str">
        <x:v>ABS</x:v>
      </x:c>
      <x:c r="B21" s="76" t="n">
        <x:v>800</x:v>
      </x:c>
      <x:c r="C21" s="76" t="n">
        <x:f>B21/1000</x:f>
        <x:v>0.8</x:v>
      </x:c>
      <x:c r="D21" s="77" t="n">
        <x:v>3.5</x:v>
      </x:c>
      <x:c r="E21" s="75" t="str">
        <x:v>Teknik parça</x:v>
      </x:c>
      <x:c r="F21" s="75" t="str">
        <x:v>Kapalı kabin ve havalandırma önerilir</x:v>
      </x:c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75" t="str">
        <x:v>ASA</x:v>
      </x:c>
      <x:c r="B22" s="76" t="n">
        <x:v>950</x:v>
      </x:c>
      <x:c r="C22" s="76" t="n">
        <x:f>B22/1000</x:f>
        <x:v>0.95</x:v>
      </x:c>
      <x:c r="D22" s="77" t="n">
        <x:v>3.8</x:v>
      </x:c>
      <x:c r="E22" s="75" t="str">
        <x:v>Dış ortam</x:v>
      </x:c>
      <x:c r="F22" s="75" t="str">
        <x:v>UV ve dış ortam dayanımı iyi</x:v>
      </x:c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75" t="str">
        <x:v>TPU 95A</x:v>
      </x:c>
      <x:c r="B23" s="76" t="n">
        <x:v>900</x:v>
      </x:c>
      <x:c r="C23" s="76" t="n">
        <x:f>B23/1000</x:f>
        <x:v>0.9</x:v>
      </x:c>
      <x:c r="D23" s="77" t="n">
        <x:v>3.8</x:v>
      </x:c>
      <x:c r="E23" s="75" t="str">
        <x:v>Esnek parça</x:v>
      </x:c>
      <x:c r="F23" s="75" t="str">
        <x:v>Yavaş ve dikkatli basılır</x:v>
      </x:c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75" t="str">
        <x:v>PA / Nylon</x:v>
      </x:c>
      <x:c r="B24" s="76" t="n">
        <x:v>1600</x:v>
      </x:c>
      <x:c r="C24" s="76" t="n">
        <x:f>B24/1000</x:f>
        <x:v>1.6</x:v>
      </x:c>
      <x:c r="D24" s="77" t="n">
        <x:v>4.5</x:v>
      </x:c>
      <x:c r="E24" s="75" t="str">
        <x:v>Mekanik parça</x:v>
      </x:c>
      <x:c r="F24" s="75" t="str">
        <x:v>Nem kontrolü önemli</x:v>
      </x:c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75" t="str">
        <x:v>PA-CF</x:v>
      </x:c>
      <x:c r="B25" s="76" t="n">
        <x:v>2200</x:v>
      </x:c>
      <x:c r="C25" s="76" t="n">
        <x:f>B25/1000</x:f>
        <x:v>2.2</x:v>
      </x:c>
      <x:c r="D25" s="77" t="n">
        <x:v>5</x:v>
      </x:c>
      <x:c r="E25" s="75" t="str">
        <x:v>Teknik / drone parçaları</x:v>
      </x:c>
      <x:c r="F25" s="75" t="str">
        <x:v>Aşındırıcı filament, nozzle kontrolü gerekir</x:v>
      </x:c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75" t="str">
        <x:v>Support PLA</x:v>
      </x:c>
      <x:c r="B26" s="76" t="n">
        <x:v>1200</x:v>
      </x:c>
      <x:c r="C26" s="76" t="n">
        <x:f>B26/1000</x:f>
        <x:v>1.2</x:v>
      </x:c>
      <x:c r="D26" s="77" t="n">
        <x:v>4</x:v>
      </x:c>
      <x:c r="E26" s="75" t="str">
        <x:v>Destek malzemesi</x:v>
      </x:c>
      <x:c r="F26" s="75" t="str">
        <x:v>Çift nozzle avantajı için</x:v>
      </x:c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75" t="str">
        <x:v>PVA</x:v>
      </x:c>
      <x:c r="B27" s="76" t="n">
        <x:v>1800</x:v>
      </x:c>
      <x:c r="C27" s="76" t="n">
        <x:f>B27/1000</x:f>
        <x:v>1.8</x:v>
      </x:c>
      <x:c r="D27" s="77" t="n">
        <x:v>4.8</x:v>
      </x:c>
      <x:c r="E27" s="75" t="str">
        <x:v>Çözünebilir destek</x:v>
      </x:c>
      <x:c r="F27" s="75" t="str">
        <x:v>Nemden korunmalı</x:v>
      </x:c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75" t="str">
        <x:v>PC</x:v>
      </x:c>
      <x:c r="B28" s="76" t="n">
        <x:v>2100</x:v>
      </x:c>
      <x:c r="C28" s="76" t="n">
        <x:f>B28/1000</x:f>
        <x:v>2.1</x:v>
      </x:c>
      <x:c r="D28" s="77" t="n">
        <x:v>5</x:v>
      </x:c>
      <x:c r="E28" s="75" t="str">
        <x:v>Isı dayanımı</x:v>
      </x:c>
      <x:c r="F28" s="75" t="str">
        <x:v>Teknik risk yüksek</x:v>
      </x:c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64"/>
      <x:c r="B501" s="64"/>
      <x:c r="C501" s="64"/>
      <x:c r="D501" s="64"/>
      <x:c r="E501" s="64"/>
      <x:c r="F501" s="64"/>
      <x:c r="G501" s="64"/>
      <x:c r="H501" s="64"/>
      <x:c r="I501" s="64"/>
      <x:c r="J501" s="64"/>
      <x:c r="K501" s="64"/>
      <x:c r="L501" s="64"/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64"/>
      <x:c r="B502" s="64"/>
      <x:c r="C502" s="64"/>
      <x:c r="D502" s="64"/>
      <x:c r="E502" s="64"/>
      <x:c r="F502" s="64"/>
      <x:c r="G502" s="64"/>
      <x:c r="H502" s="64"/>
      <x:c r="I502" s="64"/>
      <x:c r="J502" s="64"/>
      <x:c r="K502" s="64"/>
      <x:c r="L502" s="64"/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64"/>
      <x:c r="B503" s="64"/>
      <x:c r="C503" s="64"/>
      <x:c r="D503" s="64"/>
      <x:c r="E503" s="64"/>
      <x:c r="F503" s="64"/>
      <x:c r="G503" s="64"/>
      <x:c r="H503" s="64"/>
      <x:c r="I503" s="64"/>
      <x:c r="J503" s="64"/>
      <x:c r="K503" s="64"/>
      <x:c r="L503" s="64"/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64"/>
      <x:c r="B504" s="64"/>
      <x:c r="C504" s="64"/>
      <x:c r="D504" s="64"/>
      <x:c r="E504" s="64"/>
      <x:c r="F504" s="64"/>
      <x:c r="G504" s="64"/>
      <x:c r="H504" s="64"/>
      <x:c r="I504" s="64"/>
      <x:c r="J504" s="64"/>
      <x:c r="K504" s="64"/>
      <x:c r="L504" s="64"/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4de487ed79c4bb6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46" hidden="0" customWidth="1"/>
    <x:col min="4" max="4" width="24" hidden="0" customWidth="1"/>
    <x:col min="5" max="5" width="24" hidden="0" customWidth="1"/>
    <x:col min="6" max="6" width="2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34" hidden="0" customWidth="1"/>
  </x:cols>
  <x:sheetData>
    <x:row r="1" ht="30" customHeight="1">
      <x:c r="A1" s="5" t="str">
        <x:v>BunuDaBastık3D - MakerWorld Katalog Fiyatlayıcı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B kolonuna MakerWorld linki ekle. Otomatik veri gelirse fiyat çıkar; gelmezse manuel gram/süre alanı güvenli mod olarak çalışır.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No</x:v>
      </x:c>
      <x:c r="B4" s="24" t="str">
        <x:v>MakerWorld Link</x:v>
      </x:c>
      <x:c r="C4" s="24" t="str">
        <x:v>Model ID</x:v>
      </x:c>
      <x:c r="D4" s="24" t="str">
        <x:v>Model Adı</x:v>
      </x:c>
      <x:c r="E4" s="24" t="str">
        <x:v>Print Profile</x:v>
      </x:c>
      <x:c r="F4" s="24" t="str">
        <x:v>Lisans/Kullanım Notu</x:v>
      </x:c>
      <x:c r="G4" s="24" t="str">
        <x:v>Malzeme</x:v>
      </x:c>
      <x:c r="H4" s="24" t="str">
        <x:v>Adet</x:v>
      </x:c>
      <x:c r="I4" s="24" t="str">
        <x:v>Auto Gram</x:v>
      </x:c>
      <x:c r="J4" s="24" t="str">
        <x:v>Manuel Gram</x:v>
      </x:c>
      <x:c r="K4" s="24" t="str">
        <x:v>Kullanılacak Gram</x:v>
      </x:c>
      <x:c r="L4" s="24" t="str">
        <x:v>Auto Süre dk</x:v>
      </x:c>
      <x:c r="M4" s="24" t="str">
        <x:v>Manuel Süre dk</x:v>
      </x:c>
      <x:c r="N4" s="24" t="str">
        <x:v>Kullanılacak Süre dk</x:v>
      </x:c>
      <x:c r="O4" s="24" t="str">
        <x:v>Destek/Purge Gram</x:v>
      </x:c>
      <x:c r="P4" s="24" t="str">
        <x:v>Zorluk</x:v>
      </x:c>
      <x:c r="Q4" s="24" t="str">
        <x:v>Son İşlem dk</x:v>
      </x:c>
      <x:c r="R4" s="24" t="str">
        <x:v>Paketleme TL</x:v>
      </x:c>
      <x:c r="S4" s="24" t="str">
        <x:v>Diğer Maliyet TL</x:v>
      </x:c>
      <x:c r="T4" s="24" t="str">
        <x:v>Filament Maliyeti TL</x:v>
      </x:c>
      <x:c r="U4" s="24" t="str">
        <x:v>Makine Maliyeti TL</x:v>
      </x:c>
      <x:c r="V4" s="24" t="str">
        <x:v>İşçilik TL</x:v>
      </x:c>
      <x:c r="W4" s="24" t="str">
        <x:v>Ara Toplam TL</x:v>
      </x:c>
      <x:c r="X4" s="24" t="str">
        <x:v>Komisyon TL</x:v>
      </x:c>
      <x:c r="Y4" s="24" t="str">
        <x:v>Kâr TL</x:v>
      </x:c>
      <x:c r="Z4" s="24" t="str">
        <x:v>KDV TL</x:v>
      </x:c>
      <x:c r="AA4" s="24" t="str">
        <x:v>Tahmini Satış TL</x:v>
      </x:c>
      <x:c r="AB4" s="24" t="str">
        <x:v>Birim Fiyat TL</x:v>
      </x:c>
      <x:c r="AC4" s="24" t="str">
        <x:v>Durum</x:v>
      </x:c>
      <x:c r="AD4" s="24" t="str">
        <x:v>Odoo SKU</x:v>
      </x:c>
      <x:c r="AE4" s="24" t="str">
        <x:v>Odoo Kategori</x:v>
      </x:c>
      <x:c r="AF4" s="24" t="str">
        <x:v>Odoo Ürün Adı</x:v>
      </x:c>
      <x:c r="AG4" s="24" t="str">
        <x:v>Notlar</x:v>
      </x:c>
    </x:row>
    <x:row r="5">
      <x:c r="A5" s="75" t="str">
        <x:f>IF($B5&lt;&gt;"",ROW()-4,"")</x:f>
      </x:c>
      <x:c r="B5" s="75" t="str"/>
      <x:c r="C5" s="75" t="n">
        <x:f>IFERROR(LET(x,MID($B5,FIND("/models/",$B5)+8,80),y,LEFT(x,FIND("-",x&amp;"-")-1),LEFT(y,FIND("?",y&amp;"?")-1)),"")</x:f>
        <x:v>80</x:v>
      </x:c>
      <x:c r="D5" s="75" t="str">
        <x:f>IF($B5="","",IFERROR(XLOOKUP($C5,MakerWorld_Verileri!$A:$A,MakerWorld_Verileri!$B:$B,""),""))</x:f>
      </x:c>
      <x:c r="E5" s="75" t="str">
        <x:f>IF($B5="","",IFERROR(XLOOKUP($C5,MakerWorld_Verileri!$A:$A,MakerWorld_Verileri!$C:$C,""),""))</x:f>
      </x:c>
      <x:c r="F5" s="75" t="str"/>
      <x:c r="G5" s="75" t="str">
        <x:f>IF($B5&lt;&gt;"",Ayarlar!$B$7,"")</x:f>
      </x:c>
      <x:c r="H5" s="82" t="str">
        <x:f>IF($B5&lt;&gt;"",1,"")</x:f>
      </x:c>
      <x:c r="I5" s="82" t="str">
        <x:f>IF($B5="","",IFERROR(XLOOKUP($C5,MakerWorld_Verileri!$A:$A,MakerWorld_Verileri!$D:$D,""),""))</x:f>
      </x:c>
      <x:c r="J5" s="82" t="str"/>
      <x:c r="K5" s="82" t="str">
        <x:f>IF($I5&lt;&gt;"",$I5,$J5)</x:f>
      </x:c>
      <x:c r="L5" s="82" t="str">
        <x:f>IF($B5="","",IFERROR(XLOOKUP($C5,MakerWorld_Verileri!$A:$A,MakerWorld_Verileri!$E:$E,""),""))</x:f>
      </x:c>
      <x:c r="M5" s="82" t="str"/>
      <x:c r="N5" s="82" t="str">
        <x:f>IF($L5&lt;&gt;"",$L5,$M5)</x:f>
      </x:c>
      <x:c r="O5" s="82" t="str">
        <x:f>IF($B5&lt;&gt;"",0,"")</x:f>
      </x:c>
      <x:c r="P5" s="75" t="str">
        <x:f>IF($B5&lt;&gt;"","Orta","")</x:f>
      </x:c>
      <x:c r="Q5" s="82" t="str">
        <x:f>IF($B5&lt;&gt;"",10,"")</x:f>
      </x:c>
      <x:c r="R5" s="83" t="str">
        <x:f>IF($B5&lt;&gt;"",Ayarlar!$B$10,"")</x:f>
      </x:c>
      <x:c r="S5" s="83" t="str">
        <x:f>IF($B5&lt;&gt;"",0,"")</x:f>
      </x:c>
      <x:c r="T5" s="83" t="n">
        <x:f>IFERROR(($K5+$O5)*XLOOKUP($G5,Ayarlar!$A$19:$A$28,Ayarlar!$C$19:$C$28,0)*(1+Ayarlar!$B$11),0)</x:f>
        <x:v>0</x:v>
      </x:c>
      <x:c r="U5" s="83" t="n">
        <x:f>IFERROR($N5/60*Ayarlar!$B$8,0)</x:f>
        <x:v>0</x:v>
      </x:c>
      <x:c r="V5" s="83" t="n">
        <x:f>IF($B5&lt;&gt;"",Ayarlar!$B$12+($Q5/60*Ayarlar!$B$9),0)</x:f>
        <x:v>0</x:v>
      </x:c>
      <x:c r="W5" s="83" t="n">
        <x:f>IF($B5&lt;&gt;"",SUM($T5:$V5,$R5:$S5),0)</x:f>
        <x:v>0</x:v>
      </x:c>
      <x:c r="X5" s="83" t="n">
        <x:f>IF($B5&lt;&gt;"",$W5*Ayarlar!$B$15,0)</x:f>
        <x:v>0</x:v>
      </x:c>
      <x:c r="Y5" s="83" t="n">
        <x:f>IF($B5&lt;&gt;"",($W5+$X5)*Ayarlar!$B$13,0)</x:f>
        <x:v>0</x:v>
      </x:c>
      <x:c r="Z5" s="83" t="n">
        <x:f>IF($B5&lt;&gt;"",($W5+$X5+$Y5)*Ayarlar!$B$14,0)</x:f>
        <x:v>0</x:v>
      </x:c>
      <x:c r="AA5" s="83" t="str">
        <x:f>IF($B5="","",IF(OR($K5="",$N5=""),"",CEILING($W5+$X5+$Y5+$Z5,Ayarlar!$B$16)))</x:f>
      </x:c>
      <x:c r="AB5" s="83" t="str">
        <x:f>IFERROR($AA5/$H5,"")</x:f>
      </x:c>
      <x:c r="AC5" s="75" t="str">
        <x:f>IF($B5="","",IF(OR($K5="",$N5=""),"Veri Eksik","Fiyat Hazır"))</x:f>
      </x:c>
      <x:c r="AD5" s="75" t="str">
        <x:f>IF($C5&lt;&gt;"","MW-"&amp;$C5,"")</x:f>
        <x:v>MW-80</x:v>
      </x:c>
      <x:c r="AE5" s="75" t="str">
        <x:f>IF($G5&lt;&gt;"","3D Baskı / "&amp;$G5,"3D Baskı")</x:f>
        <x:v>3D Baskı</x:v>
      </x:c>
      <x:c r="AF5" s="75" t="str">
        <x:f>IF($D5&lt;&gt;"",$D5&amp;" - "&amp;$G5,$AD5&amp;" - "&amp;$G5)</x:f>
        <x:v>MW-80 - </x:v>
      </x:c>
      <x:c r="AG5" s="75" t="str"/>
    </x:row>
    <x:row r="6">
      <x:c r="A6" s="75" t="str">
        <x:f>IF($B6&lt;&gt;"",ROW()-4,"")</x:f>
      </x:c>
      <x:c r="B6" s="75" t="str"/>
      <x:c r="C6" s="75" t="n">
        <x:f>IFERROR(LET(x,MID($B6,FIND("/models/",$B6)+8,80),y,LEFT(x,FIND("-",x&amp;"-")-1),LEFT(y,FIND("?",y&amp;"?")-1)),"")</x:f>
        <x:v>80</x:v>
      </x:c>
      <x:c r="D6" s="75" t="str">
        <x:f>IF($B6="","",IFERROR(XLOOKUP($C6,MakerWorld_Verileri!$A:$A,MakerWorld_Verileri!$B:$B,""),""))</x:f>
      </x:c>
      <x:c r="E6" s="75" t="str">
        <x:f>IF($B6="","",IFERROR(XLOOKUP($C6,MakerWorld_Verileri!$A:$A,MakerWorld_Verileri!$C:$C,""),""))</x:f>
      </x:c>
      <x:c r="F6" s="75" t="str"/>
      <x:c r="G6" s="75" t="str">
        <x:f>IF($B6&lt;&gt;"",Ayarlar!$B$7,"")</x:f>
      </x:c>
      <x:c r="H6" s="82" t="str">
        <x:f>IF($B6&lt;&gt;"",1,"")</x:f>
      </x:c>
      <x:c r="I6" s="82" t="str">
        <x:f>IF($B6="","",IFERROR(XLOOKUP($C6,MakerWorld_Verileri!$A:$A,MakerWorld_Verileri!$D:$D,""),""))</x:f>
      </x:c>
      <x:c r="J6" s="82" t="str"/>
      <x:c r="K6" s="82" t="str">
        <x:f>IF($I6&lt;&gt;"",$I6,$J6)</x:f>
      </x:c>
      <x:c r="L6" s="82" t="str">
        <x:f>IF($B6="","",IFERROR(XLOOKUP($C6,MakerWorld_Verileri!$A:$A,MakerWorld_Verileri!$E:$E,""),""))</x:f>
      </x:c>
      <x:c r="M6" s="82" t="str"/>
      <x:c r="N6" s="82" t="str">
        <x:f>IF($L6&lt;&gt;"",$L6,$M6)</x:f>
      </x:c>
      <x:c r="O6" s="82" t="str">
        <x:f>IF($B6&lt;&gt;"",0,"")</x:f>
      </x:c>
      <x:c r="P6" s="75" t="str">
        <x:f>IF($B6&lt;&gt;"","Orta","")</x:f>
      </x:c>
      <x:c r="Q6" s="82" t="str">
        <x:f>IF($B6&lt;&gt;"",10,"")</x:f>
      </x:c>
      <x:c r="R6" s="83" t="str">
        <x:f>IF($B6&lt;&gt;"",Ayarlar!$B$10,"")</x:f>
      </x:c>
      <x:c r="S6" s="83" t="str">
        <x:f>IF($B6&lt;&gt;"",0,"")</x:f>
      </x:c>
      <x:c r="T6" s="83" t="n">
        <x:f>IFERROR(($K6+$O6)*XLOOKUP($G6,Ayarlar!$A$19:$A$28,Ayarlar!$C$19:$C$28,0)*(1+Ayarlar!$B$11),0)</x:f>
        <x:v>0</x:v>
      </x:c>
      <x:c r="U6" s="83" t="n">
        <x:f>IFERROR($N6/60*Ayarlar!$B$8,0)</x:f>
        <x:v>0</x:v>
      </x:c>
      <x:c r="V6" s="83" t="n">
        <x:f>IF($B6&lt;&gt;"",Ayarlar!$B$12+($Q6/60*Ayarlar!$B$9),0)</x:f>
        <x:v>0</x:v>
      </x:c>
      <x:c r="W6" s="83" t="n">
        <x:f>IF($B6&lt;&gt;"",SUM($T6:$V6,$R6:$S6),0)</x:f>
        <x:v>0</x:v>
      </x:c>
      <x:c r="X6" s="83" t="n">
        <x:f>IF($B6&lt;&gt;"",$W6*Ayarlar!$B$15,0)</x:f>
        <x:v>0</x:v>
      </x:c>
      <x:c r="Y6" s="83" t="n">
        <x:f>IF($B6&lt;&gt;"",($W6+$X6)*Ayarlar!$B$13,0)</x:f>
        <x:v>0</x:v>
      </x:c>
      <x:c r="Z6" s="83" t="n">
        <x:f>IF($B6&lt;&gt;"",($W6+$X6+$Y6)*Ayarlar!$B$14,0)</x:f>
        <x:v>0</x:v>
      </x:c>
      <x:c r="AA6" s="83" t="str">
        <x:f>IF($B6="","",IF(OR($K6="",$N6=""),"",CEILING($W6+$X6+$Y6+$Z6,Ayarlar!$B$16)))</x:f>
      </x:c>
      <x:c r="AB6" s="83" t="str">
        <x:f>IFERROR($AA6/$H6,"")</x:f>
      </x:c>
      <x:c r="AC6" s="75" t="str">
        <x:f>IF($B6="","",IF(OR($K6="",$N6=""),"Veri Eksik","Fiyat Hazır"))</x:f>
      </x:c>
      <x:c r="AD6" s="75" t="str">
        <x:f>IF($C6&lt;&gt;"","MW-"&amp;$C6,"")</x:f>
        <x:v>MW-80</x:v>
      </x:c>
      <x:c r="AE6" s="75" t="str">
        <x:f>IF($G6&lt;&gt;"","3D Baskı / "&amp;$G6,"3D Baskı")</x:f>
        <x:v>3D Baskı</x:v>
      </x:c>
      <x:c r="AF6" s="75" t="str">
        <x:f>IF($D6&lt;&gt;"",$D6&amp;" - "&amp;$G6,$AD6&amp;" - "&amp;$G6)</x:f>
        <x:v>MW-80 - </x:v>
      </x:c>
      <x:c r="AG6" s="75" t="str"/>
    </x:row>
    <x:row r="7">
      <x:c r="A7" s="75" t="str">
        <x:f>IF($B7&lt;&gt;"",ROW()-4,"")</x:f>
      </x:c>
      <x:c r="B7" s="75" t="str"/>
      <x:c r="C7" s="75" t="n">
        <x:f>IFERROR(LET(x,MID($B7,FIND("/models/",$B7)+8,80),y,LEFT(x,FIND("-",x&amp;"-")-1),LEFT(y,FIND("?",y&amp;"?")-1)),"")</x:f>
        <x:v>80</x:v>
      </x:c>
      <x:c r="D7" s="75" t="str">
        <x:f>IF($B7="","",IFERROR(XLOOKUP($C7,MakerWorld_Verileri!$A:$A,MakerWorld_Verileri!$B:$B,""),""))</x:f>
      </x:c>
      <x:c r="E7" s="75" t="str">
        <x:f>IF($B7="","",IFERROR(XLOOKUP($C7,MakerWorld_Verileri!$A:$A,MakerWorld_Verileri!$C:$C,""),""))</x:f>
      </x:c>
      <x:c r="F7" s="75" t="str"/>
      <x:c r="G7" s="75" t="str">
        <x:f>IF($B7&lt;&gt;"",Ayarlar!$B$7,"")</x:f>
      </x:c>
      <x:c r="H7" s="82" t="str">
        <x:f>IF($B7&lt;&gt;"",1,"")</x:f>
      </x:c>
      <x:c r="I7" s="82" t="str">
        <x:f>IF($B7="","",IFERROR(XLOOKUP($C7,MakerWorld_Verileri!$A:$A,MakerWorld_Verileri!$D:$D,""),""))</x:f>
      </x:c>
      <x:c r="J7" s="82" t="str"/>
      <x:c r="K7" s="82" t="str">
        <x:f>IF($I7&lt;&gt;"",$I7,$J7)</x:f>
      </x:c>
      <x:c r="L7" s="82" t="str">
        <x:f>IF($B7="","",IFERROR(XLOOKUP($C7,MakerWorld_Verileri!$A:$A,MakerWorld_Verileri!$E:$E,""),""))</x:f>
      </x:c>
      <x:c r="M7" s="82" t="str"/>
      <x:c r="N7" s="82" t="str">
        <x:f>IF($L7&lt;&gt;"",$L7,$M7)</x:f>
      </x:c>
      <x:c r="O7" s="82" t="str">
        <x:f>IF($B7&lt;&gt;"",0,"")</x:f>
      </x:c>
      <x:c r="P7" s="75" t="str">
        <x:f>IF($B7&lt;&gt;"","Orta","")</x:f>
      </x:c>
      <x:c r="Q7" s="82" t="str">
        <x:f>IF($B7&lt;&gt;"",10,"")</x:f>
      </x:c>
      <x:c r="R7" s="83" t="str">
        <x:f>IF($B7&lt;&gt;"",Ayarlar!$B$10,"")</x:f>
      </x:c>
      <x:c r="S7" s="83" t="str">
        <x:f>IF($B7&lt;&gt;"",0,"")</x:f>
      </x:c>
      <x:c r="T7" s="83" t="n">
        <x:f>IFERROR(($K7+$O7)*XLOOKUP($G7,Ayarlar!$A$19:$A$28,Ayarlar!$C$19:$C$28,0)*(1+Ayarlar!$B$11),0)</x:f>
        <x:v>0</x:v>
      </x:c>
      <x:c r="U7" s="83" t="n">
        <x:f>IFERROR($N7/60*Ayarlar!$B$8,0)</x:f>
        <x:v>0</x:v>
      </x:c>
      <x:c r="V7" s="83" t="n">
        <x:f>IF($B7&lt;&gt;"",Ayarlar!$B$12+($Q7/60*Ayarlar!$B$9),0)</x:f>
        <x:v>0</x:v>
      </x:c>
      <x:c r="W7" s="83" t="n">
        <x:f>IF($B7&lt;&gt;"",SUM($T7:$V7,$R7:$S7),0)</x:f>
        <x:v>0</x:v>
      </x:c>
      <x:c r="X7" s="83" t="n">
        <x:f>IF($B7&lt;&gt;"",$W7*Ayarlar!$B$15,0)</x:f>
        <x:v>0</x:v>
      </x:c>
      <x:c r="Y7" s="83" t="n">
        <x:f>IF($B7&lt;&gt;"",($W7+$X7)*Ayarlar!$B$13,0)</x:f>
        <x:v>0</x:v>
      </x:c>
      <x:c r="Z7" s="83" t="n">
        <x:f>IF($B7&lt;&gt;"",($W7+$X7+$Y7)*Ayarlar!$B$14,0)</x:f>
        <x:v>0</x:v>
      </x:c>
      <x:c r="AA7" s="83" t="str">
        <x:f>IF($B7="","",IF(OR($K7="",$N7=""),"",CEILING($W7+$X7+$Y7+$Z7,Ayarlar!$B$16)))</x:f>
      </x:c>
      <x:c r="AB7" s="83" t="str">
        <x:f>IFERROR($AA7/$H7,"")</x:f>
      </x:c>
      <x:c r="AC7" s="75" t="str">
        <x:f>IF($B7="","",IF(OR($K7="",$N7=""),"Veri Eksik","Fiyat Hazır"))</x:f>
      </x:c>
      <x:c r="AD7" s="75" t="str">
        <x:f>IF($C7&lt;&gt;"","MW-"&amp;$C7,"")</x:f>
        <x:v>MW-80</x:v>
      </x:c>
      <x:c r="AE7" s="75" t="str">
        <x:f>IF($G7&lt;&gt;"","3D Baskı / "&amp;$G7,"3D Baskı")</x:f>
        <x:v>3D Baskı</x:v>
      </x:c>
      <x:c r="AF7" s="75" t="str">
        <x:f>IF($D7&lt;&gt;"",$D7&amp;" - "&amp;$G7,$AD7&amp;" - "&amp;$G7)</x:f>
        <x:v>MW-80 - </x:v>
      </x:c>
      <x:c r="AG7" s="75" t="str"/>
    </x:row>
    <x:row r="8">
      <x:c r="A8" s="75" t="str">
        <x:f>IF($B8&lt;&gt;"",ROW()-4,"")</x:f>
      </x:c>
      <x:c r="B8" s="75" t="str"/>
      <x:c r="C8" s="75" t="n">
        <x:f>IFERROR(LET(x,MID($B8,FIND("/models/",$B8)+8,80),y,LEFT(x,FIND("-",x&amp;"-")-1),LEFT(y,FIND("?",y&amp;"?")-1)),"")</x:f>
        <x:v>80</x:v>
      </x:c>
      <x:c r="D8" s="75" t="str">
        <x:f>IF($B8="","",IFERROR(XLOOKUP($C8,MakerWorld_Verileri!$A:$A,MakerWorld_Verileri!$B:$B,""),""))</x:f>
      </x:c>
      <x:c r="E8" s="75" t="str">
        <x:f>IF($B8="","",IFERROR(XLOOKUP($C8,MakerWorld_Verileri!$A:$A,MakerWorld_Verileri!$C:$C,""),""))</x:f>
      </x:c>
      <x:c r="F8" s="75" t="str"/>
      <x:c r="G8" s="75" t="str">
        <x:f>IF($B8&lt;&gt;"",Ayarlar!$B$7,"")</x:f>
      </x:c>
      <x:c r="H8" s="82" t="str">
        <x:f>IF($B8&lt;&gt;"",1,"")</x:f>
      </x:c>
      <x:c r="I8" s="82" t="str">
        <x:f>IF($B8="","",IFERROR(XLOOKUP($C8,MakerWorld_Verileri!$A:$A,MakerWorld_Verileri!$D:$D,""),""))</x:f>
      </x:c>
      <x:c r="J8" s="82" t="str"/>
      <x:c r="K8" s="82" t="str">
        <x:f>IF($I8&lt;&gt;"",$I8,$J8)</x:f>
      </x:c>
      <x:c r="L8" s="82" t="str">
        <x:f>IF($B8="","",IFERROR(XLOOKUP($C8,MakerWorld_Verileri!$A:$A,MakerWorld_Verileri!$E:$E,""),""))</x:f>
      </x:c>
      <x:c r="M8" s="82" t="str"/>
      <x:c r="N8" s="82" t="str">
        <x:f>IF($L8&lt;&gt;"",$L8,$M8)</x:f>
      </x:c>
      <x:c r="O8" s="82" t="str">
        <x:f>IF($B8&lt;&gt;"",0,"")</x:f>
      </x:c>
      <x:c r="P8" s="75" t="str">
        <x:f>IF($B8&lt;&gt;"","Orta","")</x:f>
      </x:c>
      <x:c r="Q8" s="82" t="str">
        <x:f>IF($B8&lt;&gt;"",10,"")</x:f>
      </x:c>
      <x:c r="R8" s="83" t="str">
        <x:f>IF($B8&lt;&gt;"",Ayarlar!$B$10,"")</x:f>
      </x:c>
      <x:c r="S8" s="83" t="str">
        <x:f>IF($B8&lt;&gt;"",0,"")</x:f>
      </x:c>
      <x:c r="T8" s="83" t="n">
        <x:f>IFERROR(($K8+$O8)*XLOOKUP($G8,Ayarlar!$A$19:$A$28,Ayarlar!$C$19:$C$28,0)*(1+Ayarlar!$B$11),0)</x:f>
        <x:v>0</x:v>
      </x:c>
      <x:c r="U8" s="83" t="n">
        <x:f>IFERROR($N8/60*Ayarlar!$B$8,0)</x:f>
        <x:v>0</x:v>
      </x:c>
      <x:c r="V8" s="83" t="n">
        <x:f>IF($B8&lt;&gt;"",Ayarlar!$B$12+($Q8/60*Ayarlar!$B$9),0)</x:f>
        <x:v>0</x:v>
      </x:c>
      <x:c r="W8" s="83" t="n">
        <x:f>IF($B8&lt;&gt;"",SUM($T8:$V8,$R8:$S8),0)</x:f>
        <x:v>0</x:v>
      </x:c>
      <x:c r="X8" s="83" t="n">
        <x:f>IF($B8&lt;&gt;"",$W8*Ayarlar!$B$15,0)</x:f>
        <x:v>0</x:v>
      </x:c>
      <x:c r="Y8" s="83" t="n">
        <x:f>IF($B8&lt;&gt;"",($W8+$X8)*Ayarlar!$B$13,0)</x:f>
        <x:v>0</x:v>
      </x:c>
      <x:c r="Z8" s="83" t="n">
        <x:f>IF($B8&lt;&gt;"",($W8+$X8+$Y8)*Ayarlar!$B$14,0)</x:f>
        <x:v>0</x:v>
      </x:c>
      <x:c r="AA8" s="83" t="str">
        <x:f>IF($B8="","",IF(OR($K8="",$N8=""),"",CEILING($W8+$X8+$Y8+$Z8,Ayarlar!$B$16)))</x:f>
      </x:c>
      <x:c r="AB8" s="83" t="str">
        <x:f>IFERROR($AA8/$H8,"")</x:f>
      </x:c>
      <x:c r="AC8" s="75" t="str">
        <x:f>IF($B8="","",IF(OR($K8="",$N8=""),"Veri Eksik","Fiyat Hazır"))</x:f>
      </x:c>
      <x:c r="AD8" s="75" t="str">
        <x:f>IF($C8&lt;&gt;"","MW-"&amp;$C8,"")</x:f>
        <x:v>MW-80</x:v>
      </x:c>
      <x:c r="AE8" s="75" t="str">
        <x:f>IF($G8&lt;&gt;"","3D Baskı / "&amp;$G8,"3D Baskı")</x:f>
        <x:v>3D Baskı</x:v>
      </x:c>
      <x:c r="AF8" s="75" t="str">
        <x:f>IF($D8&lt;&gt;"",$D8&amp;" - "&amp;$G8,$AD8&amp;" - "&amp;$G8)</x:f>
        <x:v>MW-80 - </x:v>
      </x:c>
      <x:c r="AG8" s="75" t="str"/>
    </x:row>
    <x:row r="9">
      <x:c r="A9" s="75" t="str">
        <x:f>IF($B9&lt;&gt;"",ROW()-4,"")</x:f>
      </x:c>
      <x:c r="B9" s="75" t="str"/>
      <x:c r="C9" s="75" t="n">
        <x:f>IFERROR(LET(x,MID($B9,FIND("/models/",$B9)+8,80),y,LEFT(x,FIND("-",x&amp;"-")-1),LEFT(y,FIND("?",y&amp;"?")-1)),"")</x:f>
        <x:v>80</x:v>
      </x:c>
      <x:c r="D9" s="75" t="str">
        <x:f>IF($B9="","",IFERROR(XLOOKUP($C9,MakerWorld_Verileri!$A:$A,MakerWorld_Verileri!$B:$B,""),""))</x:f>
      </x:c>
      <x:c r="E9" s="75" t="str">
        <x:f>IF($B9="","",IFERROR(XLOOKUP($C9,MakerWorld_Verileri!$A:$A,MakerWorld_Verileri!$C:$C,""),""))</x:f>
      </x:c>
      <x:c r="F9" s="75" t="str"/>
      <x:c r="G9" s="75" t="str">
        <x:f>IF($B9&lt;&gt;"",Ayarlar!$B$7,"")</x:f>
      </x:c>
      <x:c r="H9" s="82" t="str">
        <x:f>IF($B9&lt;&gt;"",1,"")</x:f>
      </x:c>
      <x:c r="I9" s="82" t="str">
        <x:f>IF($B9="","",IFERROR(XLOOKUP($C9,MakerWorld_Verileri!$A:$A,MakerWorld_Verileri!$D:$D,""),""))</x:f>
      </x:c>
      <x:c r="J9" s="82" t="str"/>
      <x:c r="K9" s="82" t="str">
        <x:f>IF($I9&lt;&gt;"",$I9,$J9)</x:f>
      </x:c>
      <x:c r="L9" s="82" t="str">
        <x:f>IF($B9="","",IFERROR(XLOOKUP($C9,MakerWorld_Verileri!$A:$A,MakerWorld_Verileri!$E:$E,""),""))</x:f>
      </x:c>
      <x:c r="M9" s="82" t="str"/>
      <x:c r="N9" s="82" t="str">
        <x:f>IF($L9&lt;&gt;"",$L9,$M9)</x:f>
      </x:c>
      <x:c r="O9" s="82" t="str">
        <x:f>IF($B9&lt;&gt;"",0,"")</x:f>
      </x:c>
      <x:c r="P9" s="75" t="str">
        <x:f>IF($B9&lt;&gt;"","Orta","")</x:f>
      </x:c>
      <x:c r="Q9" s="82" t="str">
        <x:f>IF($B9&lt;&gt;"",10,"")</x:f>
      </x:c>
      <x:c r="R9" s="83" t="str">
        <x:f>IF($B9&lt;&gt;"",Ayarlar!$B$10,"")</x:f>
      </x:c>
      <x:c r="S9" s="83" t="str">
        <x:f>IF($B9&lt;&gt;"",0,"")</x:f>
      </x:c>
      <x:c r="T9" s="83" t="n">
        <x:f>IFERROR(($K9+$O9)*XLOOKUP($G9,Ayarlar!$A$19:$A$28,Ayarlar!$C$19:$C$28,0)*(1+Ayarlar!$B$11),0)</x:f>
        <x:v>0</x:v>
      </x:c>
      <x:c r="U9" s="83" t="n">
        <x:f>IFERROR($N9/60*Ayarlar!$B$8,0)</x:f>
        <x:v>0</x:v>
      </x:c>
      <x:c r="V9" s="83" t="n">
        <x:f>IF($B9&lt;&gt;"",Ayarlar!$B$12+($Q9/60*Ayarlar!$B$9),0)</x:f>
        <x:v>0</x:v>
      </x:c>
      <x:c r="W9" s="83" t="n">
        <x:f>IF($B9&lt;&gt;"",SUM($T9:$V9,$R9:$S9),0)</x:f>
        <x:v>0</x:v>
      </x:c>
      <x:c r="X9" s="83" t="n">
        <x:f>IF($B9&lt;&gt;"",$W9*Ayarlar!$B$15,0)</x:f>
        <x:v>0</x:v>
      </x:c>
      <x:c r="Y9" s="83" t="n">
        <x:f>IF($B9&lt;&gt;"",($W9+$X9)*Ayarlar!$B$13,0)</x:f>
        <x:v>0</x:v>
      </x:c>
      <x:c r="Z9" s="83" t="n">
        <x:f>IF($B9&lt;&gt;"",($W9+$X9+$Y9)*Ayarlar!$B$14,0)</x:f>
        <x:v>0</x:v>
      </x:c>
      <x:c r="AA9" s="83" t="str">
        <x:f>IF($B9="","",IF(OR($K9="",$N9=""),"",CEILING($W9+$X9+$Y9+$Z9,Ayarlar!$B$16)))</x:f>
      </x:c>
      <x:c r="AB9" s="83" t="str">
        <x:f>IFERROR($AA9/$H9,"")</x:f>
      </x:c>
      <x:c r="AC9" s="75" t="str">
        <x:f>IF($B9="","",IF(OR($K9="",$N9=""),"Veri Eksik","Fiyat Hazır"))</x:f>
      </x:c>
      <x:c r="AD9" s="75" t="str">
        <x:f>IF($C9&lt;&gt;"","MW-"&amp;$C9,"")</x:f>
        <x:v>MW-80</x:v>
      </x:c>
      <x:c r="AE9" s="75" t="str">
        <x:f>IF($G9&lt;&gt;"","3D Baskı / "&amp;$G9,"3D Baskı")</x:f>
        <x:v>3D Baskı</x:v>
      </x:c>
      <x:c r="AF9" s="75" t="str">
        <x:f>IF($D9&lt;&gt;"",$D9&amp;" - "&amp;$G9,$AD9&amp;" - "&amp;$G9)</x:f>
        <x:v>MW-80 - </x:v>
      </x:c>
      <x:c r="AG9" s="75" t="str"/>
    </x:row>
    <x:row r="10">
      <x:c r="A10" s="75" t="str">
        <x:f>IF($B10&lt;&gt;"",ROW()-4,"")</x:f>
      </x:c>
      <x:c r="B10" s="75" t="str"/>
      <x:c r="C10" s="75" t="n">
        <x:f>IFERROR(LET(x,MID($B10,FIND("/models/",$B10)+8,80),y,LEFT(x,FIND("-",x&amp;"-")-1),LEFT(y,FIND("?",y&amp;"?")-1)),"")</x:f>
        <x:v>80</x:v>
      </x:c>
      <x:c r="D10" s="75" t="str">
        <x:f>IF($B10="","",IFERROR(XLOOKUP($C10,MakerWorld_Verileri!$A:$A,MakerWorld_Verileri!$B:$B,""),""))</x:f>
      </x:c>
      <x:c r="E10" s="75" t="str">
        <x:f>IF($B10="","",IFERROR(XLOOKUP($C10,MakerWorld_Verileri!$A:$A,MakerWorld_Verileri!$C:$C,""),""))</x:f>
      </x:c>
      <x:c r="F10" s="75" t="str"/>
      <x:c r="G10" s="75" t="str">
        <x:f>IF($B10&lt;&gt;"",Ayarlar!$B$7,"")</x:f>
      </x:c>
      <x:c r="H10" s="82" t="str">
        <x:f>IF($B10&lt;&gt;"",1,"")</x:f>
      </x:c>
      <x:c r="I10" s="82" t="str">
        <x:f>IF($B10="","",IFERROR(XLOOKUP($C10,MakerWorld_Verileri!$A:$A,MakerWorld_Verileri!$D:$D,""),""))</x:f>
      </x:c>
      <x:c r="J10" s="82" t="str"/>
      <x:c r="K10" s="82" t="str">
        <x:f>IF($I10&lt;&gt;"",$I10,$J10)</x:f>
      </x:c>
      <x:c r="L10" s="82" t="str">
        <x:f>IF($B10="","",IFERROR(XLOOKUP($C10,MakerWorld_Verileri!$A:$A,MakerWorld_Verileri!$E:$E,""),""))</x:f>
      </x:c>
      <x:c r="M10" s="82" t="str"/>
      <x:c r="N10" s="82" t="str">
        <x:f>IF($L10&lt;&gt;"",$L10,$M10)</x:f>
      </x:c>
      <x:c r="O10" s="82" t="str">
        <x:f>IF($B10&lt;&gt;"",0,"")</x:f>
      </x:c>
      <x:c r="P10" s="75" t="str">
        <x:f>IF($B10&lt;&gt;"","Orta","")</x:f>
      </x:c>
      <x:c r="Q10" s="82" t="str">
        <x:f>IF($B10&lt;&gt;"",10,"")</x:f>
      </x:c>
      <x:c r="R10" s="83" t="str">
        <x:f>IF($B10&lt;&gt;"",Ayarlar!$B$10,"")</x:f>
      </x:c>
      <x:c r="S10" s="83" t="str">
        <x:f>IF($B10&lt;&gt;"",0,"")</x:f>
      </x:c>
      <x:c r="T10" s="83" t="n">
        <x:f>IFERROR(($K10+$O10)*XLOOKUP($G10,Ayarlar!$A$19:$A$28,Ayarlar!$C$19:$C$28,0)*(1+Ayarlar!$B$11),0)</x:f>
        <x:v>0</x:v>
      </x:c>
      <x:c r="U10" s="83" t="n">
        <x:f>IFERROR($N10/60*Ayarlar!$B$8,0)</x:f>
        <x:v>0</x:v>
      </x:c>
      <x:c r="V10" s="83" t="n">
        <x:f>IF($B10&lt;&gt;"",Ayarlar!$B$12+($Q10/60*Ayarlar!$B$9),0)</x:f>
        <x:v>0</x:v>
      </x:c>
      <x:c r="W10" s="83" t="n">
        <x:f>IF($B10&lt;&gt;"",SUM($T10:$V10,$R10:$S10),0)</x:f>
        <x:v>0</x:v>
      </x:c>
      <x:c r="X10" s="83" t="n">
        <x:f>IF($B10&lt;&gt;"",$W10*Ayarlar!$B$15,0)</x:f>
        <x:v>0</x:v>
      </x:c>
      <x:c r="Y10" s="83" t="n">
        <x:f>IF($B10&lt;&gt;"",($W10+$X10)*Ayarlar!$B$13,0)</x:f>
        <x:v>0</x:v>
      </x:c>
      <x:c r="Z10" s="83" t="n">
        <x:f>IF($B10&lt;&gt;"",($W10+$X10+$Y10)*Ayarlar!$B$14,0)</x:f>
        <x:v>0</x:v>
      </x:c>
      <x:c r="AA10" s="83" t="str">
        <x:f>IF($B10="","",IF(OR($K10="",$N10=""),"",CEILING($W10+$X10+$Y10+$Z10,Ayarlar!$B$16)))</x:f>
      </x:c>
      <x:c r="AB10" s="83" t="str">
        <x:f>IFERROR($AA10/$H10,"")</x:f>
      </x:c>
      <x:c r="AC10" s="75" t="str">
        <x:f>IF($B10="","",IF(OR($K10="",$N10=""),"Veri Eksik","Fiyat Hazır"))</x:f>
      </x:c>
      <x:c r="AD10" s="75" t="str">
        <x:f>IF($C10&lt;&gt;"","MW-"&amp;$C10,"")</x:f>
        <x:v>MW-80</x:v>
      </x:c>
      <x:c r="AE10" s="75" t="str">
        <x:f>IF($G10&lt;&gt;"","3D Baskı / "&amp;$G10,"3D Baskı")</x:f>
        <x:v>3D Baskı</x:v>
      </x:c>
      <x:c r="AF10" s="75" t="str">
        <x:f>IF($D10&lt;&gt;"",$D10&amp;" - "&amp;$G10,$AD10&amp;" - "&amp;$G10)</x:f>
        <x:v>MW-80 - </x:v>
      </x:c>
      <x:c r="AG10" s="75" t="str"/>
    </x:row>
    <x:row r="11">
      <x:c r="A11" s="75" t="str">
        <x:f>IF($B11&lt;&gt;"",ROW()-4,"")</x:f>
      </x:c>
      <x:c r="B11" s="75" t="str"/>
      <x:c r="C11" s="75" t="n">
        <x:f>IFERROR(LET(x,MID($B11,FIND("/models/",$B11)+8,80),y,LEFT(x,FIND("-",x&amp;"-")-1),LEFT(y,FIND("?",y&amp;"?")-1)),"")</x:f>
        <x:v>80</x:v>
      </x:c>
      <x:c r="D11" s="75" t="str">
        <x:f>IF($B11="","",IFERROR(XLOOKUP($C11,MakerWorld_Verileri!$A:$A,MakerWorld_Verileri!$B:$B,""),""))</x:f>
      </x:c>
      <x:c r="E11" s="75" t="str">
        <x:f>IF($B11="","",IFERROR(XLOOKUP($C11,MakerWorld_Verileri!$A:$A,MakerWorld_Verileri!$C:$C,""),""))</x:f>
      </x:c>
      <x:c r="F11" s="75" t="str"/>
      <x:c r="G11" s="75" t="str">
        <x:f>IF($B11&lt;&gt;"",Ayarlar!$B$7,"")</x:f>
      </x:c>
      <x:c r="H11" s="82" t="str">
        <x:f>IF($B11&lt;&gt;"",1,"")</x:f>
      </x:c>
      <x:c r="I11" s="82" t="str">
        <x:f>IF($B11="","",IFERROR(XLOOKUP($C11,MakerWorld_Verileri!$A:$A,MakerWorld_Verileri!$D:$D,""),""))</x:f>
      </x:c>
      <x:c r="J11" s="82" t="str"/>
      <x:c r="K11" s="82" t="str">
        <x:f>IF($I11&lt;&gt;"",$I11,$J11)</x:f>
      </x:c>
      <x:c r="L11" s="82" t="str">
        <x:f>IF($B11="","",IFERROR(XLOOKUP($C11,MakerWorld_Verileri!$A:$A,MakerWorld_Verileri!$E:$E,""),""))</x:f>
      </x:c>
      <x:c r="M11" s="82" t="str"/>
      <x:c r="N11" s="82" t="str">
        <x:f>IF($L11&lt;&gt;"",$L11,$M11)</x:f>
      </x:c>
      <x:c r="O11" s="82" t="str">
        <x:f>IF($B11&lt;&gt;"",0,"")</x:f>
      </x:c>
      <x:c r="P11" s="75" t="str">
        <x:f>IF($B11&lt;&gt;"","Orta","")</x:f>
      </x:c>
      <x:c r="Q11" s="82" t="str">
        <x:f>IF($B11&lt;&gt;"",10,"")</x:f>
      </x:c>
      <x:c r="R11" s="83" t="str">
        <x:f>IF($B11&lt;&gt;"",Ayarlar!$B$10,"")</x:f>
      </x:c>
      <x:c r="S11" s="83" t="str">
        <x:f>IF($B11&lt;&gt;"",0,"")</x:f>
      </x:c>
      <x:c r="T11" s="83" t="n">
        <x:f>IFERROR(($K11+$O11)*XLOOKUP($G11,Ayarlar!$A$19:$A$28,Ayarlar!$C$19:$C$28,0)*(1+Ayarlar!$B$11),0)</x:f>
        <x:v>0</x:v>
      </x:c>
      <x:c r="U11" s="83" t="n">
        <x:f>IFERROR($N11/60*Ayarlar!$B$8,0)</x:f>
        <x:v>0</x:v>
      </x:c>
      <x:c r="V11" s="83" t="n">
        <x:f>IF($B11&lt;&gt;"",Ayarlar!$B$12+($Q11/60*Ayarlar!$B$9),0)</x:f>
        <x:v>0</x:v>
      </x:c>
      <x:c r="W11" s="83" t="n">
        <x:f>IF($B11&lt;&gt;"",SUM($T11:$V11,$R11:$S11),0)</x:f>
        <x:v>0</x:v>
      </x:c>
      <x:c r="X11" s="83" t="n">
        <x:f>IF($B11&lt;&gt;"",$W11*Ayarlar!$B$15,0)</x:f>
        <x:v>0</x:v>
      </x:c>
      <x:c r="Y11" s="83" t="n">
        <x:f>IF($B11&lt;&gt;"",($W11+$X11)*Ayarlar!$B$13,0)</x:f>
        <x:v>0</x:v>
      </x:c>
      <x:c r="Z11" s="83" t="n">
        <x:f>IF($B11&lt;&gt;"",($W11+$X11+$Y11)*Ayarlar!$B$14,0)</x:f>
        <x:v>0</x:v>
      </x:c>
      <x:c r="AA11" s="83" t="str">
        <x:f>IF($B11="","",IF(OR($K11="",$N11=""),"",CEILING($W11+$X11+$Y11+$Z11,Ayarlar!$B$16)))</x:f>
      </x:c>
      <x:c r="AB11" s="83" t="str">
        <x:f>IFERROR($AA11/$H11,"")</x:f>
      </x:c>
      <x:c r="AC11" s="75" t="str">
        <x:f>IF($B11="","",IF(OR($K11="",$N11=""),"Veri Eksik","Fiyat Hazır"))</x:f>
      </x:c>
      <x:c r="AD11" s="75" t="str">
        <x:f>IF($C11&lt;&gt;"","MW-"&amp;$C11,"")</x:f>
        <x:v>MW-80</x:v>
      </x:c>
      <x:c r="AE11" s="75" t="str">
        <x:f>IF($G11&lt;&gt;"","3D Baskı / "&amp;$G11,"3D Baskı")</x:f>
        <x:v>3D Baskı</x:v>
      </x:c>
      <x:c r="AF11" s="75" t="str">
        <x:f>IF($D11&lt;&gt;"",$D11&amp;" - "&amp;$G11,$AD11&amp;" - "&amp;$G11)</x:f>
        <x:v>MW-80 - </x:v>
      </x:c>
      <x:c r="AG11" s="75" t="str"/>
    </x:row>
    <x:row r="12">
      <x:c r="A12" s="75" t="str">
        <x:f>IF($B12&lt;&gt;"",ROW()-4,"")</x:f>
      </x:c>
      <x:c r="B12" s="75" t="str"/>
      <x:c r="C12" s="75" t="n">
        <x:f>IFERROR(LET(x,MID($B12,FIND("/models/",$B12)+8,80),y,LEFT(x,FIND("-",x&amp;"-")-1),LEFT(y,FIND("?",y&amp;"?")-1)),"")</x:f>
        <x:v>80</x:v>
      </x:c>
      <x:c r="D12" s="75" t="str">
        <x:f>IF($B12="","",IFERROR(XLOOKUP($C12,MakerWorld_Verileri!$A:$A,MakerWorld_Verileri!$B:$B,""),""))</x:f>
      </x:c>
      <x:c r="E12" s="75" t="str">
        <x:f>IF($B12="","",IFERROR(XLOOKUP($C12,MakerWorld_Verileri!$A:$A,MakerWorld_Verileri!$C:$C,""),""))</x:f>
      </x:c>
      <x:c r="F12" s="75" t="str"/>
      <x:c r="G12" s="75" t="str">
        <x:f>IF($B12&lt;&gt;"",Ayarlar!$B$7,"")</x:f>
      </x:c>
      <x:c r="H12" s="82" t="str">
        <x:f>IF($B12&lt;&gt;"",1,"")</x:f>
      </x:c>
      <x:c r="I12" s="82" t="str">
        <x:f>IF($B12="","",IFERROR(XLOOKUP($C12,MakerWorld_Verileri!$A:$A,MakerWorld_Verileri!$D:$D,""),""))</x:f>
      </x:c>
      <x:c r="J12" s="82" t="str"/>
      <x:c r="K12" s="82" t="str">
        <x:f>IF($I12&lt;&gt;"",$I12,$J12)</x:f>
      </x:c>
      <x:c r="L12" s="82" t="str">
        <x:f>IF($B12="","",IFERROR(XLOOKUP($C12,MakerWorld_Verileri!$A:$A,MakerWorld_Verileri!$E:$E,""),""))</x:f>
      </x:c>
      <x:c r="M12" s="82" t="str"/>
      <x:c r="N12" s="82" t="str">
        <x:f>IF($L12&lt;&gt;"",$L12,$M12)</x:f>
      </x:c>
      <x:c r="O12" s="82" t="str">
        <x:f>IF($B12&lt;&gt;"",0,"")</x:f>
      </x:c>
      <x:c r="P12" s="75" t="str">
        <x:f>IF($B12&lt;&gt;"","Orta","")</x:f>
      </x:c>
      <x:c r="Q12" s="82" t="str">
        <x:f>IF($B12&lt;&gt;"",10,"")</x:f>
      </x:c>
      <x:c r="R12" s="83" t="str">
        <x:f>IF($B12&lt;&gt;"",Ayarlar!$B$10,"")</x:f>
      </x:c>
      <x:c r="S12" s="83" t="str">
        <x:f>IF($B12&lt;&gt;"",0,"")</x:f>
      </x:c>
      <x:c r="T12" s="83" t="n">
        <x:f>IFERROR(($K12+$O12)*XLOOKUP($G12,Ayarlar!$A$19:$A$28,Ayarlar!$C$19:$C$28,0)*(1+Ayarlar!$B$11),0)</x:f>
        <x:v>0</x:v>
      </x:c>
      <x:c r="U12" s="83" t="n">
        <x:f>IFERROR($N12/60*Ayarlar!$B$8,0)</x:f>
        <x:v>0</x:v>
      </x:c>
      <x:c r="V12" s="83" t="n">
        <x:f>IF($B12&lt;&gt;"",Ayarlar!$B$12+($Q12/60*Ayarlar!$B$9),0)</x:f>
        <x:v>0</x:v>
      </x:c>
      <x:c r="W12" s="83" t="n">
        <x:f>IF($B12&lt;&gt;"",SUM($T12:$V12,$R12:$S12),0)</x:f>
        <x:v>0</x:v>
      </x:c>
      <x:c r="X12" s="83" t="n">
        <x:f>IF($B12&lt;&gt;"",$W12*Ayarlar!$B$15,0)</x:f>
        <x:v>0</x:v>
      </x:c>
      <x:c r="Y12" s="83" t="n">
        <x:f>IF($B12&lt;&gt;"",($W12+$X12)*Ayarlar!$B$13,0)</x:f>
        <x:v>0</x:v>
      </x:c>
      <x:c r="Z12" s="83" t="n">
        <x:f>IF($B12&lt;&gt;"",($W12+$X12+$Y12)*Ayarlar!$B$14,0)</x:f>
        <x:v>0</x:v>
      </x:c>
      <x:c r="AA12" s="83" t="str">
        <x:f>IF($B12="","",IF(OR($K12="",$N12=""),"",CEILING($W12+$X12+$Y12+$Z12,Ayarlar!$B$16)))</x:f>
      </x:c>
      <x:c r="AB12" s="83" t="str">
        <x:f>IFERROR($AA12/$H12,"")</x:f>
      </x:c>
      <x:c r="AC12" s="75" t="str">
        <x:f>IF($B12="","",IF(OR($K12="",$N12=""),"Veri Eksik","Fiyat Hazır"))</x:f>
      </x:c>
      <x:c r="AD12" s="75" t="str">
        <x:f>IF($C12&lt;&gt;"","MW-"&amp;$C12,"")</x:f>
        <x:v>MW-80</x:v>
      </x:c>
      <x:c r="AE12" s="75" t="str">
        <x:f>IF($G12&lt;&gt;"","3D Baskı / "&amp;$G12,"3D Baskı")</x:f>
        <x:v>3D Baskı</x:v>
      </x:c>
      <x:c r="AF12" s="75" t="str">
        <x:f>IF($D12&lt;&gt;"",$D12&amp;" - "&amp;$G12,$AD12&amp;" - "&amp;$G12)</x:f>
        <x:v>MW-80 - </x:v>
      </x:c>
      <x:c r="AG12" s="75" t="str"/>
    </x:row>
    <x:row r="13">
      <x:c r="A13" s="75" t="str">
        <x:f>IF($B13&lt;&gt;"",ROW()-4,"")</x:f>
      </x:c>
      <x:c r="B13" s="75" t="str"/>
      <x:c r="C13" s="75" t="n">
        <x:f>IFERROR(LET(x,MID($B13,FIND("/models/",$B13)+8,80),y,LEFT(x,FIND("-",x&amp;"-")-1),LEFT(y,FIND("?",y&amp;"?")-1)),"")</x:f>
        <x:v>80</x:v>
      </x:c>
      <x:c r="D13" s="75" t="str">
        <x:f>IF($B13="","",IFERROR(XLOOKUP($C13,MakerWorld_Verileri!$A:$A,MakerWorld_Verileri!$B:$B,""),""))</x:f>
      </x:c>
      <x:c r="E13" s="75" t="str">
        <x:f>IF($B13="","",IFERROR(XLOOKUP($C13,MakerWorld_Verileri!$A:$A,MakerWorld_Verileri!$C:$C,""),""))</x:f>
      </x:c>
      <x:c r="F13" s="75" t="str"/>
      <x:c r="G13" s="75" t="str">
        <x:f>IF($B13&lt;&gt;"",Ayarlar!$B$7,"")</x:f>
      </x:c>
      <x:c r="H13" s="82" t="str">
        <x:f>IF($B13&lt;&gt;"",1,"")</x:f>
      </x:c>
      <x:c r="I13" s="82" t="str">
        <x:f>IF($B13="","",IFERROR(XLOOKUP($C13,MakerWorld_Verileri!$A:$A,MakerWorld_Verileri!$D:$D,""),""))</x:f>
      </x:c>
      <x:c r="J13" s="82" t="str"/>
      <x:c r="K13" s="82" t="str">
        <x:f>IF($I13&lt;&gt;"",$I13,$J13)</x:f>
      </x:c>
      <x:c r="L13" s="82" t="str">
        <x:f>IF($B13="","",IFERROR(XLOOKUP($C13,MakerWorld_Verileri!$A:$A,MakerWorld_Verileri!$E:$E,""),""))</x:f>
      </x:c>
      <x:c r="M13" s="82" t="str"/>
      <x:c r="N13" s="82" t="str">
        <x:f>IF($L13&lt;&gt;"",$L13,$M13)</x:f>
      </x:c>
      <x:c r="O13" s="82" t="str">
        <x:f>IF($B13&lt;&gt;"",0,"")</x:f>
      </x:c>
      <x:c r="P13" s="75" t="str">
        <x:f>IF($B13&lt;&gt;"","Orta","")</x:f>
      </x:c>
      <x:c r="Q13" s="82" t="str">
        <x:f>IF($B13&lt;&gt;"",10,"")</x:f>
      </x:c>
      <x:c r="R13" s="83" t="str">
        <x:f>IF($B13&lt;&gt;"",Ayarlar!$B$10,"")</x:f>
      </x:c>
      <x:c r="S13" s="83" t="str">
        <x:f>IF($B13&lt;&gt;"",0,"")</x:f>
      </x:c>
      <x:c r="T13" s="83" t="n">
        <x:f>IFERROR(($K13+$O13)*XLOOKUP($G13,Ayarlar!$A$19:$A$28,Ayarlar!$C$19:$C$28,0)*(1+Ayarlar!$B$11),0)</x:f>
        <x:v>0</x:v>
      </x:c>
      <x:c r="U13" s="83" t="n">
        <x:f>IFERROR($N13/60*Ayarlar!$B$8,0)</x:f>
        <x:v>0</x:v>
      </x:c>
      <x:c r="V13" s="83" t="n">
        <x:f>IF($B13&lt;&gt;"",Ayarlar!$B$12+($Q13/60*Ayarlar!$B$9),0)</x:f>
        <x:v>0</x:v>
      </x:c>
      <x:c r="W13" s="83" t="n">
        <x:f>IF($B13&lt;&gt;"",SUM($T13:$V13,$R13:$S13),0)</x:f>
        <x:v>0</x:v>
      </x:c>
      <x:c r="X13" s="83" t="n">
        <x:f>IF($B13&lt;&gt;"",$W13*Ayarlar!$B$15,0)</x:f>
        <x:v>0</x:v>
      </x:c>
      <x:c r="Y13" s="83" t="n">
        <x:f>IF($B13&lt;&gt;"",($W13+$X13)*Ayarlar!$B$13,0)</x:f>
        <x:v>0</x:v>
      </x:c>
      <x:c r="Z13" s="83" t="n">
        <x:f>IF($B13&lt;&gt;"",($W13+$X13+$Y13)*Ayarlar!$B$14,0)</x:f>
        <x:v>0</x:v>
      </x:c>
      <x:c r="AA13" s="83" t="str">
        <x:f>IF($B13="","",IF(OR($K13="",$N13=""),"",CEILING($W13+$X13+$Y13+$Z13,Ayarlar!$B$16)))</x:f>
      </x:c>
      <x:c r="AB13" s="83" t="str">
        <x:f>IFERROR($AA13/$H13,"")</x:f>
      </x:c>
      <x:c r="AC13" s="75" t="str">
        <x:f>IF($B13="","",IF(OR($K13="",$N13=""),"Veri Eksik","Fiyat Hazır"))</x:f>
      </x:c>
      <x:c r="AD13" s="75" t="str">
        <x:f>IF($C13&lt;&gt;"","MW-"&amp;$C13,"")</x:f>
        <x:v>MW-80</x:v>
      </x:c>
      <x:c r="AE13" s="75" t="str">
        <x:f>IF($G13&lt;&gt;"","3D Baskı / "&amp;$G13,"3D Baskı")</x:f>
        <x:v>3D Baskı</x:v>
      </x:c>
      <x:c r="AF13" s="75" t="str">
        <x:f>IF($D13&lt;&gt;"",$D13&amp;" - "&amp;$G13,$AD13&amp;" - "&amp;$G13)</x:f>
        <x:v>MW-80 - </x:v>
      </x:c>
      <x:c r="AG13" s="75" t="str"/>
    </x:row>
    <x:row r="14">
      <x:c r="A14" s="75" t="str">
        <x:f>IF($B14&lt;&gt;"",ROW()-4,"")</x:f>
      </x:c>
      <x:c r="B14" s="75" t="str"/>
      <x:c r="C14" s="75" t="n">
        <x:f>IFERROR(LET(x,MID($B14,FIND("/models/",$B14)+8,80),y,LEFT(x,FIND("-",x&amp;"-")-1),LEFT(y,FIND("?",y&amp;"?")-1)),"")</x:f>
        <x:v>80</x:v>
      </x:c>
      <x:c r="D14" s="75" t="str">
        <x:f>IF($B14="","",IFERROR(XLOOKUP($C14,MakerWorld_Verileri!$A:$A,MakerWorld_Verileri!$B:$B,""),""))</x:f>
      </x:c>
      <x:c r="E14" s="75" t="str">
        <x:f>IF($B14="","",IFERROR(XLOOKUP($C14,MakerWorld_Verileri!$A:$A,MakerWorld_Verileri!$C:$C,""),""))</x:f>
      </x:c>
      <x:c r="F14" s="75" t="str"/>
      <x:c r="G14" s="75" t="str">
        <x:f>IF($B14&lt;&gt;"",Ayarlar!$B$7,"")</x:f>
      </x:c>
      <x:c r="H14" s="82" t="str">
        <x:f>IF($B14&lt;&gt;"",1,"")</x:f>
      </x:c>
      <x:c r="I14" s="82" t="str">
        <x:f>IF($B14="","",IFERROR(XLOOKUP($C14,MakerWorld_Verileri!$A:$A,MakerWorld_Verileri!$D:$D,""),""))</x:f>
      </x:c>
      <x:c r="J14" s="82" t="str"/>
      <x:c r="K14" s="82" t="str">
        <x:f>IF($I14&lt;&gt;"",$I14,$J14)</x:f>
      </x:c>
      <x:c r="L14" s="82" t="str">
        <x:f>IF($B14="","",IFERROR(XLOOKUP($C14,MakerWorld_Verileri!$A:$A,MakerWorld_Verileri!$E:$E,""),""))</x:f>
      </x:c>
      <x:c r="M14" s="82" t="str"/>
      <x:c r="N14" s="82" t="str">
        <x:f>IF($L14&lt;&gt;"",$L14,$M14)</x:f>
      </x:c>
      <x:c r="O14" s="82" t="str">
        <x:f>IF($B14&lt;&gt;"",0,"")</x:f>
      </x:c>
      <x:c r="P14" s="75" t="str">
        <x:f>IF($B14&lt;&gt;"","Orta","")</x:f>
      </x:c>
      <x:c r="Q14" s="82" t="str">
        <x:f>IF($B14&lt;&gt;"",10,"")</x:f>
      </x:c>
      <x:c r="R14" s="83" t="str">
        <x:f>IF($B14&lt;&gt;"",Ayarlar!$B$10,"")</x:f>
      </x:c>
      <x:c r="S14" s="83" t="str">
        <x:f>IF($B14&lt;&gt;"",0,"")</x:f>
      </x:c>
      <x:c r="T14" s="83" t="n">
        <x:f>IFERROR(($K14+$O14)*XLOOKUP($G14,Ayarlar!$A$19:$A$28,Ayarlar!$C$19:$C$28,0)*(1+Ayarlar!$B$11),0)</x:f>
        <x:v>0</x:v>
      </x:c>
      <x:c r="U14" s="83" t="n">
        <x:f>IFERROR($N14/60*Ayarlar!$B$8,0)</x:f>
        <x:v>0</x:v>
      </x:c>
      <x:c r="V14" s="83" t="n">
        <x:f>IF($B14&lt;&gt;"",Ayarlar!$B$12+($Q14/60*Ayarlar!$B$9),0)</x:f>
        <x:v>0</x:v>
      </x:c>
      <x:c r="W14" s="83" t="n">
        <x:f>IF($B14&lt;&gt;"",SUM($T14:$V14,$R14:$S14),0)</x:f>
        <x:v>0</x:v>
      </x:c>
      <x:c r="X14" s="83" t="n">
        <x:f>IF($B14&lt;&gt;"",$W14*Ayarlar!$B$15,0)</x:f>
        <x:v>0</x:v>
      </x:c>
      <x:c r="Y14" s="83" t="n">
        <x:f>IF($B14&lt;&gt;"",($W14+$X14)*Ayarlar!$B$13,0)</x:f>
        <x:v>0</x:v>
      </x:c>
      <x:c r="Z14" s="83" t="n">
        <x:f>IF($B14&lt;&gt;"",($W14+$X14+$Y14)*Ayarlar!$B$14,0)</x:f>
        <x:v>0</x:v>
      </x:c>
      <x:c r="AA14" s="83" t="str">
        <x:f>IF($B14="","",IF(OR($K14="",$N14=""),"",CEILING($W14+$X14+$Y14+$Z14,Ayarlar!$B$16)))</x:f>
      </x:c>
      <x:c r="AB14" s="83" t="str">
        <x:f>IFERROR($AA14/$H14,"")</x:f>
      </x:c>
      <x:c r="AC14" s="75" t="str">
        <x:f>IF($B14="","",IF(OR($K14="",$N14=""),"Veri Eksik","Fiyat Hazır"))</x:f>
      </x:c>
      <x:c r="AD14" s="75" t="str">
        <x:f>IF($C14&lt;&gt;"","MW-"&amp;$C14,"")</x:f>
        <x:v>MW-80</x:v>
      </x:c>
      <x:c r="AE14" s="75" t="str">
        <x:f>IF($G14&lt;&gt;"","3D Baskı / "&amp;$G14,"3D Baskı")</x:f>
        <x:v>3D Baskı</x:v>
      </x:c>
      <x:c r="AF14" s="75" t="str">
        <x:f>IF($D14&lt;&gt;"",$D14&amp;" - "&amp;$G14,$AD14&amp;" - "&amp;$G14)</x:f>
        <x:v>MW-80 - </x:v>
      </x:c>
      <x:c r="AG14" s="75" t="str"/>
    </x:row>
    <x:row r="15">
      <x:c r="A15" s="75" t="str">
        <x:f>IF($B15&lt;&gt;"",ROW()-4,"")</x:f>
      </x:c>
      <x:c r="B15" s="75" t="str"/>
      <x:c r="C15" s="75" t="n">
        <x:f>IFERROR(LET(x,MID($B15,FIND("/models/",$B15)+8,80),y,LEFT(x,FIND("-",x&amp;"-")-1),LEFT(y,FIND("?",y&amp;"?")-1)),"")</x:f>
        <x:v>80</x:v>
      </x:c>
      <x:c r="D15" s="75" t="str">
        <x:f>IF($B15="","",IFERROR(XLOOKUP($C15,MakerWorld_Verileri!$A:$A,MakerWorld_Verileri!$B:$B,""),""))</x:f>
      </x:c>
      <x:c r="E15" s="75" t="str">
        <x:f>IF($B15="","",IFERROR(XLOOKUP($C15,MakerWorld_Verileri!$A:$A,MakerWorld_Verileri!$C:$C,""),""))</x:f>
      </x:c>
      <x:c r="F15" s="75" t="str"/>
      <x:c r="G15" s="75" t="str">
        <x:f>IF($B15&lt;&gt;"",Ayarlar!$B$7,"")</x:f>
      </x:c>
      <x:c r="H15" s="82" t="str">
        <x:f>IF($B15&lt;&gt;"",1,"")</x:f>
      </x:c>
      <x:c r="I15" s="82" t="str">
        <x:f>IF($B15="","",IFERROR(XLOOKUP($C15,MakerWorld_Verileri!$A:$A,MakerWorld_Verileri!$D:$D,""),""))</x:f>
      </x:c>
      <x:c r="J15" s="82" t="str"/>
      <x:c r="K15" s="82" t="str">
        <x:f>IF($I15&lt;&gt;"",$I15,$J15)</x:f>
      </x:c>
      <x:c r="L15" s="82" t="str">
        <x:f>IF($B15="","",IFERROR(XLOOKUP($C15,MakerWorld_Verileri!$A:$A,MakerWorld_Verileri!$E:$E,""),""))</x:f>
      </x:c>
      <x:c r="M15" s="82" t="str"/>
      <x:c r="N15" s="82" t="str">
        <x:f>IF($L15&lt;&gt;"",$L15,$M15)</x:f>
      </x:c>
      <x:c r="O15" s="82" t="str">
        <x:f>IF($B15&lt;&gt;"",0,"")</x:f>
      </x:c>
      <x:c r="P15" s="75" t="str">
        <x:f>IF($B15&lt;&gt;"","Orta","")</x:f>
      </x:c>
      <x:c r="Q15" s="82" t="str">
        <x:f>IF($B15&lt;&gt;"",10,"")</x:f>
      </x:c>
      <x:c r="R15" s="83" t="str">
        <x:f>IF($B15&lt;&gt;"",Ayarlar!$B$10,"")</x:f>
      </x:c>
      <x:c r="S15" s="83" t="str">
        <x:f>IF($B15&lt;&gt;"",0,"")</x:f>
      </x:c>
      <x:c r="T15" s="83" t="n">
        <x:f>IFERROR(($K15+$O15)*XLOOKUP($G15,Ayarlar!$A$19:$A$28,Ayarlar!$C$19:$C$28,0)*(1+Ayarlar!$B$11),0)</x:f>
        <x:v>0</x:v>
      </x:c>
      <x:c r="U15" s="83" t="n">
        <x:f>IFERROR($N15/60*Ayarlar!$B$8,0)</x:f>
        <x:v>0</x:v>
      </x:c>
      <x:c r="V15" s="83" t="n">
        <x:f>IF($B15&lt;&gt;"",Ayarlar!$B$12+($Q15/60*Ayarlar!$B$9),0)</x:f>
        <x:v>0</x:v>
      </x:c>
      <x:c r="W15" s="83" t="n">
        <x:f>IF($B15&lt;&gt;"",SUM($T15:$V15,$R15:$S15),0)</x:f>
        <x:v>0</x:v>
      </x:c>
      <x:c r="X15" s="83" t="n">
        <x:f>IF($B15&lt;&gt;"",$W15*Ayarlar!$B$15,0)</x:f>
        <x:v>0</x:v>
      </x:c>
      <x:c r="Y15" s="83" t="n">
        <x:f>IF($B15&lt;&gt;"",($W15+$X15)*Ayarlar!$B$13,0)</x:f>
        <x:v>0</x:v>
      </x:c>
      <x:c r="Z15" s="83" t="n">
        <x:f>IF($B15&lt;&gt;"",($W15+$X15+$Y15)*Ayarlar!$B$14,0)</x:f>
        <x:v>0</x:v>
      </x:c>
      <x:c r="AA15" s="83" t="str">
        <x:f>IF($B15="","",IF(OR($K15="",$N15=""),"",CEILING($W15+$X15+$Y15+$Z15,Ayarlar!$B$16)))</x:f>
      </x:c>
      <x:c r="AB15" s="83" t="str">
        <x:f>IFERROR($AA15/$H15,"")</x:f>
      </x:c>
      <x:c r="AC15" s="75" t="str">
        <x:f>IF($B15="","",IF(OR($K15="",$N15=""),"Veri Eksik","Fiyat Hazır"))</x:f>
      </x:c>
      <x:c r="AD15" s="75" t="str">
        <x:f>IF($C15&lt;&gt;"","MW-"&amp;$C15,"")</x:f>
        <x:v>MW-80</x:v>
      </x:c>
      <x:c r="AE15" s="75" t="str">
        <x:f>IF($G15&lt;&gt;"","3D Baskı / "&amp;$G15,"3D Baskı")</x:f>
        <x:v>3D Baskı</x:v>
      </x:c>
      <x:c r="AF15" s="75" t="str">
        <x:f>IF($D15&lt;&gt;"",$D15&amp;" - "&amp;$G15,$AD15&amp;" - "&amp;$G15)</x:f>
        <x:v>MW-80 - </x:v>
      </x:c>
      <x:c r="AG15" s="75" t="str"/>
    </x:row>
    <x:row r="16">
      <x:c r="A16" s="75" t="str">
        <x:f>IF($B16&lt;&gt;"",ROW()-4,"")</x:f>
      </x:c>
      <x:c r="B16" s="75" t="str"/>
      <x:c r="C16" s="75" t="n">
        <x:f>IFERROR(LET(x,MID($B16,FIND("/models/",$B16)+8,80),y,LEFT(x,FIND("-",x&amp;"-")-1),LEFT(y,FIND("?",y&amp;"?")-1)),"")</x:f>
        <x:v>80</x:v>
      </x:c>
      <x:c r="D16" s="75" t="str">
        <x:f>IF($B16="","",IFERROR(XLOOKUP($C16,MakerWorld_Verileri!$A:$A,MakerWorld_Verileri!$B:$B,""),""))</x:f>
      </x:c>
      <x:c r="E16" s="75" t="str">
        <x:f>IF($B16="","",IFERROR(XLOOKUP($C16,MakerWorld_Verileri!$A:$A,MakerWorld_Verileri!$C:$C,""),""))</x:f>
      </x:c>
      <x:c r="F16" s="75" t="str"/>
      <x:c r="G16" s="75" t="str">
        <x:f>IF($B16&lt;&gt;"",Ayarlar!$B$7,"")</x:f>
      </x:c>
      <x:c r="H16" s="82" t="str">
        <x:f>IF($B16&lt;&gt;"",1,"")</x:f>
      </x:c>
      <x:c r="I16" s="82" t="str">
        <x:f>IF($B16="","",IFERROR(XLOOKUP($C16,MakerWorld_Verileri!$A:$A,MakerWorld_Verileri!$D:$D,""),""))</x:f>
      </x:c>
      <x:c r="J16" s="82" t="str"/>
      <x:c r="K16" s="82" t="str">
        <x:f>IF($I16&lt;&gt;"",$I16,$J16)</x:f>
      </x:c>
      <x:c r="L16" s="82" t="str">
        <x:f>IF($B16="","",IFERROR(XLOOKUP($C16,MakerWorld_Verileri!$A:$A,MakerWorld_Verileri!$E:$E,""),""))</x:f>
      </x:c>
      <x:c r="M16" s="82" t="str"/>
      <x:c r="N16" s="82" t="str">
        <x:f>IF($L16&lt;&gt;"",$L16,$M16)</x:f>
      </x:c>
      <x:c r="O16" s="82" t="str">
        <x:f>IF($B16&lt;&gt;"",0,"")</x:f>
      </x:c>
      <x:c r="P16" s="75" t="str">
        <x:f>IF($B16&lt;&gt;"","Orta","")</x:f>
      </x:c>
      <x:c r="Q16" s="82" t="str">
        <x:f>IF($B16&lt;&gt;"",10,"")</x:f>
      </x:c>
      <x:c r="R16" s="83" t="str">
        <x:f>IF($B16&lt;&gt;"",Ayarlar!$B$10,"")</x:f>
      </x:c>
      <x:c r="S16" s="83" t="str">
        <x:f>IF($B16&lt;&gt;"",0,"")</x:f>
      </x:c>
      <x:c r="T16" s="83" t="n">
        <x:f>IFERROR(($K16+$O16)*XLOOKUP($G16,Ayarlar!$A$19:$A$28,Ayarlar!$C$19:$C$28,0)*(1+Ayarlar!$B$11),0)</x:f>
        <x:v>0</x:v>
      </x:c>
      <x:c r="U16" s="83" t="n">
        <x:f>IFERROR($N16/60*Ayarlar!$B$8,0)</x:f>
        <x:v>0</x:v>
      </x:c>
      <x:c r="V16" s="83" t="n">
        <x:f>IF($B16&lt;&gt;"",Ayarlar!$B$12+($Q16/60*Ayarlar!$B$9),0)</x:f>
        <x:v>0</x:v>
      </x:c>
      <x:c r="W16" s="83" t="n">
        <x:f>IF($B16&lt;&gt;"",SUM($T16:$V16,$R16:$S16),0)</x:f>
        <x:v>0</x:v>
      </x:c>
      <x:c r="X16" s="83" t="n">
        <x:f>IF($B16&lt;&gt;"",$W16*Ayarlar!$B$15,0)</x:f>
        <x:v>0</x:v>
      </x:c>
      <x:c r="Y16" s="83" t="n">
        <x:f>IF($B16&lt;&gt;"",($W16+$X16)*Ayarlar!$B$13,0)</x:f>
        <x:v>0</x:v>
      </x:c>
      <x:c r="Z16" s="83" t="n">
        <x:f>IF($B16&lt;&gt;"",($W16+$X16+$Y16)*Ayarlar!$B$14,0)</x:f>
        <x:v>0</x:v>
      </x:c>
      <x:c r="AA16" s="83" t="str">
        <x:f>IF($B16="","",IF(OR($K16="",$N16=""),"",CEILING($W16+$X16+$Y16+$Z16,Ayarlar!$B$16)))</x:f>
      </x:c>
      <x:c r="AB16" s="83" t="str">
        <x:f>IFERROR($AA16/$H16,"")</x:f>
      </x:c>
      <x:c r="AC16" s="75" t="str">
        <x:f>IF($B16="","",IF(OR($K16="",$N16=""),"Veri Eksik","Fiyat Hazır"))</x:f>
      </x:c>
      <x:c r="AD16" s="75" t="str">
        <x:f>IF($C16&lt;&gt;"","MW-"&amp;$C16,"")</x:f>
        <x:v>MW-80</x:v>
      </x:c>
      <x:c r="AE16" s="75" t="str">
        <x:f>IF($G16&lt;&gt;"","3D Baskı / "&amp;$G16,"3D Baskı")</x:f>
        <x:v>3D Baskı</x:v>
      </x:c>
      <x:c r="AF16" s="75" t="str">
        <x:f>IF($D16&lt;&gt;"",$D16&amp;" - "&amp;$G16,$AD16&amp;" - "&amp;$G16)</x:f>
        <x:v>MW-80 - </x:v>
      </x:c>
      <x:c r="AG16" s="75" t="str"/>
    </x:row>
    <x:row r="17">
      <x:c r="A17" s="75" t="str">
        <x:f>IF($B17&lt;&gt;"",ROW()-4,"")</x:f>
      </x:c>
      <x:c r="B17" s="75" t="str"/>
      <x:c r="C17" s="75" t="n">
        <x:f>IFERROR(LET(x,MID($B17,FIND("/models/",$B17)+8,80),y,LEFT(x,FIND("-",x&amp;"-")-1),LEFT(y,FIND("?",y&amp;"?")-1)),"")</x:f>
        <x:v>80</x:v>
      </x:c>
      <x:c r="D17" s="75" t="str">
        <x:f>IF($B17="","",IFERROR(XLOOKUP($C17,MakerWorld_Verileri!$A:$A,MakerWorld_Verileri!$B:$B,""),""))</x:f>
      </x:c>
      <x:c r="E17" s="75" t="str">
        <x:f>IF($B17="","",IFERROR(XLOOKUP($C17,MakerWorld_Verileri!$A:$A,MakerWorld_Verileri!$C:$C,""),""))</x:f>
      </x:c>
      <x:c r="F17" s="75" t="str"/>
      <x:c r="G17" s="75" t="str">
        <x:f>IF($B17&lt;&gt;"",Ayarlar!$B$7,"")</x:f>
      </x:c>
      <x:c r="H17" s="82" t="str">
        <x:f>IF($B17&lt;&gt;"",1,"")</x:f>
      </x:c>
      <x:c r="I17" s="82" t="str">
        <x:f>IF($B17="","",IFERROR(XLOOKUP($C17,MakerWorld_Verileri!$A:$A,MakerWorld_Verileri!$D:$D,""),""))</x:f>
      </x:c>
      <x:c r="J17" s="82" t="str"/>
      <x:c r="K17" s="82" t="str">
        <x:f>IF($I17&lt;&gt;"",$I17,$J17)</x:f>
      </x:c>
      <x:c r="L17" s="82" t="str">
        <x:f>IF($B17="","",IFERROR(XLOOKUP($C17,MakerWorld_Verileri!$A:$A,MakerWorld_Verileri!$E:$E,""),""))</x:f>
      </x:c>
      <x:c r="M17" s="82" t="str"/>
      <x:c r="N17" s="82" t="str">
        <x:f>IF($L17&lt;&gt;"",$L17,$M17)</x:f>
      </x:c>
      <x:c r="O17" s="82" t="str">
        <x:f>IF($B17&lt;&gt;"",0,"")</x:f>
      </x:c>
      <x:c r="P17" s="75" t="str">
        <x:f>IF($B17&lt;&gt;"","Orta","")</x:f>
      </x:c>
      <x:c r="Q17" s="82" t="str">
        <x:f>IF($B17&lt;&gt;"",10,"")</x:f>
      </x:c>
      <x:c r="R17" s="83" t="str">
        <x:f>IF($B17&lt;&gt;"",Ayarlar!$B$10,"")</x:f>
      </x:c>
      <x:c r="S17" s="83" t="str">
        <x:f>IF($B17&lt;&gt;"",0,"")</x:f>
      </x:c>
      <x:c r="T17" s="83" t="n">
        <x:f>IFERROR(($K17+$O17)*XLOOKUP($G17,Ayarlar!$A$19:$A$28,Ayarlar!$C$19:$C$28,0)*(1+Ayarlar!$B$11),0)</x:f>
        <x:v>0</x:v>
      </x:c>
      <x:c r="U17" s="83" t="n">
        <x:f>IFERROR($N17/60*Ayarlar!$B$8,0)</x:f>
        <x:v>0</x:v>
      </x:c>
      <x:c r="V17" s="83" t="n">
        <x:f>IF($B17&lt;&gt;"",Ayarlar!$B$12+($Q17/60*Ayarlar!$B$9),0)</x:f>
        <x:v>0</x:v>
      </x:c>
      <x:c r="W17" s="83" t="n">
        <x:f>IF($B17&lt;&gt;"",SUM($T17:$V17,$R17:$S17),0)</x:f>
        <x:v>0</x:v>
      </x:c>
      <x:c r="X17" s="83" t="n">
        <x:f>IF($B17&lt;&gt;"",$W17*Ayarlar!$B$15,0)</x:f>
        <x:v>0</x:v>
      </x:c>
      <x:c r="Y17" s="83" t="n">
        <x:f>IF($B17&lt;&gt;"",($W17+$X17)*Ayarlar!$B$13,0)</x:f>
        <x:v>0</x:v>
      </x:c>
      <x:c r="Z17" s="83" t="n">
        <x:f>IF($B17&lt;&gt;"",($W17+$X17+$Y17)*Ayarlar!$B$14,0)</x:f>
        <x:v>0</x:v>
      </x:c>
      <x:c r="AA17" s="83" t="str">
        <x:f>IF($B17="","",IF(OR($K17="",$N17=""),"",CEILING($W17+$X17+$Y17+$Z17,Ayarlar!$B$16)))</x:f>
      </x:c>
      <x:c r="AB17" s="83" t="str">
        <x:f>IFERROR($AA17/$H17,"")</x:f>
      </x:c>
      <x:c r="AC17" s="75" t="str">
        <x:f>IF($B17="","",IF(OR($K17="",$N17=""),"Veri Eksik","Fiyat Hazır"))</x:f>
      </x:c>
      <x:c r="AD17" s="75" t="str">
        <x:f>IF($C17&lt;&gt;"","MW-"&amp;$C17,"")</x:f>
        <x:v>MW-80</x:v>
      </x:c>
      <x:c r="AE17" s="75" t="str">
        <x:f>IF($G17&lt;&gt;"","3D Baskı / "&amp;$G17,"3D Baskı")</x:f>
        <x:v>3D Baskı</x:v>
      </x:c>
      <x:c r="AF17" s="75" t="str">
        <x:f>IF($D17&lt;&gt;"",$D17&amp;" - "&amp;$G17,$AD17&amp;" - "&amp;$G17)</x:f>
        <x:v>MW-80 - </x:v>
      </x:c>
      <x:c r="AG17" s="75" t="str"/>
    </x:row>
    <x:row r="18">
      <x:c r="A18" s="75" t="str">
        <x:f>IF($B18&lt;&gt;"",ROW()-4,"")</x:f>
      </x:c>
      <x:c r="B18" s="75" t="str"/>
      <x:c r="C18" s="75" t="n">
        <x:f>IFERROR(LET(x,MID($B18,FIND("/models/",$B18)+8,80),y,LEFT(x,FIND("-",x&amp;"-")-1),LEFT(y,FIND("?",y&amp;"?")-1)),"")</x:f>
        <x:v>80</x:v>
      </x:c>
      <x:c r="D18" s="75" t="str">
        <x:f>IF($B18="","",IFERROR(XLOOKUP($C18,MakerWorld_Verileri!$A:$A,MakerWorld_Verileri!$B:$B,""),""))</x:f>
      </x:c>
      <x:c r="E18" s="75" t="str">
        <x:f>IF($B18="","",IFERROR(XLOOKUP($C18,MakerWorld_Verileri!$A:$A,MakerWorld_Verileri!$C:$C,""),""))</x:f>
      </x:c>
      <x:c r="F18" s="75" t="str"/>
      <x:c r="G18" s="75" t="str">
        <x:f>IF($B18&lt;&gt;"",Ayarlar!$B$7,"")</x:f>
      </x:c>
      <x:c r="H18" s="82" t="str">
        <x:f>IF($B18&lt;&gt;"",1,"")</x:f>
      </x:c>
      <x:c r="I18" s="82" t="str">
        <x:f>IF($B18="","",IFERROR(XLOOKUP($C18,MakerWorld_Verileri!$A:$A,MakerWorld_Verileri!$D:$D,""),""))</x:f>
      </x:c>
      <x:c r="J18" s="82" t="str"/>
      <x:c r="K18" s="82" t="str">
        <x:f>IF($I18&lt;&gt;"",$I18,$J18)</x:f>
      </x:c>
      <x:c r="L18" s="82" t="str">
        <x:f>IF($B18="","",IFERROR(XLOOKUP($C18,MakerWorld_Verileri!$A:$A,MakerWorld_Verileri!$E:$E,""),""))</x:f>
      </x:c>
      <x:c r="M18" s="82" t="str"/>
      <x:c r="N18" s="82" t="str">
        <x:f>IF($L18&lt;&gt;"",$L18,$M18)</x:f>
      </x:c>
      <x:c r="O18" s="82" t="str">
        <x:f>IF($B18&lt;&gt;"",0,"")</x:f>
      </x:c>
      <x:c r="P18" s="75" t="str">
        <x:f>IF($B18&lt;&gt;"","Orta","")</x:f>
      </x:c>
      <x:c r="Q18" s="82" t="str">
        <x:f>IF($B18&lt;&gt;"",10,"")</x:f>
      </x:c>
      <x:c r="R18" s="83" t="str">
        <x:f>IF($B18&lt;&gt;"",Ayarlar!$B$10,"")</x:f>
      </x:c>
      <x:c r="S18" s="83" t="str">
        <x:f>IF($B18&lt;&gt;"",0,"")</x:f>
      </x:c>
      <x:c r="T18" s="83" t="n">
        <x:f>IFERROR(($K18+$O18)*XLOOKUP($G18,Ayarlar!$A$19:$A$28,Ayarlar!$C$19:$C$28,0)*(1+Ayarlar!$B$11),0)</x:f>
        <x:v>0</x:v>
      </x:c>
      <x:c r="U18" s="83" t="n">
        <x:f>IFERROR($N18/60*Ayarlar!$B$8,0)</x:f>
        <x:v>0</x:v>
      </x:c>
      <x:c r="V18" s="83" t="n">
        <x:f>IF($B18&lt;&gt;"",Ayarlar!$B$12+($Q18/60*Ayarlar!$B$9),0)</x:f>
        <x:v>0</x:v>
      </x:c>
      <x:c r="W18" s="83" t="n">
        <x:f>IF($B18&lt;&gt;"",SUM($T18:$V18,$R18:$S18),0)</x:f>
        <x:v>0</x:v>
      </x:c>
      <x:c r="X18" s="83" t="n">
        <x:f>IF($B18&lt;&gt;"",$W18*Ayarlar!$B$15,0)</x:f>
        <x:v>0</x:v>
      </x:c>
      <x:c r="Y18" s="83" t="n">
        <x:f>IF($B18&lt;&gt;"",($W18+$X18)*Ayarlar!$B$13,0)</x:f>
        <x:v>0</x:v>
      </x:c>
      <x:c r="Z18" s="83" t="n">
        <x:f>IF($B18&lt;&gt;"",($W18+$X18+$Y18)*Ayarlar!$B$14,0)</x:f>
        <x:v>0</x:v>
      </x:c>
      <x:c r="AA18" s="83" t="str">
        <x:f>IF($B18="","",IF(OR($K18="",$N18=""),"",CEILING($W18+$X18+$Y18+$Z18,Ayarlar!$B$16)))</x:f>
      </x:c>
      <x:c r="AB18" s="83" t="str">
        <x:f>IFERROR($AA18/$H18,"")</x:f>
      </x:c>
      <x:c r="AC18" s="75" t="str">
        <x:f>IF($B18="","",IF(OR($K18="",$N18=""),"Veri Eksik","Fiyat Hazır"))</x:f>
      </x:c>
      <x:c r="AD18" s="75" t="str">
        <x:f>IF($C18&lt;&gt;"","MW-"&amp;$C18,"")</x:f>
        <x:v>MW-80</x:v>
      </x:c>
      <x:c r="AE18" s="75" t="str">
        <x:f>IF($G18&lt;&gt;"","3D Baskı / "&amp;$G18,"3D Baskı")</x:f>
        <x:v>3D Baskı</x:v>
      </x:c>
      <x:c r="AF18" s="75" t="str">
        <x:f>IF($D18&lt;&gt;"",$D18&amp;" - "&amp;$G18,$AD18&amp;" - "&amp;$G18)</x:f>
        <x:v>MW-80 - </x:v>
      </x:c>
      <x:c r="AG18" s="75" t="str"/>
    </x:row>
    <x:row r="19">
      <x:c r="A19" s="75" t="str">
        <x:f>IF($B19&lt;&gt;"",ROW()-4,"")</x:f>
      </x:c>
      <x:c r="B19" s="75" t="str"/>
      <x:c r="C19" s="75" t="n">
        <x:f>IFERROR(LET(x,MID($B19,FIND("/models/",$B19)+8,80),y,LEFT(x,FIND("-",x&amp;"-")-1),LEFT(y,FIND("?",y&amp;"?")-1)),"")</x:f>
        <x:v>80</x:v>
      </x:c>
      <x:c r="D19" s="75" t="str">
        <x:f>IF($B19="","",IFERROR(XLOOKUP($C19,MakerWorld_Verileri!$A:$A,MakerWorld_Verileri!$B:$B,""),""))</x:f>
      </x:c>
      <x:c r="E19" s="75" t="str">
        <x:f>IF($B19="","",IFERROR(XLOOKUP($C19,MakerWorld_Verileri!$A:$A,MakerWorld_Verileri!$C:$C,""),""))</x:f>
      </x:c>
      <x:c r="F19" s="75" t="str"/>
      <x:c r="G19" s="75" t="str">
        <x:f>IF($B19&lt;&gt;"",Ayarlar!$B$7,"")</x:f>
      </x:c>
      <x:c r="H19" s="82" t="str">
        <x:f>IF($B19&lt;&gt;"",1,"")</x:f>
      </x:c>
      <x:c r="I19" s="82" t="str">
        <x:f>IF($B19="","",IFERROR(XLOOKUP($C19,MakerWorld_Verileri!$A:$A,MakerWorld_Verileri!$D:$D,""),""))</x:f>
      </x:c>
      <x:c r="J19" s="82" t="str"/>
      <x:c r="K19" s="82" t="str">
        <x:f>IF($I19&lt;&gt;"",$I19,$J19)</x:f>
      </x:c>
      <x:c r="L19" s="82" t="str">
        <x:f>IF($B19="","",IFERROR(XLOOKUP($C19,MakerWorld_Verileri!$A:$A,MakerWorld_Verileri!$E:$E,""),""))</x:f>
      </x:c>
      <x:c r="M19" s="82" t="str"/>
      <x:c r="N19" s="82" t="str">
        <x:f>IF($L19&lt;&gt;"",$L19,$M19)</x:f>
      </x:c>
      <x:c r="O19" s="82" t="str">
        <x:f>IF($B19&lt;&gt;"",0,"")</x:f>
      </x:c>
      <x:c r="P19" s="75" t="str">
        <x:f>IF($B19&lt;&gt;"","Orta","")</x:f>
      </x:c>
      <x:c r="Q19" s="82" t="str">
        <x:f>IF($B19&lt;&gt;"",10,"")</x:f>
      </x:c>
      <x:c r="R19" s="83" t="str">
        <x:f>IF($B19&lt;&gt;"",Ayarlar!$B$10,"")</x:f>
      </x:c>
      <x:c r="S19" s="83" t="str">
        <x:f>IF($B19&lt;&gt;"",0,"")</x:f>
      </x:c>
      <x:c r="T19" s="83" t="n">
        <x:f>IFERROR(($K19+$O19)*XLOOKUP($G19,Ayarlar!$A$19:$A$28,Ayarlar!$C$19:$C$28,0)*(1+Ayarlar!$B$11),0)</x:f>
        <x:v>0</x:v>
      </x:c>
      <x:c r="U19" s="83" t="n">
        <x:f>IFERROR($N19/60*Ayarlar!$B$8,0)</x:f>
        <x:v>0</x:v>
      </x:c>
      <x:c r="V19" s="83" t="n">
        <x:f>IF($B19&lt;&gt;"",Ayarlar!$B$12+($Q19/60*Ayarlar!$B$9),0)</x:f>
        <x:v>0</x:v>
      </x:c>
      <x:c r="W19" s="83" t="n">
        <x:f>IF($B19&lt;&gt;"",SUM($T19:$V19,$R19:$S19),0)</x:f>
        <x:v>0</x:v>
      </x:c>
      <x:c r="X19" s="83" t="n">
        <x:f>IF($B19&lt;&gt;"",$W19*Ayarlar!$B$15,0)</x:f>
        <x:v>0</x:v>
      </x:c>
      <x:c r="Y19" s="83" t="n">
        <x:f>IF($B19&lt;&gt;"",($W19+$X19)*Ayarlar!$B$13,0)</x:f>
        <x:v>0</x:v>
      </x:c>
      <x:c r="Z19" s="83" t="n">
        <x:f>IF($B19&lt;&gt;"",($W19+$X19+$Y19)*Ayarlar!$B$14,0)</x:f>
        <x:v>0</x:v>
      </x:c>
      <x:c r="AA19" s="83" t="str">
        <x:f>IF($B19="","",IF(OR($K19="",$N19=""),"",CEILING($W19+$X19+$Y19+$Z19,Ayarlar!$B$16)))</x:f>
      </x:c>
      <x:c r="AB19" s="83" t="str">
        <x:f>IFERROR($AA19/$H19,"")</x:f>
      </x:c>
      <x:c r="AC19" s="75" t="str">
        <x:f>IF($B19="","",IF(OR($K19="",$N19=""),"Veri Eksik","Fiyat Hazır"))</x:f>
      </x:c>
      <x:c r="AD19" s="75" t="str">
        <x:f>IF($C19&lt;&gt;"","MW-"&amp;$C19,"")</x:f>
        <x:v>MW-80</x:v>
      </x:c>
      <x:c r="AE19" s="75" t="str">
        <x:f>IF($G19&lt;&gt;"","3D Baskı / "&amp;$G19,"3D Baskı")</x:f>
        <x:v>3D Baskı</x:v>
      </x:c>
      <x:c r="AF19" s="75" t="str">
        <x:f>IF($D19&lt;&gt;"",$D19&amp;" - "&amp;$G19,$AD19&amp;" - "&amp;$G19)</x:f>
        <x:v>MW-80 - </x:v>
      </x:c>
      <x:c r="AG19" s="75" t="str"/>
    </x:row>
    <x:row r="20">
      <x:c r="A20" s="75" t="str">
        <x:f>IF($B20&lt;&gt;"",ROW()-4,"")</x:f>
      </x:c>
      <x:c r="B20" s="75" t="str"/>
      <x:c r="C20" s="75" t="n">
        <x:f>IFERROR(LET(x,MID($B20,FIND("/models/",$B20)+8,80),y,LEFT(x,FIND("-",x&amp;"-")-1),LEFT(y,FIND("?",y&amp;"?")-1)),"")</x:f>
        <x:v>80</x:v>
      </x:c>
      <x:c r="D20" s="75" t="str">
        <x:f>IF($B20="","",IFERROR(XLOOKUP($C20,MakerWorld_Verileri!$A:$A,MakerWorld_Verileri!$B:$B,""),""))</x:f>
      </x:c>
      <x:c r="E20" s="75" t="str">
        <x:f>IF($B20="","",IFERROR(XLOOKUP($C20,MakerWorld_Verileri!$A:$A,MakerWorld_Verileri!$C:$C,""),""))</x:f>
      </x:c>
      <x:c r="F20" s="75" t="str"/>
      <x:c r="G20" s="75" t="str">
        <x:f>IF($B20&lt;&gt;"",Ayarlar!$B$7,"")</x:f>
      </x:c>
      <x:c r="H20" s="82" t="str">
        <x:f>IF($B20&lt;&gt;"",1,"")</x:f>
      </x:c>
      <x:c r="I20" s="82" t="str">
        <x:f>IF($B20="","",IFERROR(XLOOKUP($C20,MakerWorld_Verileri!$A:$A,MakerWorld_Verileri!$D:$D,""),""))</x:f>
      </x:c>
      <x:c r="J20" s="82" t="str"/>
      <x:c r="K20" s="82" t="str">
        <x:f>IF($I20&lt;&gt;"",$I20,$J20)</x:f>
      </x:c>
      <x:c r="L20" s="82" t="str">
        <x:f>IF($B20="","",IFERROR(XLOOKUP($C20,MakerWorld_Verileri!$A:$A,MakerWorld_Verileri!$E:$E,""),""))</x:f>
      </x:c>
      <x:c r="M20" s="82" t="str"/>
      <x:c r="N20" s="82" t="str">
        <x:f>IF($L20&lt;&gt;"",$L20,$M20)</x:f>
      </x:c>
      <x:c r="O20" s="82" t="str">
        <x:f>IF($B20&lt;&gt;"",0,"")</x:f>
      </x:c>
      <x:c r="P20" s="75" t="str">
        <x:f>IF($B20&lt;&gt;"","Orta","")</x:f>
      </x:c>
      <x:c r="Q20" s="82" t="str">
        <x:f>IF($B20&lt;&gt;"",10,"")</x:f>
      </x:c>
      <x:c r="R20" s="83" t="str">
        <x:f>IF($B20&lt;&gt;"",Ayarlar!$B$10,"")</x:f>
      </x:c>
      <x:c r="S20" s="83" t="str">
        <x:f>IF($B20&lt;&gt;"",0,"")</x:f>
      </x:c>
      <x:c r="T20" s="83" t="n">
        <x:f>IFERROR(($K20+$O20)*XLOOKUP($G20,Ayarlar!$A$19:$A$28,Ayarlar!$C$19:$C$28,0)*(1+Ayarlar!$B$11),0)</x:f>
        <x:v>0</x:v>
      </x:c>
      <x:c r="U20" s="83" t="n">
        <x:f>IFERROR($N20/60*Ayarlar!$B$8,0)</x:f>
        <x:v>0</x:v>
      </x:c>
      <x:c r="V20" s="83" t="n">
        <x:f>IF($B20&lt;&gt;"",Ayarlar!$B$12+($Q20/60*Ayarlar!$B$9),0)</x:f>
        <x:v>0</x:v>
      </x:c>
      <x:c r="W20" s="83" t="n">
        <x:f>IF($B20&lt;&gt;"",SUM($T20:$V20,$R20:$S20),0)</x:f>
        <x:v>0</x:v>
      </x:c>
      <x:c r="X20" s="83" t="n">
        <x:f>IF($B20&lt;&gt;"",$W20*Ayarlar!$B$15,0)</x:f>
        <x:v>0</x:v>
      </x:c>
      <x:c r="Y20" s="83" t="n">
        <x:f>IF($B20&lt;&gt;"",($W20+$X20)*Ayarlar!$B$13,0)</x:f>
        <x:v>0</x:v>
      </x:c>
      <x:c r="Z20" s="83" t="n">
        <x:f>IF($B20&lt;&gt;"",($W20+$X20+$Y20)*Ayarlar!$B$14,0)</x:f>
        <x:v>0</x:v>
      </x:c>
      <x:c r="AA20" s="83" t="str">
        <x:f>IF($B20="","",IF(OR($K20="",$N20=""),"",CEILING($W20+$X20+$Y20+$Z20,Ayarlar!$B$16)))</x:f>
      </x:c>
      <x:c r="AB20" s="83" t="str">
        <x:f>IFERROR($AA20/$H20,"")</x:f>
      </x:c>
      <x:c r="AC20" s="75" t="str">
        <x:f>IF($B20="","",IF(OR($K20="",$N20=""),"Veri Eksik","Fiyat Hazır"))</x:f>
      </x:c>
      <x:c r="AD20" s="75" t="str">
        <x:f>IF($C20&lt;&gt;"","MW-"&amp;$C20,"")</x:f>
        <x:v>MW-80</x:v>
      </x:c>
      <x:c r="AE20" s="75" t="str">
        <x:f>IF($G20&lt;&gt;"","3D Baskı / "&amp;$G20,"3D Baskı")</x:f>
        <x:v>3D Baskı</x:v>
      </x:c>
      <x:c r="AF20" s="75" t="str">
        <x:f>IF($D20&lt;&gt;"",$D20&amp;" - "&amp;$G20,$AD20&amp;" - "&amp;$G20)</x:f>
        <x:v>MW-80 - </x:v>
      </x:c>
      <x:c r="AG20" s="75" t="str"/>
    </x:row>
    <x:row r="21">
      <x:c r="A21" s="75" t="str">
        <x:f>IF($B21&lt;&gt;"",ROW()-4,"")</x:f>
      </x:c>
      <x:c r="B21" s="75" t="str"/>
      <x:c r="C21" s="75" t="n">
        <x:f>IFERROR(LET(x,MID($B21,FIND("/models/",$B21)+8,80),y,LEFT(x,FIND("-",x&amp;"-")-1),LEFT(y,FIND("?",y&amp;"?")-1)),"")</x:f>
        <x:v>80</x:v>
      </x:c>
      <x:c r="D21" s="75" t="str">
        <x:f>IF($B21="","",IFERROR(XLOOKUP($C21,MakerWorld_Verileri!$A:$A,MakerWorld_Verileri!$B:$B,""),""))</x:f>
      </x:c>
      <x:c r="E21" s="75" t="str">
        <x:f>IF($B21="","",IFERROR(XLOOKUP($C21,MakerWorld_Verileri!$A:$A,MakerWorld_Verileri!$C:$C,""),""))</x:f>
      </x:c>
      <x:c r="F21" s="75" t="str"/>
      <x:c r="G21" s="75" t="str">
        <x:f>IF($B21&lt;&gt;"",Ayarlar!$B$7,"")</x:f>
      </x:c>
      <x:c r="H21" s="82" t="str">
        <x:f>IF($B21&lt;&gt;"",1,"")</x:f>
      </x:c>
      <x:c r="I21" s="82" t="str">
        <x:f>IF($B21="","",IFERROR(XLOOKUP($C21,MakerWorld_Verileri!$A:$A,MakerWorld_Verileri!$D:$D,""),""))</x:f>
      </x:c>
      <x:c r="J21" s="82" t="str"/>
      <x:c r="K21" s="82" t="str">
        <x:f>IF($I21&lt;&gt;"",$I21,$J21)</x:f>
      </x:c>
      <x:c r="L21" s="82" t="str">
        <x:f>IF($B21="","",IFERROR(XLOOKUP($C21,MakerWorld_Verileri!$A:$A,MakerWorld_Verileri!$E:$E,""),""))</x:f>
      </x:c>
      <x:c r="M21" s="82" t="str"/>
      <x:c r="N21" s="82" t="str">
        <x:f>IF($L21&lt;&gt;"",$L21,$M21)</x:f>
      </x:c>
      <x:c r="O21" s="82" t="str">
        <x:f>IF($B21&lt;&gt;"",0,"")</x:f>
      </x:c>
      <x:c r="P21" s="75" t="str">
        <x:f>IF($B21&lt;&gt;"","Orta","")</x:f>
      </x:c>
      <x:c r="Q21" s="82" t="str">
        <x:f>IF($B21&lt;&gt;"",10,"")</x:f>
      </x:c>
      <x:c r="R21" s="83" t="str">
        <x:f>IF($B21&lt;&gt;"",Ayarlar!$B$10,"")</x:f>
      </x:c>
      <x:c r="S21" s="83" t="str">
        <x:f>IF($B21&lt;&gt;"",0,"")</x:f>
      </x:c>
      <x:c r="T21" s="83" t="n">
        <x:f>IFERROR(($K21+$O21)*XLOOKUP($G21,Ayarlar!$A$19:$A$28,Ayarlar!$C$19:$C$28,0)*(1+Ayarlar!$B$11),0)</x:f>
        <x:v>0</x:v>
      </x:c>
      <x:c r="U21" s="83" t="n">
        <x:f>IFERROR($N21/60*Ayarlar!$B$8,0)</x:f>
        <x:v>0</x:v>
      </x:c>
      <x:c r="V21" s="83" t="n">
        <x:f>IF($B21&lt;&gt;"",Ayarlar!$B$12+($Q21/60*Ayarlar!$B$9),0)</x:f>
        <x:v>0</x:v>
      </x:c>
      <x:c r="W21" s="83" t="n">
        <x:f>IF($B21&lt;&gt;"",SUM($T21:$V21,$R21:$S21),0)</x:f>
        <x:v>0</x:v>
      </x:c>
      <x:c r="X21" s="83" t="n">
        <x:f>IF($B21&lt;&gt;"",$W21*Ayarlar!$B$15,0)</x:f>
        <x:v>0</x:v>
      </x:c>
      <x:c r="Y21" s="83" t="n">
        <x:f>IF($B21&lt;&gt;"",($W21+$X21)*Ayarlar!$B$13,0)</x:f>
        <x:v>0</x:v>
      </x:c>
      <x:c r="Z21" s="83" t="n">
        <x:f>IF($B21&lt;&gt;"",($W21+$X21+$Y21)*Ayarlar!$B$14,0)</x:f>
        <x:v>0</x:v>
      </x:c>
      <x:c r="AA21" s="83" t="str">
        <x:f>IF($B21="","",IF(OR($K21="",$N21=""),"",CEILING($W21+$X21+$Y21+$Z21,Ayarlar!$B$16)))</x:f>
      </x:c>
      <x:c r="AB21" s="83" t="str">
        <x:f>IFERROR($AA21/$H21,"")</x:f>
      </x:c>
      <x:c r="AC21" s="75" t="str">
        <x:f>IF($B21="","",IF(OR($K21="",$N21=""),"Veri Eksik","Fiyat Hazır"))</x:f>
      </x:c>
      <x:c r="AD21" s="75" t="str">
        <x:f>IF($C21&lt;&gt;"","MW-"&amp;$C21,"")</x:f>
        <x:v>MW-80</x:v>
      </x:c>
      <x:c r="AE21" s="75" t="str">
        <x:f>IF($G21&lt;&gt;"","3D Baskı / "&amp;$G21,"3D Baskı")</x:f>
        <x:v>3D Baskı</x:v>
      </x:c>
      <x:c r="AF21" s="75" t="str">
        <x:f>IF($D21&lt;&gt;"",$D21&amp;" - "&amp;$G21,$AD21&amp;" - "&amp;$G21)</x:f>
        <x:v>MW-80 - </x:v>
      </x:c>
      <x:c r="AG21" s="75" t="str"/>
    </x:row>
    <x:row r="22">
      <x:c r="A22" s="75" t="str">
        <x:f>IF($B22&lt;&gt;"",ROW()-4,"")</x:f>
      </x:c>
      <x:c r="B22" s="75" t="str"/>
      <x:c r="C22" s="75" t="n">
        <x:f>IFERROR(LET(x,MID($B22,FIND("/models/",$B22)+8,80),y,LEFT(x,FIND("-",x&amp;"-")-1),LEFT(y,FIND("?",y&amp;"?")-1)),"")</x:f>
        <x:v>80</x:v>
      </x:c>
      <x:c r="D22" s="75" t="str">
        <x:f>IF($B22="","",IFERROR(XLOOKUP($C22,MakerWorld_Verileri!$A:$A,MakerWorld_Verileri!$B:$B,""),""))</x:f>
      </x:c>
      <x:c r="E22" s="75" t="str">
        <x:f>IF($B22="","",IFERROR(XLOOKUP($C22,MakerWorld_Verileri!$A:$A,MakerWorld_Verileri!$C:$C,""),""))</x:f>
      </x:c>
      <x:c r="F22" s="75" t="str"/>
      <x:c r="G22" s="75" t="str">
        <x:f>IF($B22&lt;&gt;"",Ayarlar!$B$7,"")</x:f>
      </x:c>
      <x:c r="H22" s="82" t="str">
        <x:f>IF($B22&lt;&gt;"",1,"")</x:f>
      </x:c>
      <x:c r="I22" s="82" t="str">
        <x:f>IF($B22="","",IFERROR(XLOOKUP($C22,MakerWorld_Verileri!$A:$A,MakerWorld_Verileri!$D:$D,""),""))</x:f>
      </x:c>
      <x:c r="J22" s="82" t="str"/>
      <x:c r="K22" s="82" t="str">
        <x:f>IF($I22&lt;&gt;"",$I22,$J22)</x:f>
      </x:c>
      <x:c r="L22" s="82" t="str">
        <x:f>IF($B22="","",IFERROR(XLOOKUP($C22,MakerWorld_Verileri!$A:$A,MakerWorld_Verileri!$E:$E,""),""))</x:f>
      </x:c>
      <x:c r="M22" s="82" t="str"/>
      <x:c r="N22" s="82" t="str">
        <x:f>IF($L22&lt;&gt;"",$L22,$M22)</x:f>
      </x:c>
      <x:c r="O22" s="82" t="str">
        <x:f>IF($B22&lt;&gt;"",0,"")</x:f>
      </x:c>
      <x:c r="P22" s="75" t="str">
        <x:f>IF($B22&lt;&gt;"","Orta","")</x:f>
      </x:c>
      <x:c r="Q22" s="82" t="str">
        <x:f>IF($B22&lt;&gt;"",10,"")</x:f>
      </x:c>
      <x:c r="R22" s="83" t="str">
        <x:f>IF($B22&lt;&gt;"",Ayarlar!$B$10,"")</x:f>
      </x:c>
      <x:c r="S22" s="83" t="str">
        <x:f>IF($B22&lt;&gt;"",0,"")</x:f>
      </x:c>
      <x:c r="T22" s="83" t="n">
        <x:f>IFERROR(($K22+$O22)*XLOOKUP($G22,Ayarlar!$A$19:$A$28,Ayarlar!$C$19:$C$28,0)*(1+Ayarlar!$B$11),0)</x:f>
        <x:v>0</x:v>
      </x:c>
      <x:c r="U22" s="83" t="n">
        <x:f>IFERROR($N22/60*Ayarlar!$B$8,0)</x:f>
        <x:v>0</x:v>
      </x:c>
      <x:c r="V22" s="83" t="n">
        <x:f>IF($B22&lt;&gt;"",Ayarlar!$B$12+($Q22/60*Ayarlar!$B$9),0)</x:f>
        <x:v>0</x:v>
      </x:c>
      <x:c r="W22" s="83" t="n">
        <x:f>IF($B22&lt;&gt;"",SUM($T22:$V22,$R22:$S22),0)</x:f>
        <x:v>0</x:v>
      </x:c>
      <x:c r="X22" s="83" t="n">
        <x:f>IF($B22&lt;&gt;"",$W22*Ayarlar!$B$15,0)</x:f>
        <x:v>0</x:v>
      </x:c>
      <x:c r="Y22" s="83" t="n">
        <x:f>IF($B22&lt;&gt;"",($W22+$X22)*Ayarlar!$B$13,0)</x:f>
        <x:v>0</x:v>
      </x:c>
      <x:c r="Z22" s="83" t="n">
        <x:f>IF($B22&lt;&gt;"",($W22+$X22+$Y22)*Ayarlar!$B$14,0)</x:f>
        <x:v>0</x:v>
      </x:c>
      <x:c r="AA22" s="83" t="str">
        <x:f>IF($B22="","",IF(OR($K22="",$N22=""),"",CEILING($W22+$X22+$Y22+$Z22,Ayarlar!$B$16)))</x:f>
      </x:c>
      <x:c r="AB22" s="83" t="str">
        <x:f>IFERROR($AA22/$H22,"")</x:f>
      </x:c>
      <x:c r="AC22" s="75" t="str">
        <x:f>IF($B22="","",IF(OR($K22="",$N22=""),"Veri Eksik","Fiyat Hazır"))</x:f>
      </x:c>
      <x:c r="AD22" s="75" t="str">
        <x:f>IF($C22&lt;&gt;"","MW-"&amp;$C22,"")</x:f>
        <x:v>MW-80</x:v>
      </x:c>
      <x:c r="AE22" s="75" t="str">
        <x:f>IF($G22&lt;&gt;"","3D Baskı / "&amp;$G22,"3D Baskı")</x:f>
        <x:v>3D Baskı</x:v>
      </x:c>
      <x:c r="AF22" s="75" t="str">
        <x:f>IF($D22&lt;&gt;"",$D22&amp;" - "&amp;$G22,$AD22&amp;" - "&amp;$G22)</x:f>
        <x:v>MW-80 - </x:v>
      </x:c>
      <x:c r="AG22" s="75" t="str"/>
    </x:row>
    <x:row r="23">
      <x:c r="A23" s="75" t="str">
        <x:f>IF($B23&lt;&gt;"",ROW()-4,"")</x:f>
      </x:c>
      <x:c r="B23" s="75" t="str"/>
      <x:c r="C23" s="75" t="n">
        <x:f>IFERROR(LET(x,MID($B23,FIND("/models/",$B23)+8,80),y,LEFT(x,FIND("-",x&amp;"-")-1),LEFT(y,FIND("?",y&amp;"?")-1)),"")</x:f>
        <x:v>80</x:v>
      </x:c>
      <x:c r="D23" s="75" t="str">
        <x:f>IF($B23="","",IFERROR(XLOOKUP($C23,MakerWorld_Verileri!$A:$A,MakerWorld_Verileri!$B:$B,""),""))</x:f>
      </x:c>
      <x:c r="E23" s="75" t="str">
        <x:f>IF($B23="","",IFERROR(XLOOKUP($C23,MakerWorld_Verileri!$A:$A,MakerWorld_Verileri!$C:$C,""),""))</x:f>
      </x:c>
      <x:c r="F23" s="75" t="str"/>
      <x:c r="G23" s="75" t="str">
        <x:f>IF($B23&lt;&gt;"",Ayarlar!$B$7,"")</x:f>
      </x:c>
      <x:c r="H23" s="82" t="str">
        <x:f>IF($B23&lt;&gt;"",1,"")</x:f>
      </x:c>
      <x:c r="I23" s="82" t="str">
        <x:f>IF($B23="","",IFERROR(XLOOKUP($C23,MakerWorld_Verileri!$A:$A,MakerWorld_Verileri!$D:$D,""),""))</x:f>
      </x:c>
      <x:c r="J23" s="82" t="str"/>
      <x:c r="K23" s="82" t="str">
        <x:f>IF($I23&lt;&gt;"",$I23,$J23)</x:f>
      </x:c>
      <x:c r="L23" s="82" t="str">
        <x:f>IF($B23="","",IFERROR(XLOOKUP($C23,MakerWorld_Verileri!$A:$A,MakerWorld_Verileri!$E:$E,""),""))</x:f>
      </x:c>
      <x:c r="M23" s="82" t="str"/>
      <x:c r="N23" s="82" t="str">
        <x:f>IF($L23&lt;&gt;"",$L23,$M23)</x:f>
      </x:c>
      <x:c r="O23" s="82" t="str">
        <x:f>IF($B23&lt;&gt;"",0,"")</x:f>
      </x:c>
      <x:c r="P23" s="75" t="str">
        <x:f>IF($B23&lt;&gt;"","Orta","")</x:f>
      </x:c>
      <x:c r="Q23" s="82" t="str">
        <x:f>IF($B23&lt;&gt;"",10,"")</x:f>
      </x:c>
      <x:c r="R23" s="83" t="str">
        <x:f>IF($B23&lt;&gt;"",Ayarlar!$B$10,"")</x:f>
      </x:c>
      <x:c r="S23" s="83" t="str">
        <x:f>IF($B23&lt;&gt;"",0,"")</x:f>
      </x:c>
      <x:c r="T23" s="83" t="n">
        <x:f>IFERROR(($K23+$O23)*XLOOKUP($G23,Ayarlar!$A$19:$A$28,Ayarlar!$C$19:$C$28,0)*(1+Ayarlar!$B$11),0)</x:f>
        <x:v>0</x:v>
      </x:c>
      <x:c r="U23" s="83" t="n">
        <x:f>IFERROR($N23/60*Ayarlar!$B$8,0)</x:f>
        <x:v>0</x:v>
      </x:c>
      <x:c r="V23" s="83" t="n">
        <x:f>IF($B23&lt;&gt;"",Ayarlar!$B$12+($Q23/60*Ayarlar!$B$9),0)</x:f>
        <x:v>0</x:v>
      </x:c>
      <x:c r="W23" s="83" t="n">
        <x:f>IF($B23&lt;&gt;"",SUM($T23:$V23,$R23:$S23),0)</x:f>
        <x:v>0</x:v>
      </x:c>
      <x:c r="X23" s="83" t="n">
        <x:f>IF($B23&lt;&gt;"",$W23*Ayarlar!$B$15,0)</x:f>
        <x:v>0</x:v>
      </x:c>
      <x:c r="Y23" s="83" t="n">
        <x:f>IF($B23&lt;&gt;"",($W23+$X23)*Ayarlar!$B$13,0)</x:f>
        <x:v>0</x:v>
      </x:c>
      <x:c r="Z23" s="83" t="n">
        <x:f>IF($B23&lt;&gt;"",($W23+$X23+$Y23)*Ayarlar!$B$14,0)</x:f>
        <x:v>0</x:v>
      </x:c>
      <x:c r="AA23" s="83" t="str">
        <x:f>IF($B23="","",IF(OR($K23="",$N23=""),"",CEILING($W23+$X23+$Y23+$Z23,Ayarlar!$B$16)))</x:f>
      </x:c>
      <x:c r="AB23" s="83" t="str">
        <x:f>IFERROR($AA23/$H23,"")</x:f>
      </x:c>
      <x:c r="AC23" s="75" t="str">
        <x:f>IF($B23="","",IF(OR($K23="",$N23=""),"Veri Eksik","Fiyat Hazır"))</x:f>
      </x:c>
      <x:c r="AD23" s="75" t="str">
        <x:f>IF($C23&lt;&gt;"","MW-"&amp;$C23,"")</x:f>
        <x:v>MW-80</x:v>
      </x:c>
      <x:c r="AE23" s="75" t="str">
        <x:f>IF($G23&lt;&gt;"","3D Baskı / "&amp;$G23,"3D Baskı")</x:f>
        <x:v>3D Baskı</x:v>
      </x:c>
      <x:c r="AF23" s="75" t="str">
        <x:f>IF($D23&lt;&gt;"",$D23&amp;" - "&amp;$G23,$AD23&amp;" - "&amp;$G23)</x:f>
        <x:v>MW-80 - </x:v>
      </x:c>
      <x:c r="AG23" s="75" t="str"/>
    </x:row>
    <x:row r="24">
      <x:c r="A24" s="75" t="str">
        <x:f>IF($B24&lt;&gt;"",ROW()-4,"")</x:f>
      </x:c>
      <x:c r="B24" s="75" t="str"/>
      <x:c r="C24" s="75" t="n">
        <x:f>IFERROR(LET(x,MID($B24,FIND("/models/",$B24)+8,80),y,LEFT(x,FIND("-",x&amp;"-")-1),LEFT(y,FIND("?",y&amp;"?")-1)),"")</x:f>
        <x:v>80</x:v>
      </x:c>
      <x:c r="D24" s="75" t="str">
        <x:f>IF($B24="","",IFERROR(XLOOKUP($C24,MakerWorld_Verileri!$A:$A,MakerWorld_Verileri!$B:$B,""),""))</x:f>
      </x:c>
      <x:c r="E24" s="75" t="str">
        <x:f>IF($B24="","",IFERROR(XLOOKUP($C24,MakerWorld_Verileri!$A:$A,MakerWorld_Verileri!$C:$C,""),""))</x:f>
      </x:c>
      <x:c r="F24" s="75" t="str"/>
      <x:c r="G24" s="75" t="str">
        <x:f>IF($B24&lt;&gt;"",Ayarlar!$B$7,"")</x:f>
      </x:c>
      <x:c r="H24" s="82" t="str">
        <x:f>IF($B24&lt;&gt;"",1,"")</x:f>
      </x:c>
      <x:c r="I24" s="82" t="str">
        <x:f>IF($B24="","",IFERROR(XLOOKUP($C24,MakerWorld_Verileri!$A:$A,MakerWorld_Verileri!$D:$D,""),""))</x:f>
      </x:c>
      <x:c r="J24" s="82" t="str"/>
      <x:c r="K24" s="82" t="str">
        <x:f>IF($I24&lt;&gt;"",$I24,$J24)</x:f>
      </x:c>
      <x:c r="L24" s="82" t="str">
        <x:f>IF($B24="","",IFERROR(XLOOKUP($C24,MakerWorld_Verileri!$A:$A,MakerWorld_Verileri!$E:$E,""),""))</x:f>
      </x:c>
      <x:c r="M24" s="82" t="str"/>
      <x:c r="N24" s="82" t="str">
        <x:f>IF($L24&lt;&gt;"",$L24,$M24)</x:f>
      </x:c>
      <x:c r="O24" s="82" t="str">
        <x:f>IF($B24&lt;&gt;"",0,"")</x:f>
      </x:c>
      <x:c r="P24" s="75" t="str">
        <x:f>IF($B24&lt;&gt;"","Orta","")</x:f>
      </x:c>
      <x:c r="Q24" s="82" t="str">
        <x:f>IF($B24&lt;&gt;"",10,"")</x:f>
      </x:c>
      <x:c r="R24" s="83" t="str">
        <x:f>IF($B24&lt;&gt;"",Ayarlar!$B$10,"")</x:f>
      </x:c>
      <x:c r="S24" s="83" t="str">
        <x:f>IF($B24&lt;&gt;"",0,"")</x:f>
      </x:c>
      <x:c r="T24" s="83" t="n">
        <x:f>IFERROR(($K24+$O24)*XLOOKUP($G24,Ayarlar!$A$19:$A$28,Ayarlar!$C$19:$C$28,0)*(1+Ayarlar!$B$11),0)</x:f>
        <x:v>0</x:v>
      </x:c>
      <x:c r="U24" s="83" t="n">
        <x:f>IFERROR($N24/60*Ayarlar!$B$8,0)</x:f>
        <x:v>0</x:v>
      </x:c>
      <x:c r="V24" s="83" t="n">
        <x:f>IF($B24&lt;&gt;"",Ayarlar!$B$12+($Q24/60*Ayarlar!$B$9),0)</x:f>
        <x:v>0</x:v>
      </x:c>
      <x:c r="W24" s="83" t="n">
        <x:f>IF($B24&lt;&gt;"",SUM($T24:$V24,$R24:$S24),0)</x:f>
        <x:v>0</x:v>
      </x:c>
      <x:c r="X24" s="83" t="n">
        <x:f>IF($B24&lt;&gt;"",$W24*Ayarlar!$B$15,0)</x:f>
        <x:v>0</x:v>
      </x:c>
      <x:c r="Y24" s="83" t="n">
        <x:f>IF($B24&lt;&gt;"",($W24+$X24)*Ayarlar!$B$13,0)</x:f>
        <x:v>0</x:v>
      </x:c>
      <x:c r="Z24" s="83" t="n">
        <x:f>IF($B24&lt;&gt;"",($W24+$X24+$Y24)*Ayarlar!$B$14,0)</x:f>
        <x:v>0</x:v>
      </x:c>
      <x:c r="AA24" s="83" t="str">
        <x:f>IF($B24="","",IF(OR($K24="",$N24=""),"",CEILING($W24+$X24+$Y24+$Z24,Ayarlar!$B$16)))</x:f>
      </x:c>
      <x:c r="AB24" s="83" t="str">
        <x:f>IFERROR($AA24/$H24,"")</x:f>
      </x:c>
      <x:c r="AC24" s="75" t="str">
        <x:f>IF($B24="","",IF(OR($K24="",$N24=""),"Veri Eksik","Fiyat Hazır"))</x:f>
      </x:c>
      <x:c r="AD24" s="75" t="str">
        <x:f>IF($C24&lt;&gt;"","MW-"&amp;$C24,"")</x:f>
        <x:v>MW-80</x:v>
      </x:c>
      <x:c r="AE24" s="75" t="str">
        <x:f>IF($G24&lt;&gt;"","3D Baskı / "&amp;$G24,"3D Baskı")</x:f>
        <x:v>3D Baskı</x:v>
      </x:c>
      <x:c r="AF24" s="75" t="str">
        <x:f>IF($D24&lt;&gt;"",$D24&amp;" - "&amp;$G24,$AD24&amp;" - "&amp;$G24)</x:f>
        <x:v>MW-80 - </x:v>
      </x:c>
      <x:c r="AG24" s="75" t="str"/>
    </x:row>
    <x:row r="25">
      <x:c r="A25" s="75" t="str">
        <x:f>IF($B25&lt;&gt;"",ROW()-4,"")</x:f>
      </x:c>
      <x:c r="B25" s="75" t="str"/>
      <x:c r="C25" s="75" t="n">
        <x:f>IFERROR(LET(x,MID($B25,FIND("/models/",$B25)+8,80),y,LEFT(x,FIND("-",x&amp;"-")-1),LEFT(y,FIND("?",y&amp;"?")-1)),"")</x:f>
        <x:v>80</x:v>
      </x:c>
      <x:c r="D25" s="75" t="str">
        <x:f>IF($B25="","",IFERROR(XLOOKUP($C25,MakerWorld_Verileri!$A:$A,MakerWorld_Verileri!$B:$B,""),""))</x:f>
      </x:c>
      <x:c r="E25" s="75" t="str">
        <x:f>IF($B25="","",IFERROR(XLOOKUP($C25,MakerWorld_Verileri!$A:$A,MakerWorld_Verileri!$C:$C,""),""))</x:f>
      </x:c>
      <x:c r="F25" s="75" t="str"/>
      <x:c r="G25" s="75" t="str">
        <x:f>IF($B25&lt;&gt;"",Ayarlar!$B$7,"")</x:f>
      </x:c>
      <x:c r="H25" s="82" t="str">
        <x:f>IF($B25&lt;&gt;"",1,"")</x:f>
      </x:c>
      <x:c r="I25" s="82" t="str">
        <x:f>IF($B25="","",IFERROR(XLOOKUP($C25,MakerWorld_Verileri!$A:$A,MakerWorld_Verileri!$D:$D,""),""))</x:f>
      </x:c>
      <x:c r="J25" s="82" t="str"/>
      <x:c r="K25" s="82" t="str">
        <x:f>IF($I25&lt;&gt;"",$I25,$J25)</x:f>
      </x:c>
      <x:c r="L25" s="82" t="str">
        <x:f>IF($B25="","",IFERROR(XLOOKUP($C25,MakerWorld_Verileri!$A:$A,MakerWorld_Verileri!$E:$E,""),""))</x:f>
      </x:c>
      <x:c r="M25" s="82" t="str"/>
      <x:c r="N25" s="82" t="str">
        <x:f>IF($L25&lt;&gt;"",$L25,$M25)</x:f>
      </x:c>
      <x:c r="O25" s="82" t="str">
        <x:f>IF($B25&lt;&gt;"",0,"")</x:f>
      </x:c>
      <x:c r="P25" s="75" t="str">
        <x:f>IF($B25&lt;&gt;"","Orta","")</x:f>
      </x:c>
      <x:c r="Q25" s="82" t="str">
        <x:f>IF($B25&lt;&gt;"",10,"")</x:f>
      </x:c>
      <x:c r="R25" s="83" t="str">
        <x:f>IF($B25&lt;&gt;"",Ayarlar!$B$10,"")</x:f>
      </x:c>
      <x:c r="S25" s="83" t="str">
        <x:f>IF($B25&lt;&gt;"",0,"")</x:f>
      </x:c>
      <x:c r="T25" s="83" t="n">
        <x:f>IFERROR(($K25+$O25)*XLOOKUP($G25,Ayarlar!$A$19:$A$28,Ayarlar!$C$19:$C$28,0)*(1+Ayarlar!$B$11),0)</x:f>
        <x:v>0</x:v>
      </x:c>
      <x:c r="U25" s="83" t="n">
        <x:f>IFERROR($N25/60*Ayarlar!$B$8,0)</x:f>
        <x:v>0</x:v>
      </x:c>
      <x:c r="V25" s="83" t="n">
        <x:f>IF($B25&lt;&gt;"",Ayarlar!$B$12+($Q25/60*Ayarlar!$B$9),0)</x:f>
        <x:v>0</x:v>
      </x:c>
      <x:c r="W25" s="83" t="n">
        <x:f>IF($B25&lt;&gt;"",SUM($T25:$V25,$R25:$S25),0)</x:f>
        <x:v>0</x:v>
      </x:c>
      <x:c r="X25" s="83" t="n">
        <x:f>IF($B25&lt;&gt;"",$W25*Ayarlar!$B$15,0)</x:f>
        <x:v>0</x:v>
      </x:c>
      <x:c r="Y25" s="83" t="n">
        <x:f>IF($B25&lt;&gt;"",($W25+$X25)*Ayarlar!$B$13,0)</x:f>
        <x:v>0</x:v>
      </x:c>
      <x:c r="Z25" s="83" t="n">
        <x:f>IF($B25&lt;&gt;"",($W25+$X25+$Y25)*Ayarlar!$B$14,0)</x:f>
        <x:v>0</x:v>
      </x:c>
      <x:c r="AA25" s="83" t="str">
        <x:f>IF($B25="","",IF(OR($K25="",$N25=""),"",CEILING($W25+$X25+$Y25+$Z25,Ayarlar!$B$16)))</x:f>
      </x:c>
      <x:c r="AB25" s="83" t="str">
        <x:f>IFERROR($AA25/$H25,"")</x:f>
      </x:c>
      <x:c r="AC25" s="75" t="str">
        <x:f>IF($B25="","",IF(OR($K25="",$N25=""),"Veri Eksik","Fiyat Hazır"))</x:f>
      </x:c>
      <x:c r="AD25" s="75" t="str">
        <x:f>IF($C25&lt;&gt;"","MW-"&amp;$C25,"")</x:f>
        <x:v>MW-80</x:v>
      </x:c>
      <x:c r="AE25" s="75" t="str">
        <x:f>IF($G25&lt;&gt;"","3D Baskı / "&amp;$G25,"3D Baskı")</x:f>
        <x:v>3D Baskı</x:v>
      </x:c>
      <x:c r="AF25" s="75" t="str">
        <x:f>IF($D25&lt;&gt;"",$D25&amp;" - "&amp;$G25,$AD25&amp;" - "&amp;$G25)</x:f>
        <x:v>MW-80 - </x:v>
      </x:c>
      <x:c r="AG25" s="75" t="str"/>
    </x:row>
    <x:row r="26">
      <x:c r="A26" s="75" t="str">
        <x:f>IF($B26&lt;&gt;"",ROW()-4,"")</x:f>
      </x:c>
      <x:c r="B26" s="75" t="str"/>
      <x:c r="C26" s="75" t="n">
        <x:f>IFERROR(LET(x,MID($B26,FIND("/models/",$B26)+8,80),y,LEFT(x,FIND("-",x&amp;"-")-1),LEFT(y,FIND("?",y&amp;"?")-1)),"")</x:f>
        <x:v>80</x:v>
      </x:c>
      <x:c r="D26" s="75" t="str">
        <x:f>IF($B26="","",IFERROR(XLOOKUP($C26,MakerWorld_Verileri!$A:$A,MakerWorld_Verileri!$B:$B,""),""))</x:f>
      </x:c>
      <x:c r="E26" s="75" t="str">
        <x:f>IF($B26="","",IFERROR(XLOOKUP($C26,MakerWorld_Verileri!$A:$A,MakerWorld_Verileri!$C:$C,""),""))</x:f>
      </x:c>
      <x:c r="F26" s="75" t="str"/>
      <x:c r="G26" s="75" t="str">
        <x:f>IF($B26&lt;&gt;"",Ayarlar!$B$7,"")</x:f>
      </x:c>
      <x:c r="H26" s="82" t="str">
        <x:f>IF($B26&lt;&gt;"",1,"")</x:f>
      </x:c>
      <x:c r="I26" s="82" t="str">
        <x:f>IF($B26="","",IFERROR(XLOOKUP($C26,MakerWorld_Verileri!$A:$A,MakerWorld_Verileri!$D:$D,""),""))</x:f>
      </x:c>
      <x:c r="J26" s="82" t="str"/>
      <x:c r="K26" s="82" t="str">
        <x:f>IF($I26&lt;&gt;"",$I26,$J26)</x:f>
      </x:c>
      <x:c r="L26" s="82" t="str">
        <x:f>IF($B26="","",IFERROR(XLOOKUP($C26,MakerWorld_Verileri!$A:$A,MakerWorld_Verileri!$E:$E,""),""))</x:f>
      </x:c>
      <x:c r="M26" s="82" t="str"/>
      <x:c r="N26" s="82" t="str">
        <x:f>IF($L26&lt;&gt;"",$L26,$M26)</x:f>
      </x:c>
      <x:c r="O26" s="82" t="str">
        <x:f>IF($B26&lt;&gt;"",0,"")</x:f>
      </x:c>
      <x:c r="P26" s="75" t="str">
        <x:f>IF($B26&lt;&gt;"","Orta","")</x:f>
      </x:c>
      <x:c r="Q26" s="82" t="str">
        <x:f>IF($B26&lt;&gt;"",10,"")</x:f>
      </x:c>
      <x:c r="R26" s="83" t="str">
        <x:f>IF($B26&lt;&gt;"",Ayarlar!$B$10,"")</x:f>
      </x:c>
      <x:c r="S26" s="83" t="str">
        <x:f>IF($B26&lt;&gt;"",0,"")</x:f>
      </x:c>
      <x:c r="T26" s="83" t="n">
        <x:f>IFERROR(($K26+$O26)*XLOOKUP($G26,Ayarlar!$A$19:$A$28,Ayarlar!$C$19:$C$28,0)*(1+Ayarlar!$B$11),0)</x:f>
        <x:v>0</x:v>
      </x:c>
      <x:c r="U26" s="83" t="n">
        <x:f>IFERROR($N26/60*Ayarlar!$B$8,0)</x:f>
        <x:v>0</x:v>
      </x:c>
      <x:c r="V26" s="83" t="n">
        <x:f>IF($B26&lt;&gt;"",Ayarlar!$B$12+($Q26/60*Ayarlar!$B$9),0)</x:f>
        <x:v>0</x:v>
      </x:c>
      <x:c r="W26" s="83" t="n">
        <x:f>IF($B26&lt;&gt;"",SUM($T26:$V26,$R26:$S26),0)</x:f>
        <x:v>0</x:v>
      </x:c>
      <x:c r="X26" s="83" t="n">
        <x:f>IF($B26&lt;&gt;"",$W26*Ayarlar!$B$15,0)</x:f>
        <x:v>0</x:v>
      </x:c>
      <x:c r="Y26" s="83" t="n">
        <x:f>IF($B26&lt;&gt;"",($W26+$X26)*Ayarlar!$B$13,0)</x:f>
        <x:v>0</x:v>
      </x:c>
      <x:c r="Z26" s="83" t="n">
        <x:f>IF($B26&lt;&gt;"",($W26+$X26+$Y26)*Ayarlar!$B$14,0)</x:f>
        <x:v>0</x:v>
      </x:c>
      <x:c r="AA26" s="83" t="str">
        <x:f>IF($B26="","",IF(OR($K26="",$N26=""),"",CEILING($W26+$X26+$Y26+$Z26,Ayarlar!$B$16)))</x:f>
      </x:c>
      <x:c r="AB26" s="83" t="str">
        <x:f>IFERROR($AA26/$H26,"")</x:f>
      </x:c>
      <x:c r="AC26" s="75" t="str">
        <x:f>IF($B26="","",IF(OR($K26="",$N26=""),"Veri Eksik","Fiyat Hazır"))</x:f>
      </x:c>
      <x:c r="AD26" s="75" t="str">
        <x:f>IF($C26&lt;&gt;"","MW-"&amp;$C26,"")</x:f>
        <x:v>MW-80</x:v>
      </x:c>
      <x:c r="AE26" s="75" t="str">
        <x:f>IF($G26&lt;&gt;"","3D Baskı / "&amp;$G26,"3D Baskı")</x:f>
        <x:v>3D Baskı</x:v>
      </x:c>
      <x:c r="AF26" s="75" t="str">
        <x:f>IF($D26&lt;&gt;"",$D26&amp;" - "&amp;$G26,$AD26&amp;" - "&amp;$G26)</x:f>
        <x:v>MW-80 - </x:v>
      </x:c>
      <x:c r="AG26" s="75" t="str"/>
    </x:row>
    <x:row r="27">
      <x:c r="A27" s="75" t="str">
        <x:f>IF($B27&lt;&gt;"",ROW()-4,"")</x:f>
      </x:c>
      <x:c r="B27" s="75" t="str"/>
      <x:c r="C27" s="75" t="n">
        <x:f>IFERROR(LET(x,MID($B27,FIND("/models/",$B27)+8,80),y,LEFT(x,FIND("-",x&amp;"-")-1),LEFT(y,FIND("?",y&amp;"?")-1)),"")</x:f>
        <x:v>80</x:v>
      </x:c>
      <x:c r="D27" s="75" t="str">
        <x:f>IF($B27="","",IFERROR(XLOOKUP($C27,MakerWorld_Verileri!$A:$A,MakerWorld_Verileri!$B:$B,""),""))</x:f>
      </x:c>
      <x:c r="E27" s="75" t="str">
        <x:f>IF($B27="","",IFERROR(XLOOKUP($C27,MakerWorld_Verileri!$A:$A,MakerWorld_Verileri!$C:$C,""),""))</x:f>
      </x:c>
      <x:c r="F27" s="75" t="str"/>
      <x:c r="G27" s="75" t="str">
        <x:f>IF($B27&lt;&gt;"",Ayarlar!$B$7,"")</x:f>
      </x:c>
      <x:c r="H27" s="82" t="str">
        <x:f>IF($B27&lt;&gt;"",1,"")</x:f>
      </x:c>
      <x:c r="I27" s="82" t="str">
        <x:f>IF($B27="","",IFERROR(XLOOKUP($C27,MakerWorld_Verileri!$A:$A,MakerWorld_Verileri!$D:$D,""),""))</x:f>
      </x:c>
      <x:c r="J27" s="82" t="str"/>
      <x:c r="K27" s="82" t="str">
        <x:f>IF($I27&lt;&gt;"",$I27,$J27)</x:f>
      </x:c>
      <x:c r="L27" s="82" t="str">
        <x:f>IF($B27="","",IFERROR(XLOOKUP($C27,MakerWorld_Verileri!$A:$A,MakerWorld_Verileri!$E:$E,""),""))</x:f>
      </x:c>
      <x:c r="M27" s="82" t="str"/>
      <x:c r="N27" s="82" t="str">
        <x:f>IF($L27&lt;&gt;"",$L27,$M27)</x:f>
      </x:c>
      <x:c r="O27" s="82" t="str">
        <x:f>IF($B27&lt;&gt;"",0,"")</x:f>
      </x:c>
      <x:c r="P27" s="75" t="str">
        <x:f>IF($B27&lt;&gt;"","Orta","")</x:f>
      </x:c>
      <x:c r="Q27" s="82" t="str">
        <x:f>IF($B27&lt;&gt;"",10,"")</x:f>
      </x:c>
      <x:c r="R27" s="83" t="str">
        <x:f>IF($B27&lt;&gt;"",Ayarlar!$B$10,"")</x:f>
      </x:c>
      <x:c r="S27" s="83" t="str">
        <x:f>IF($B27&lt;&gt;"",0,"")</x:f>
      </x:c>
      <x:c r="T27" s="83" t="n">
        <x:f>IFERROR(($K27+$O27)*XLOOKUP($G27,Ayarlar!$A$19:$A$28,Ayarlar!$C$19:$C$28,0)*(1+Ayarlar!$B$11),0)</x:f>
        <x:v>0</x:v>
      </x:c>
      <x:c r="U27" s="83" t="n">
        <x:f>IFERROR($N27/60*Ayarlar!$B$8,0)</x:f>
        <x:v>0</x:v>
      </x:c>
      <x:c r="V27" s="83" t="n">
        <x:f>IF($B27&lt;&gt;"",Ayarlar!$B$12+($Q27/60*Ayarlar!$B$9),0)</x:f>
        <x:v>0</x:v>
      </x:c>
      <x:c r="W27" s="83" t="n">
        <x:f>IF($B27&lt;&gt;"",SUM($T27:$V27,$R27:$S27),0)</x:f>
        <x:v>0</x:v>
      </x:c>
      <x:c r="X27" s="83" t="n">
        <x:f>IF($B27&lt;&gt;"",$W27*Ayarlar!$B$15,0)</x:f>
        <x:v>0</x:v>
      </x:c>
      <x:c r="Y27" s="83" t="n">
        <x:f>IF($B27&lt;&gt;"",($W27+$X27)*Ayarlar!$B$13,0)</x:f>
        <x:v>0</x:v>
      </x:c>
      <x:c r="Z27" s="83" t="n">
        <x:f>IF($B27&lt;&gt;"",($W27+$X27+$Y27)*Ayarlar!$B$14,0)</x:f>
        <x:v>0</x:v>
      </x:c>
      <x:c r="AA27" s="83" t="str">
        <x:f>IF($B27="","",IF(OR($K27="",$N27=""),"",CEILING($W27+$X27+$Y27+$Z27,Ayarlar!$B$16)))</x:f>
      </x:c>
      <x:c r="AB27" s="83" t="str">
        <x:f>IFERROR($AA27/$H27,"")</x:f>
      </x:c>
      <x:c r="AC27" s="75" t="str">
        <x:f>IF($B27="","",IF(OR($K27="",$N27=""),"Veri Eksik","Fiyat Hazır"))</x:f>
      </x:c>
      <x:c r="AD27" s="75" t="str">
        <x:f>IF($C27&lt;&gt;"","MW-"&amp;$C27,"")</x:f>
        <x:v>MW-80</x:v>
      </x:c>
      <x:c r="AE27" s="75" t="str">
        <x:f>IF($G27&lt;&gt;"","3D Baskı / "&amp;$G27,"3D Baskı")</x:f>
        <x:v>3D Baskı</x:v>
      </x:c>
      <x:c r="AF27" s="75" t="str">
        <x:f>IF($D27&lt;&gt;"",$D27&amp;" - "&amp;$G27,$AD27&amp;" - "&amp;$G27)</x:f>
        <x:v>MW-80 - </x:v>
      </x:c>
      <x:c r="AG27" s="75" t="str"/>
    </x:row>
    <x:row r="28">
      <x:c r="A28" s="75" t="str">
        <x:f>IF($B28&lt;&gt;"",ROW()-4,"")</x:f>
      </x:c>
      <x:c r="B28" s="75" t="str"/>
      <x:c r="C28" s="75" t="n">
        <x:f>IFERROR(LET(x,MID($B28,FIND("/models/",$B28)+8,80),y,LEFT(x,FIND("-",x&amp;"-")-1),LEFT(y,FIND("?",y&amp;"?")-1)),"")</x:f>
        <x:v>80</x:v>
      </x:c>
      <x:c r="D28" s="75" t="str">
        <x:f>IF($B28="","",IFERROR(XLOOKUP($C28,MakerWorld_Verileri!$A:$A,MakerWorld_Verileri!$B:$B,""),""))</x:f>
      </x:c>
      <x:c r="E28" s="75" t="str">
        <x:f>IF($B28="","",IFERROR(XLOOKUP($C28,MakerWorld_Verileri!$A:$A,MakerWorld_Verileri!$C:$C,""),""))</x:f>
      </x:c>
      <x:c r="F28" s="75" t="str"/>
      <x:c r="G28" s="75" t="str">
        <x:f>IF($B28&lt;&gt;"",Ayarlar!$B$7,"")</x:f>
      </x:c>
      <x:c r="H28" s="82" t="str">
        <x:f>IF($B28&lt;&gt;"",1,"")</x:f>
      </x:c>
      <x:c r="I28" s="82" t="str">
        <x:f>IF($B28="","",IFERROR(XLOOKUP($C28,MakerWorld_Verileri!$A:$A,MakerWorld_Verileri!$D:$D,""),""))</x:f>
      </x:c>
      <x:c r="J28" s="82" t="str"/>
      <x:c r="K28" s="82" t="str">
        <x:f>IF($I28&lt;&gt;"",$I28,$J28)</x:f>
      </x:c>
      <x:c r="L28" s="82" t="str">
        <x:f>IF($B28="","",IFERROR(XLOOKUP($C28,MakerWorld_Verileri!$A:$A,MakerWorld_Verileri!$E:$E,""),""))</x:f>
      </x:c>
      <x:c r="M28" s="82" t="str"/>
      <x:c r="N28" s="82" t="str">
        <x:f>IF($L28&lt;&gt;"",$L28,$M28)</x:f>
      </x:c>
      <x:c r="O28" s="82" t="str">
        <x:f>IF($B28&lt;&gt;"",0,"")</x:f>
      </x:c>
      <x:c r="P28" s="75" t="str">
        <x:f>IF($B28&lt;&gt;"","Orta","")</x:f>
      </x:c>
      <x:c r="Q28" s="82" t="str">
        <x:f>IF($B28&lt;&gt;"",10,"")</x:f>
      </x:c>
      <x:c r="R28" s="83" t="str">
        <x:f>IF($B28&lt;&gt;"",Ayarlar!$B$10,"")</x:f>
      </x:c>
      <x:c r="S28" s="83" t="str">
        <x:f>IF($B28&lt;&gt;"",0,"")</x:f>
      </x:c>
      <x:c r="T28" s="83" t="n">
        <x:f>IFERROR(($K28+$O28)*XLOOKUP($G28,Ayarlar!$A$19:$A$28,Ayarlar!$C$19:$C$28,0)*(1+Ayarlar!$B$11),0)</x:f>
        <x:v>0</x:v>
      </x:c>
      <x:c r="U28" s="83" t="n">
        <x:f>IFERROR($N28/60*Ayarlar!$B$8,0)</x:f>
        <x:v>0</x:v>
      </x:c>
      <x:c r="V28" s="83" t="n">
        <x:f>IF($B28&lt;&gt;"",Ayarlar!$B$12+($Q28/60*Ayarlar!$B$9),0)</x:f>
        <x:v>0</x:v>
      </x:c>
      <x:c r="W28" s="83" t="n">
        <x:f>IF($B28&lt;&gt;"",SUM($T28:$V28,$R28:$S28),0)</x:f>
        <x:v>0</x:v>
      </x:c>
      <x:c r="X28" s="83" t="n">
        <x:f>IF($B28&lt;&gt;"",$W28*Ayarlar!$B$15,0)</x:f>
        <x:v>0</x:v>
      </x:c>
      <x:c r="Y28" s="83" t="n">
        <x:f>IF($B28&lt;&gt;"",($W28+$X28)*Ayarlar!$B$13,0)</x:f>
        <x:v>0</x:v>
      </x:c>
      <x:c r="Z28" s="83" t="n">
        <x:f>IF($B28&lt;&gt;"",($W28+$X28+$Y28)*Ayarlar!$B$14,0)</x:f>
        <x:v>0</x:v>
      </x:c>
      <x:c r="AA28" s="83" t="str">
        <x:f>IF($B28="","",IF(OR($K28="",$N28=""),"",CEILING($W28+$X28+$Y28+$Z28,Ayarlar!$B$16)))</x:f>
      </x:c>
      <x:c r="AB28" s="83" t="str">
        <x:f>IFERROR($AA28/$H28,"")</x:f>
      </x:c>
      <x:c r="AC28" s="75" t="str">
        <x:f>IF($B28="","",IF(OR($K28="",$N28=""),"Veri Eksik","Fiyat Hazır"))</x:f>
      </x:c>
      <x:c r="AD28" s="75" t="str">
        <x:f>IF($C28&lt;&gt;"","MW-"&amp;$C28,"")</x:f>
        <x:v>MW-80</x:v>
      </x:c>
      <x:c r="AE28" s="75" t="str">
        <x:f>IF($G28&lt;&gt;"","3D Baskı / "&amp;$G28,"3D Baskı")</x:f>
        <x:v>3D Baskı</x:v>
      </x:c>
      <x:c r="AF28" s="75" t="str">
        <x:f>IF($D28&lt;&gt;"",$D28&amp;" - "&amp;$G28,$AD28&amp;" - "&amp;$G28)</x:f>
        <x:v>MW-80 - </x:v>
      </x:c>
      <x:c r="AG28" s="75" t="str"/>
    </x:row>
    <x:row r="29">
      <x:c r="A29" s="75" t="str">
        <x:f>IF($B29&lt;&gt;"",ROW()-4,"")</x:f>
      </x:c>
      <x:c r="B29" s="75" t="str"/>
      <x:c r="C29" s="75" t="n">
        <x:f>IFERROR(LET(x,MID($B29,FIND("/models/",$B29)+8,80),y,LEFT(x,FIND("-",x&amp;"-")-1),LEFT(y,FIND("?",y&amp;"?")-1)),"")</x:f>
        <x:v>80</x:v>
      </x:c>
      <x:c r="D29" s="75" t="str">
        <x:f>IF($B29="","",IFERROR(XLOOKUP($C29,MakerWorld_Verileri!$A:$A,MakerWorld_Verileri!$B:$B,""),""))</x:f>
      </x:c>
      <x:c r="E29" s="75" t="str">
        <x:f>IF($B29="","",IFERROR(XLOOKUP($C29,MakerWorld_Verileri!$A:$A,MakerWorld_Verileri!$C:$C,""),""))</x:f>
      </x:c>
      <x:c r="F29" s="75" t="str"/>
      <x:c r="G29" s="75" t="str">
        <x:f>IF($B29&lt;&gt;"",Ayarlar!$B$7,"")</x:f>
      </x:c>
      <x:c r="H29" s="82" t="str">
        <x:f>IF($B29&lt;&gt;"",1,"")</x:f>
      </x:c>
      <x:c r="I29" s="82" t="str">
        <x:f>IF($B29="","",IFERROR(XLOOKUP($C29,MakerWorld_Verileri!$A:$A,MakerWorld_Verileri!$D:$D,""),""))</x:f>
      </x:c>
      <x:c r="J29" s="82" t="str"/>
      <x:c r="K29" s="82" t="str">
        <x:f>IF($I29&lt;&gt;"",$I29,$J29)</x:f>
      </x:c>
      <x:c r="L29" s="82" t="str">
        <x:f>IF($B29="","",IFERROR(XLOOKUP($C29,MakerWorld_Verileri!$A:$A,MakerWorld_Verileri!$E:$E,""),""))</x:f>
      </x:c>
      <x:c r="M29" s="82" t="str"/>
      <x:c r="N29" s="82" t="str">
        <x:f>IF($L29&lt;&gt;"",$L29,$M29)</x:f>
      </x:c>
      <x:c r="O29" s="82" t="str">
        <x:f>IF($B29&lt;&gt;"",0,"")</x:f>
      </x:c>
      <x:c r="P29" s="75" t="str">
        <x:f>IF($B29&lt;&gt;"","Orta","")</x:f>
      </x:c>
      <x:c r="Q29" s="82" t="str">
        <x:f>IF($B29&lt;&gt;"",10,"")</x:f>
      </x:c>
      <x:c r="R29" s="83" t="str">
        <x:f>IF($B29&lt;&gt;"",Ayarlar!$B$10,"")</x:f>
      </x:c>
      <x:c r="S29" s="83" t="str">
        <x:f>IF($B29&lt;&gt;"",0,"")</x:f>
      </x:c>
      <x:c r="T29" s="83" t="n">
        <x:f>IFERROR(($K29+$O29)*XLOOKUP($G29,Ayarlar!$A$19:$A$28,Ayarlar!$C$19:$C$28,0)*(1+Ayarlar!$B$11),0)</x:f>
        <x:v>0</x:v>
      </x:c>
      <x:c r="U29" s="83" t="n">
        <x:f>IFERROR($N29/60*Ayarlar!$B$8,0)</x:f>
        <x:v>0</x:v>
      </x:c>
      <x:c r="V29" s="83" t="n">
        <x:f>IF($B29&lt;&gt;"",Ayarlar!$B$12+($Q29/60*Ayarlar!$B$9),0)</x:f>
        <x:v>0</x:v>
      </x:c>
      <x:c r="W29" s="83" t="n">
        <x:f>IF($B29&lt;&gt;"",SUM($T29:$V29,$R29:$S29),0)</x:f>
        <x:v>0</x:v>
      </x:c>
      <x:c r="X29" s="83" t="n">
        <x:f>IF($B29&lt;&gt;"",$W29*Ayarlar!$B$15,0)</x:f>
        <x:v>0</x:v>
      </x:c>
      <x:c r="Y29" s="83" t="n">
        <x:f>IF($B29&lt;&gt;"",($W29+$X29)*Ayarlar!$B$13,0)</x:f>
        <x:v>0</x:v>
      </x:c>
      <x:c r="Z29" s="83" t="n">
        <x:f>IF($B29&lt;&gt;"",($W29+$X29+$Y29)*Ayarlar!$B$14,0)</x:f>
        <x:v>0</x:v>
      </x:c>
      <x:c r="AA29" s="83" t="str">
        <x:f>IF($B29="","",IF(OR($K29="",$N29=""),"",CEILING($W29+$X29+$Y29+$Z29,Ayarlar!$B$16)))</x:f>
      </x:c>
      <x:c r="AB29" s="83" t="str">
        <x:f>IFERROR($AA29/$H29,"")</x:f>
      </x:c>
      <x:c r="AC29" s="75" t="str">
        <x:f>IF($B29="","",IF(OR($K29="",$N29=""),"Veri Eksik","Fiyat Hazır"))</x:f>
      </x:c>
      <x:c r="AD29" s="75" t="str">
        <x:f>IF($C29&lt;&gt;"","MW-"&amp;$C29,"")</x:f>
        <x:v>MW-80</x:v>
      </x:c>
      <x:c r="AE29" s="75" t="str">
        <x:f>IF($G29&lt;&gt;"","3D Baskı / "&amp;$G29,"3D Baskı")</x:f>
        <x:v>3D Baskı</x:v>
      </x:c>
      <x:c r="AF29" s="75" t="str">
        <x:f>IF($D29&lt;&gt;"",$D29&amp;" - "&amp;$G29,$AD29&amp;" - "&amp;$G29)</x:f>
        <x:v>MW-80 - </x:v>
      </x:c>
      <x:c r="AG29" s="75" t="str"/>
    </x:row>
    <x:row r="30">
      <x:c r="A30" s="75" t="str">
        <x:f>IF($B30&lt;&gt;"",ROW()-4,"")</x:f>
      </x:c>
      <x:c r="B30" s="75" t="str"/>
      <x:c r="C30" s="75" t="n">
        <x:f>IFERROR(LET(x,MID($B30,FIND("/models/",$B30)+8,80),y,LEFT(x,FIND("-",x&amp;"-")-1),LEFT(y,FIND("?",y&amp;"?")-1)),"")</x:f>
        <x:v>80</x:v>
      </x:c>
      <x:c r="D30" s="75" t="str">
        <x:f>IF($B30="","",IFERROR(XLOOKUP($C30,MakerWorld_Verileri!$A:$A,MakerWorld_Verileri!$B:$B,""),""))</x:f>
      </x:c>
      <x:c r="E30" s="75" t="str">
        <x:f>IF($B30="","",IFERROR(XLOOKUP($C30,MakerWorld_Verileri!$A:$A,MakerWorld_Verileri!$C:$C,""),""))</x:f>
      </x:c>
      <x:c r="F30" s="75" t="str"/>
      <x:c r="G30" s="75" t="str">
        <x:f>IF($B30&lt;&gt;"",Ayarlar!$B$7,"")</x:f>
      </x:c>
      <x:c r="H30" s="82" t="str">
        <x:f>IF($B30&lt;&gt;"",1,"")</x:f>
      </x:c>
      <x:c r="I30" s="82" t="str">
        <x:f>IF($B30="","",IFERROR(XLOOKUP($C30,MakerWorld_Verileri!$A:$A,MakerWorld_Verileri!$D:$D,""),""))</x:f>
      </x:c>
      <x:c r="J30" s="82" t="str"/>
      <x:c r="K30" s="82" t="str">
        <x:f>IF($I30&lt;&gt;"",$I30,$J30)</x:f>
      </x:c>
      <x:c r="L30" s="82" t="str">
        <x:f>IF($B30="","",IFERROR(XLOOKUP($C30,MakerWorld_Verileri!$A:$A,MakerWorld_Verileri!$E:$E,""),""))</x:f>
      </x:c>
      <x:c r="M30" s="82" t="str"/>
      <x:c r="N30" s="82" t="str">
        <x:f>IF($L30&lt;&gt;"",$L30,$M30)</x:f>
      </x:c>
      <x:c r="O30" s="82" t="str">
        <x:f>IF($B30&lt;&gt;"",0,"")</x:f>
      </x:c>
      <x:c r="P30" s="75" t="str">
        <x:f>IF($B30&lt;&gt;"","Orta","")</x:f>
      </x:c>
      <x:c r="Q30" s="82" t="str">
        <x:f>IF($B30&lt;&gt;"",10,"")</x:f>
      </x:c>
      <x:c r="R30" s="83" t="str">
        <x:f>IF($B30&lt;&gt;"",Ayarlar!$B$10,"")</x:f>
      </x:c>
      <x:c r="S30" s="83" t="str">
        <x:f>IF($B30&lt;&gt;"",0,"")</x:f>
      </x:c>
      <x:c r="T30" s="83" t="n">
        <x:f>IFERROR(($K30+$O30)*XLOOKUP($G30,Ayarlar!$A$19:$A$28,Ayarlar!$C$19:$C$28,0)*(1+Ayarlar!$B$11),0)</x:f>
        <x:v>0</x:v>
      </x:c>
      <x:c r="U30" s="83" t="n">
        <x:f>IFERROR($N30/60*Ayarlar!$B$8,0)</x:f>
        <x:v>0</x:v>
      </x:c>
      <x:c r="V30" s="83" t="n">
        <x:f>IF($B30&lt;&gt;"",Ayarlar!$B$12+($Q30/60*Ayarlar!$B$9),0)</x:f>
        <x:v>0</x:v>
      </x:c>
      <x:c r="W30" s="83" t="n">
        <x:f>IF($B30&lt;&gt;"",SUM($T30:$V30,$R30:$S30),0)</x:f>
        <x:v>0</x:v>
      </x:c>
      <x:c r="X30" s="83" t="n">
        <x:f>IF($B30&lt;&gt;"",$W30*Ayarlar!$B$15,0)</x:f>
        <x:v>0</x:v>
      </x:c>
      <x:c r="Y30" s="83" t="n">
        <x:f>IF($B30&lt;&gt;"",($W30+$X30)*Ayarlar!$B$13,0)</x:f>
        <x:v>0</x:v>
      </x:c>
      <x:c r="Z30" s="83" t="n">
        <x:f>IF($B30&lt;&gt;"",($W30+$X30+$Y30)*Ayarlar!$B$14,0)</x:f>
        <x:v>0</x:v>
      </x:c>
      <x:c r="AA30" s="83" t="str">
        <x:f>IF($B30="","",IF(OR($K30="",$N30=""),"",CEILING($W30+$X30+$Y30+$Z30,Ayarlar!$B$16)))</x:f>
      </x:c>
      <x:c r="AB30" s="83" t="str">
        <x:f>IFERROR($AA30/$H30,"")</x:f>
      </x:c>
      <x:c r="AC30" s="75" t="str">
        <x:f>IF($B30="","",IF(OR($K30="",$N30=""),"Veri Eksik","Fiyat Hazır"))</x:f>
      </x:c>
      <x:c r="AD30" s="75" t="str">
        <x:f>IF($C30&lt;&gt;"","MW-"&amp;$C30,"")</x:f>
        <x:v>MW-80</x:v>
      </x:c>
      <x:c r="AE30" s="75" t="str">
        <x:f>IF($G30&lt;&gt;"","3D Baskı / "&amp;$G30,"3D Baskı")</x:f>
        <x:v>3D Baskı</x:v>
      </x:c>
      <x:c r="AF30" s="75" t="str">
        <x:f>IF($D30&lt;&gt;"",$D30&amp;" - "&amp;$G30,$AD30&amp;" - "&amp;$G30)</x:f>
        <x:v>MW-80 - </x:v>
      </x:c>
      <x:c r="AG30" s="75" t="str"/>
    </x:row>
    <x:row r="31">
      <x:c r="A31" s="75" t="str">
        <x:f>IF($B31&lt;&gt;"",ROW()-4,"")</x:f>
      </x:c>
      <x:c r="B31" s="75" t="str"/>
      <x:c r="C31" s="75" t="n">
        <x:f>IFERROR(LET(x,MID($B31,FIND("/models/",$B31)+8,80),y,LEFT(x,FIND("-",x&amp;"-")-1),LEFT(y,FIND("?",y&amp;"?")-1)),"")</x:f>
        <x:v>80</x:v>
      </x:c>
      <x:c r="D31" s="75" t="str">
        <x:f>IF($B31="","",IFERROR(XLOOKUP($C31,MakerWorld_Verileri!$A:$A,MakerWorld_Verileri!$B:$B,""),""))</x:f>
      </x:c>
      <x:c r="E31" s="75" t="str">
        <x:f>IF($B31="","",IFERROR(XLOOKUP($C31,MakerWorld_Verileri!$A:$A,MakerWorld_Verileri!$C:$C,""),""))</x:f>
      </x:c>
      <x:c r="F31" s="75" t="str"/>
      <x:c r="G31" s="75" t="str">
        <x:f>IF($B31&lt;&gt;"",Ayarlar!$B$7,"")</x:f>
      </x:c>
      <x:c r="H31" s="82" t="str">
        <x:f>IF($B31&lt;&gt;"",1,"")</x:f>
      </x:c>
      <x:c r="I31" s="82" t="str">
        <x:f>IF($B31="","",IFERROR(XLOOKUP($C31,MakerWorld_Verileri!$A:$A,MakerWorld_Verileri!$D:$D,""),""))</x:f>
      </x:c>
      <x:c r="J31" s="82" t="str"/>
      <x:c r="K31" s="82" t="str">
        <x:f>IF($I31&lt;&gt;"",$I31,$J31)</x:f>
      </x:c>
      <x:c r="L31" s="82" t="str">
        <x:f>IF($B31="","",IFERROR(XLOOKUP($C31,MakerWorld_Verileri!$A:$A,MakerWorld_Verileri!$E:$E,""),""))</x:f>
      </x:c>
      <x:c r="M31" s="82" t="str"/>
      <x:c r="N31" s="82" t="str">
        <x:f>IF($L31&lt;&gt;"",$L31,$M31)</x:f>
      </x:c>
      <x:c r="O31" s="82" t="str">
        <x:f>IF($B31&lt;&gt;"",0,"")</x:f>
      </x:c>
      <x:c r="P31" s="75" t="str">
        <x:f>IF($B31&lt;&gt;"","Orta","")</x:f>
      </x:c>
      <x:c r="Q31" s="82" t="str">
        <x:f>IF($B31&lt;&gt;"",10,"")</x:f>
      </x:c>
      <x:c r="R31" s="83" t="str">
        <x:f>IF($B31&lt;&gt;"",Ayarlar!$B$10,"")</x:f>
      </x:c>
      <x:c r="S31" s="83" t="str">
        <x:f>IF($B31&lt;&gt;"",0,"")</x:f>
      </x:c>
      <x:c r="T31" s="83" t="n">
        <x:f>IFERROR(($K31+$O31)*XLOOKUP($G31,Ayarlar!$A$19:$A$28,Ayarlar!$C$19:$C$28,0)*(1+Ayarlar!$B$11),0)</x:f>
        <x:v>0</x:v>
      </x:c>
      <x:c r="U31" s="83" t="n">
        <x:f>IFERROR($N31/60*Ayarlar!$B$8,0)</x:f>
        <x:v>0</x:v>
      </x:c>
      <x:c r="V31" s="83" t="n">
        <x:f>IF($B31&lt;&gt;"",Ayarlar!$B$12+($Q31/60*Ayarlar!$B$9),0)</x:f>
        <x:v>0</x:v>
      </x:c>
      <x:c r="W31" s="83" t="n">
        <x:f>IF($B31&lt;&gt;"",SUM($T31:$V31,$R31:$S31),0)</x:f>
        <x:v>0</x:v>
      </x:c>
      <x:c r="X31" s="83" t="n">
        <x:f>IF($B31&lt;&gt;"",$W31*Ayarlar!$B$15,0)</x:f>
        <x:v>0</x:v>
      </x:c>
      <x:c r="Y31" s="83" t="n">
        <x:f>IF($B31&lt;&gt;"",($W31+$X31)*Ayarlar!$B$13,0)</x:f>
        <x:v>0</x:v>
      </x:c>
      <x:c r="Z31" s="83" t="n">
        <x:f>IF($B31&lt;&gt;"",($W31+$X31+$Y31)*Ayarlar!$B$14,0)</x:f>
        <x:v>0</x:v>
      </x:c>
      <x:c r="AA31" s="83" t="str">
        <x:f>IF($B31="","",IF(OR($K31="",$N31=""),"",CEILING($W31+$X31+$Y31+$Z31,Ayarlar!$B$16)))</x:f>
      </x:c>
      <x:c r="AB31" s="83" t="str">
        <x:f>IFERROR($AA31/$H31,"")</x:f>
      </x:c>
      <x:c r="AC31" s="75" t="str">
        <x:f>IF($B31="","",IF(OR($K31="",$N31=""),"Veri Eksik","Fiyat Hazır"))</x:f>
      </x:c>
      <x:c r="AD31" s="75" t="str">
        <x:f>IF($C31&lt;&gt;"","MW-"&amp;$C31,"")</x:f>
        <x:v>MW-80</x:v>
      </x:c>
      <x:c r="AE31" s="75" t="str">
        <x:f>IF($G31&lt;&gt;"","3D Baskı / "&amp;$G31,"3D Baskı")</x:f>
        <x:v>3D Baskı</x:v>
      </x:c>
      <x:c r="AF31" s="75" t="str">
        <x:f>IF($D31&lt;&gt;"",$D31&amp;" - "&amp;$G31,$AD31&amp;" - "&amp;$G31)</x:f>
        <x:v>MW-80 - </x:v>
      </x:c>
      <x:c r="AG31" s="75" t="str"/>
    </x:row>
    <x:row r="32">
      <x:c r="A32" s="75" t="str">
        <x:f>IF($B32&lt;&gt;"",ROW()-4,"")</x:f>
      </x:c>
      <x:c r="B32" s="75" t="str"/>
      <x:c r="C32" s="75" t="n">
        <x:f>IFERROR(LET(x,MID($B32,FIND("/models/",$B32)+8,80),y,LEFT(x,FIND("-",x&amp;"-")-1),LEFT(y,FIND("?",y&amp;"?")-1)),"")</x:f>
        <x:v>80</x:v>
      </x:c>
      <x:c r="D32" s="75" t="str">
        <x:f>IF($B32="","",IFERROR(XLOOKUP($C32,MakerWorld_Verileri!$A:$A,MakerWorld_Verileri!$B:$B,""),""))</x:f>
      </x:c>
      <x:c r="E32" s="75" t="str">
        <x:f>IF($B32="","",IFERROR(XLOOKUP($C32,MakerWorld_Verileri!$A:$A,MakerWorld_Verileri!$C:$C,""),""))</x:f>
      </x:c>
      <x:c r="F32" s="75" t="str"/>
      <x:c r="G32" s="75" t="str">
        <x:f>IF($B32&lt;&gt;"",Ayarlar!$B$7,"")</x:f>
      </x:c>
      <x:c r="H32" s="82" t="str">
        <x:f>IF($B32&lt;&gt;"",1,"")</x:f>
      </x:c>
      <x:c r="I32" s="82" t="str">
        <x:f>IF($B32="","",IFERROR(XLOOKUP($C32,MakerWorld_Verileri!$A:$A,MakerWorld_Verileri!$D:$D,""),""))</x:f>
      </x:c>
      <x:c r="J32" s="82" t="str"/>
      <x:c r="K32" s="82" t="str">
        <x:f>IF($I32&lt;&gt;"",$I32,$J32)</x:f>
      </x:c>
      <x:c r="L32" s="82" t="str">
        <x:f>IF($B32="","",IFERROR(XLOOKUP($C32,MakerWorld_Verileri!$A:$A,MakerWorld_Verileri!$E:$E,""),""))</x:f>
      </x:c>
      <x:c r="M32" s="82" t="str"/>
      <x:c r="N32" s="82" t="str">
        <x:f>IF($L32&lt;&gt;"",$L32,$M32)</x:f>
      </x:c>
      <x:c r="O32" s="82" t="str">
        <x:f>IF($B32&lt;&gt;"",0,"")</x:f>
      </x:c>
      <x:c r="P32" s="75" t="str">
        <x:f>IF($B32&lt;&gt;"","Orta","")</x:f>
      </x:c>
      <x:c r="Q32" s="82" t="str">
        <x:f>IF($B32&lt;&gt;"",10,"")</x:f>
      </x:c>
      <x:c r="R32" s="83" t="str">
        <x:f>IF($B32&lt;&gt;"",Ayarlar!$B$10,"")</x:f>
      </x:c>
      <x:c r="S32" s="83" t="str">
        <x:f>IF($B32&lt;&gt;"",0,"")</x:f>
      </x:c>
      <x:c r="T32" s="83" t="n">
        <x:f>IFERROR(($K32+$O32)*XLOOKUP($G32,Ayarlar!$A$19:$A$28,Ayarlar!$C$19:$C$28,0)*(1+Ayarlar!$B$11),0)</x:f>
        <x:v>0</x:v>
      </x:c>
      <x:c r="U32" s="83" t="n">
        <x:f>IFERROR($N32/60*Ayarlar!$B$8,0)</x:f>
        <x:v>0</x:v>
      </x:c>
      <x:c r="V32" s="83" t="n">
        <x:f>IF($B32&lt;&gt;"",Ayarlar!$B$12+($Q32/60*Ayarlar!$B$9),0)</x:f>
        <x:v>0</x:v>
      </x:c>
      <x:c r="W32" s="83" t="n">
        <x:f>IF($B32&lt;&gt;"",SUM($T32:$V32,$R32:$S32),0)</x:f>
        <x:v>0</x:v>
      </x:c>
      <x:c r="X32" s="83" t="n">
        <x:f>IF($B32&lt;&gt;"",$W32*Ayarlar!$B$15,0)</x:f>
        <x:v>0</x:v>
      </x:c>
      <x:c r="Y32" s="83" t="n">
        <x:f>IF($B32&lt;&gt;"",($W32+$X32)*Ayarlar!$B$13,0)</x:f>
        <x:v>0</x:v>
      </x:c>
      <x:c r="Z32" s="83" t="n">
        <x:f>IF($B32&lt;&gt;"",($W32+$X32+$Y32)*Ayarlar!$B$14,0)</x:f>
        <x:v>0</x:v>
      </x:c>
      <x:c r="AA32" s="83" t="str">
        <x:f>IF($B32="","",IF(OR($K32="",$N32=""),"",CEILING($W32+$X32+$Y32+$Z32,Ayarlar!$B$16)))</x:f>
      </x:c>
      <x:c r="AB32" s="83" t="str">
        <x:f>IFERROR($AA32/$H32,"")</x:f>
      </x:c>
      <x:c r="AC32" s="75" t="str">
        <x:f>IF($B32="","",IF(OR($K32="",$N32=""),"Veri Eksik","Fiyat Hazır"))</x:f>
      </x:c>
      <x:c r="AD32" s="75" t="str">
        <x:f>IF($C32&lt;&gt;"","MW-"&amp;$C32,"")</x:f>
        <x:v>MW-80</x:v>
      </x:c>
      <x:c r="AE32" s="75" t="str">
        <x:f>IF($G32&lt;&gt;"","3D Baskı / "&amp;$G32,"3D Baskı")</x:f>
        <x:v>3D Baskı</x:v>
      </x:c>
      <x:c r="AF32" s="75" t="str">
        <x:f>IF($D32&lt;&gt;"",$D32&amp;" - "&amp;$G32,$AD32&amp;" - "&amp;$G32)</x:f>
        <x:v>MW-80 - </x:v>
      </x:c>
      <x:c r="AG32" s="75" t="str"/>
    </x:row>
    <x:row r="33">
      <x:c r="A33" s="75" t="str">
        <x:f>IF($B33&lt;&gt;"",ROW()-4,"")</x:f>
      </x:c>
      <x:c r="B33" s="75" t="str"/>
      <x:c r="C33" s="75" t="n">
        <x:f>IFERROR(LET(x,MID($B33,FIND("/models/",$B33)+8,80),y,LEFT(x,FIND("-",x&amp;"-")-1),LEFT(y,FIND("?",y&amp;"?")-1)),"")</x:f>
        <x:v>80</x:v>
      </x:c>
      <x:c r="D33" s="75" t="str">
        <x:f>IF($B33="","",IFERROR(XLOOKUP($C33,MakerWorld_Verileri!$A:$A,MakerWorld_Verileri!$B:$B,""),""))</x:f>
      </x:c>
      <x:c r="E33" s="75" t="str">
        <x:f>IF($B33="","",IFERROR(XLOOKUP($C33,MakerWorld_Verileri!$A:$A,MakerWorld_Verileri!$C:$C,""),""))</x:f>
      </x:c>
      <x:c r="F33" s="75" t="str"/>
      <x:c r="G33" s="75" t="str">
        <x:f>IF($B33&lt;&gt;"",Ayarlar!$B$7,"")</x:f>
      </x:c>
      <x:c r="H33" s="82" t="str">
        <x:f>IF($B33&lt;&gt;"",1,"")</x:f>
      </x:c>
      <x:c r="I33" s="82" t="str">
        <x:f>IF($B33="","",IFERROR(XLOOKUP($C33,MakerWorld_Verileri!$A:$A,MakerWorld_Verileri!$D:$D,""),""))</x:f>
      </x:c>
      <x:c r="J33" s="82" t="str"/>
      <x:c r="K33" s="82" t="str">
        <x:f>IF($I33&lt;&gt;"",$I33,$J33)</x:f>
      </x:c>
      <x:c r="L33" s="82" t="str">
        <x:f>IF($B33="","",IFERROR(XLOOKUP($C33,MakerWorld_Verileri!$A:$A,MakerWorld_Verileri!$E:$E,""),""))</x:f>
      </x:c>
      <x:c r="M33" s="82" t="str"/>
      <x:c r="N33" s="82" t="str">
        <x:f>IF($L33&lt;&gt;"",$L33,$M33)</x:f>
      </x:c>
      <x:c r="O33" s="82" t="str">
        <x:f>IF($B33&lt;&gt;"",0,"")</x:f>
      </x:c>
      <x:c r="P33" s="75" t="str">
        <x:f>IF($B33&lt;&gt;"","Orta","")</x:f>
      </x:c>
      <x:c r="Q33" s="82" t="str">
        <x:f>IF($B33&lt;&gt;"",10,"")</x:f>
      </x:c>
      <x:c r="R33" s="83" t="str">
        <x:f>IF($B33&lt;&gt;"",Ayarlar!$B$10,"")</x:f>
      </x:c>
      <x:c r="S33" s="83" t="str">
        <x:f>IF($B33&lt;&gt;"",0,"")</x:f>
      </x:c>
      <x:c r="T33" s="83" t="n">
        <x:f>IFERROR(($K33+$O33)*XLOOKUP($G33,Ayarlar!$A$19:$A$28,Ayarlar!$C$19:$C$28,0)*(1+Ayarlar!$B$11),0)</x:f>
        <x:v>0</x:v>
      </x:c>
      <x:c r="U33" s="83" t="n">
        <x:f>IFERROR($N33/60*Ayarlar!$B$8,0)</x:f>
        <x:v>0</x:v>
      </x:c>
      <x:c r="V33" s="83" t="n">
        <x:f>IF($B33&lt;&gt;"",Ayarlar!$B$12+($Q33/60*Ayarlar!$B$9),0)</x:f>
        <x:v>0</x:v>
      </x:c>
      <x:c r="W33" s="83" t="n">
        <x:f>IF($B33&lt;&gt;"",SUM($T33:$V33,$R33:$S33),0)</x:f>
        <x:v>0</x:v>
      </x:c>
      <x:c r="X33" s="83" t="n">
        <x:f>IF($B33&lt;&gt;"",$W33*Ayarlar!$B$15,0)</x:f>
        <x:v>0</x:v>
      </x:c>
      <x:c r="Y33" s="83" t="n">
        <x:f>IF($B33&lt;&gt;"",($W33+$X33)*Ayarlar!$B$13,0)</x:f>
        <x:v>0</x:v>
      </x:c>
      <x:c r="Z33" s="83" t="n">
        <x:f>IF($B33&lt;&gt;"",($W33+$X33+$Y33)*Ayarlar!$B$14,0)</x:f>
        <x:v>0</x:v>
      </x:c>
      <x:c r="AA33" s="83" t="str">
        <x:f>IF($B33="","",IF(OR($K33="",$N33=""),"",CEILING($W33+$X33+$Y33+$Z33,Ayarlar!$B$16)))</x:f>
      </x:c>
      <x:c r="AB33" s="83" t="str">
        <x:f>IFERROR($AA33/$H33,"")</x:f>
      </x:c>
      <x:c r="AC33" s="75" t="str">
        <x:f>IF($B33="","",IF(OR($K33="",$N33=""),"Veri Eksik","Fiyat Hazır"))</x:f>
      </x:c>
      <x:c r="AD33" s="75" t="str">
        <x:f>IF($C33&lt;&gt;"","MW-"&amp;$C33,"")</x:f>
        <x:v>MW-80</x:v>
      </x:c>
      <x:c r="AE33" s="75" t="str">
        <x:f>IF($G33&lt;&gt;"","3D Baskı / "&amp;$G33,"3D Baskı")</x:f>
        <x:v>3D Baskı</x:v>
      </x:c>
      <x:c r="AF33" s="75" t="str">
        <x:f>IF($D33&lt;&gt;"",$D33&amp;" - "&amp;$G33,$AD33&amp;" - "&amp;$G33)</x:f>
        <x:v>MW-80 - </x:v>
      </x:c>
      <x:c r="AG33" s="75" t="str"/>
    </x:row>
    <x:row r="34">
      <x:c r="A34" s="75" t="str">
        <x:f>IF($B34&lt;&gt;"",ROW()-4,"")</x:f>
      </x:c>
      <x:c r="B34" s="75" t="str"/>
      <x:c r="C34" s="75" t="n">
        <x:f>IFERROR(LET(x,MID($B34,FIND("/models/",$B34)+8,80),y,LEFT(x,FIND("-",x&amp;"-")-1),LEFT(y,FIND("?",y&amp;"?")-1)),"")</x:f>
        <x:v>80</x:v>
      </x:c>
      <x:c r="D34" s="75" t="str">
        <x:f>IF($B34="","",IFERROR(XLOOKUP($C34,MakerWorld_Verileri!$A:$A,MakerWorld_Verileri!$B:$B,""),""))</x:f>
      </x:c>
      <x:c r="E34" s="75" t="str">
        <x:f>IF($B34="","",IFERROR(XLOOKUP($C34,MakerWorld_Verileri!$A:$A,MakerWorld_Verileri!$C:$C,""),""))</x:f>
      </x:c>
      <x:c r="F34" s="75" t="str"/>
      <x:c r="G34" s="75" t="str">
        <x:f>IF($B34&lt;&gt;"",Ayarlar!$B$7,"")</x:f>
      </x:c>
      <x:c r="H34" s="82" t="str">
        <x:f>IF($B34&lt;&gt;"",1,"")</x:f>
      </x:c>
      <x:c r="I34" s="82" t="str">
        <x:f>IF($B34="","",IFERROR(XLOOKUP($C34,MakerWorld_Verileri!$A:$A,MakerWorld_Verileri!$D:$D,""),""))</x:f>
      </x:c>
      <x:c r="J34" s="82" t="str"/>
      <x:c r="K34" s="82" t="str">
        <x:f>IF($I34&lt;&gt;"",$I34,$J34)</x:f>
      </x:c>
      <x:c r="L34" s="82" t="str">
        <x:f>IF($B34="","",IFERROR(XLOOKUP($C34,MakerWorld_Verileri!$A:$A,MakerWorld_Verileri!$E:$E,""),""))</x:f>
      </x:c>
      <x:c r="M34" s="82" t="str"/>
      <x:c r="N34" s="82" t="str">
        <x:f>IF($L34&lt;&gt;"",$L34,$M34)</x:f>
      </x:c>
      <x:c r="O34" s="82" t="str">
        <x:f>IF($B34&lt;&gt;"",0,"")</x:f>
      </x:c>
      <x:c r="P34" s="75" t="str">
        <x:f>IF($B34&lt;&gt;"","Orta","")</x:f>
      </x:c>
      <x:c r="Q34" s="82" t="str">
        <x:f>IF($B34&lt;&gt;"",10,"")</x:f>
      </x:c>
      <x:c r="R34" s="83" t="str">
        <x:f>IF($B34&lt;&gt;"",Ayarlar!$B$10,"")</x:f>
      </x:c>
      <x:c r="S34" s="83" t="str">
        <x:f>IF($B34&lt;&gt;"",0,"")</x:f>
      </x:c>
      <x:c r="T34" s="83" t="n">
        <x:f>IFERROR(($K34+$O34)*XLOOKUP($G34,Ayarlar!$A$19:$A$28,Ayarlar!$C$19:$C$28,0)*(1+Ayarlar!$B$11),0)</x:f>
        <x:v>0</x:v>
      </x:c>
      <x:c r="U34" s="83" t="n">
        <x:f>IFERROR($N34/60*Ayarlar!$B$8,0)</x:f>
        <x:v>0</x:v>
      </x:c>
      <x:c r="V34" s="83" t="n">
        <x:f>IF($B34&lt;&gt;"",Ayarlar!$B$12+($Q34/60*Ayarlar!$B$9),0)</x:f>
        <x:v>0</x:v>
      </x:c>
      <x:c r="W34" s="83" t="n">
        <x:f>IF($B34&lt;&gt;"",SUM($T34:$V34,$R34:$S34),0)</x:f>
        <x:v>0</x:v>
      </x:c>
      <x:c r="X34" s="83" t="n">
        <x:f>IF($B34&lt;&gt;"",$W34*Ayarlar!$B$15,0)</x:f>
        <x:v>0</x:v>
      </x:c>
      <x:c r="Y34" s="83" t="n">
        <x:f>IF($B34&lt;&gt;"",($W34+$X34)*Ayarlar!$B$13,0)</x:f>
        <x:v>0</x:v>
      </x:c>
      <x:c r="Z34" s="83" t="n">
        <x:f>IF($B34&lt;&gt;"",($W34+$X34+$Y34)*Ayarlar!$B$14,0)</x:f>
        <x:v>0</x:v>
      </x:c>
      <x:c r="AA34" s="83" t="str">
        <x:f>IF($B34="","",IF(OR($K34="",$N34=""),"",CEILING($W34+$X34+$Y34+$Z34,Ayarlar!$B$16)))</x:f>
      </x:c>
      <x:c r="AB34" s="83" t="str">
        <x:f>IFERROR($AA34/$H34,"")</x:f>
      </x:c>
      <x:c r="AC34" s="75" t="str">
        <x:f>IF($B34="","",IF(OR($K34="",$N34=""),"Veri Eksik","Fiyat Hazır"))</x:f>
      </x:c>
      <x:c r="AD34" s="75" t="str">
        <x:f>IF($C34&lt;&gt;"","MW-"&amp;$C34,"")</x:f>
        <x:v>MW-80</x:v>
      </x:c>
      <x:c r="AE34" s="75" t="str">
        <x:f>IF($G34&lt;&gt;"","3D Baskı / "&amp;$G34,"3D Baskı")</x:f>
        <x:v>3D Baskı</x:v>
      </x:c>
      <x:c r="AF34" s="75" t="str">
        <x:f>IF($D34&lt;&gt;"",$D34&amp;" - "&amp;$G34,$AD34&amp;" - "&amp;$G34)</x:f>
        <x:v>MW-80 - </x:v>
      </x:c>
      <x:c r="AG34" s="75" t="str"/>
    </x:row>
    <x:row r="35">
      <x:c r="A35" s="75" t="str">
        <x:f>IF($B35&lt;&gt;"",ROW()-4,"")</x:f>
      </x:c>
      <x:c r="B35" s="75" t="str"/>
      <x:c r="C35" s="75" t="n">
        <x:f>IFERROR(LET(x,MID($B35,FIND("/models/",$B35)+8,80),y,LEFT(x,FIND("-",x&amp;"-")-1),LEFT(y,FIND("?",y&amp;"?")-1)),"")</x:f>
        <x:v>80</x:v>
      </x:c>
      <x:c r="D35" s="75" t="str">
        <x:f>IF($B35="","",IFERROR(XLOOKUP($C35,MakerWorld_Verileri!$A:$A,MakerWorld_Verileri!$B:$B,""),""))</x:f>
      </x:c>
      <x:c r="E35" s="75" t="str">
        <x:f>IF($B35="","",IFERROR(XLOOKUP($C35,MakerWorld_Verileri!$A:$A,MakerWorld_Verileri!$C:$C,""),""))</x:f>
      </x:c>
      <x:c r="F35" s="75" t="str"/>
      <x:c r="G35" s="75" t="str">
        <x:f>IF($B35&lt;&gt;"",Ayarlar!$B$7,"")</x:f>
      </x:c>
      <x:c r="H35" s="82" t="str">
        <x:f>IF($B35&lt;&gt;"",1,"")</x:f>
      </x:c>
      <x:c r="I35" s="82" t="str">
        <x:f>IF($B35="","",IFERROR(XLOOKUP($C35,MakerWorld_Verileri!$A:$A,MakerWorld_Verileri!$D:$D,""),""))</x:f>
      </x:c>
      <x:c r="J35" s="82" t="str"/>
      <x:c r="K35" s="82" t="str">
        <x:f>IF($I35&lt;&gt;"",$I35,$J35)</x:f>
      </x:c>
      <x:c r="L35" s="82" t="str">
        <x:f>IF($B35="","",IFERROR(XLOOKUP($C35,MakerWorld_Verileri!$A:$A,MakerWorld_Verileri!$E:$E,""),""))</x:f>
      </x:c>
      <x:c r="M35" s="82" t="str"/>
      <x:c r="N35" s="82" t="str">
        <x:f>IF($L35&lt;&gt;"",$L35,$M35)</x:f>
      </x:c>
      <x:c r="O35" s="82" t="str">
        <x:f>IF($B35&lt;&gt;"",0,"")</x:f>
      </x:c>
      <x:c r="P35" s="75" t="str">
        <x:f>IF($B35&lt;&gt;"","Orta","")</x:f>
      </x:c>
      <x:c r="Q35" s="82" t="str">
        <x:f>IF($B35&lt;&gt;"",10,"")</x:f>
      </x:c>
      <x:c r="R35" s="83" t="str">
        <x:f>IF($B35&lt;&gt;"",Ayarlar!$B$10,"")</x:f>
      </x:c>
      <x:c r="S35" s="83" t="str">
        <x:f>IF($B35&lt;&gt;"",0,"")</x:f>
      </x:c>
      <x:c r="T35" s="83" t="n">
        <x:f>IFERROR(($K35+$O35)*XLOOKUP($G35,Ayarlar!$A$19:$A$28,Ayarlar!$C$19:$C$28,0)*(1+Ayarlar!$B$11),0)</x:f>
        <x:v>0</x:v>
      </x:c>
      <x:c r="U35" s="83" t="n">
        <x:f>IFERROR($N35/60*Ayarlar!$B$8,0)</x:f>
        <x:v>0</x:v>
      </x:c>
      <x:c r="V35" s="83" t="n">
        <x:f>IF($B35&lt;&gt;"",Ayarlar!$B$12+($Q35/60*Ayarlar!$B$9),0)</x:f>
        <x:v>0</x:v>
      </x:c>
      <x:c r="W35" s="83" t="n">
        <x:f>IF($B35&lt;&gt;"",SUM($T35:$V35,$R35:$S35),0)</x:f>
        <x:v>0</x:v>
      </x:c>
      <x:c r="X35" s="83" t="n">
        <x:f>IF($B35&lt;&gt;"",$W35*Ayarlar!$B$15,0)</x:f>
        <x:v>0</x:v>
      </x:c>
      <x:c r="Y35" s="83" t="n">
        <x:f>IF($B35&lt;&gt;"",($W35+$X35)*Ayarlar!$B$13,0)</x:f>
        <x:v>0</x:v>
      </x:c>
      <x:c r="Z35" s="83" t="n">
        <x:f>IF($B35&lt;&gt;"",($W35+$X35+$Y35)*Ayarlar!$B$14,0)</x:f>
        <x:v>0</x:v>
      </x:c>
      <x:c r="AA35" s="83" t="str">
        <x:f>IF($B35="","",IF(OR($K35="",$N35=""),"",CEILING($W35+$X35+$Y35+$Z35,Ayarlar!$B$16)))</x:f>
      </x:c>
      <x:c r="AB35" s="83" t="str">
        <x:f>IFERROR($AA35/$H35,"")</x:f>
      </x:c>
      <x:c r="AC35" s="75" t="str">
        <x:f>IF($B35="","",IF(OR($K35="",$N35=""),"Veri Eksik","Fiyat Hazır"))</x:f>
      </x:c>
      <x:c r="AD35" s="75" t="str">
        <x:f>IF($C35&lt;&gt;"","MW-"&amp;$C35,"")</x:f>
        <x:v>MW-80</x:v>
      </x:c>
      <x:c r="AE35" s="75" t="str">
        <x:f>IF($G35&lt;&gt;"","3D Baskı / "&amp;$G35,"3D Baskı")</x:f>
        <x:v>3D Baskı</x:v>
      </x:c>
      <x:c r="AF35" s="75" t="str">
        <x:f>IF($D35&lt;&gt;"",$D35&amp;" - "&amp;$G35,$AD35&amp;" - "&amp;$G35)</x:f>
        <x:v>MW-80 - </x:v>
      </x:c>
      <x:c r="AG35" s="75" t="str"/>
    </x:row>
    <x:row r="36">
      <x:c r="A36" s="75" t="str">
        <x:f>IF($B36&lt;&gt;"",ROW()-4,"")</x:f>
      </x:c>
      <x:c r="B36" s="75" t="str"/>
      <x:c r="C36" s="75" t="n">
        <x:f>IFERROR(LET(x,MID($B36,FIND("/models/",$B36)+8,80),y,LEFT(x,FIND("-",x&amp;"-")-1),LEFT(y,FIND("?",y&amp;"?")-1)),"")</x:f>
        <x:v>80</x:v>
      </x:c>
      <x:c r="D36" s="75" t="str">
        <x:f>IF($B36="","",IFERROR(XLOOKUP($C36,MakerWorld_Verileri!$A:$A,MakerWorld_Verileri!$B:$B,""),""))</x:f>
      </x:c>
      <x:c r="E36" s="75" t="str">
        <x:f>IF($B36="","",IFERROR(XLOOKUP($C36,MakerWorld_Verileri!$A:$A,MakerWorld_Verileri!$C:$C,""),""))</x:f>
      </x:c>
      <x:c r="F36" s="75" t="str"/>
      <x:c r="G36" s="75" t="str">
        <x:f>IF($B36&lt;&gt;"",Ayarlar!$B$7,"")</x:f>
      </x:c>
      <x:c r="H36" s="82" t="str">
        <x:f>IF($B36&lt;&gt;"",1,"")</x:f>
      </x:c>
      <x:c r="I36" s="82" t="str">
        <x:f>IF($B36="","",IFERROR(XLOOKUP($C36,MakerWorld_Verileri!$A:$A,MakerWorld_Verileri!$D:$D,""),""))</x:f>
      </x:c>
      <x:c r="J36" s="82" t="str"/>
      <x:c r="K36" s="82" t="str">
        <x:f>IF($I36&lt;&gt;"",$I36,$J36)</x:f>
      </x:c>
      <x:c r="L36" s="82" t="str">
        <x:f>IF($B36="","",IFERROR(XLOOKUP($C36,MakerWorld_Verileri!$A:$A,MakerWorld_Verileri!$E:$E,""),""))</x:f>
      </x:c>
      <x:c r="M36" s="82" t="str"/>
      <x:c r="N36" s="82" t="str">
        <x:f>IF($L36&lt;&gt;"",$L36,$M36)</x:f>
      </x:c>
      <x:c r="O36" s="82" t="str">
        <x:f>IF($B36&lt;&gt;"",0,"")</x:f>
      </x:c>
      <x:c r="P36" s="75" t="str">
        <x:f>IF($B36&lt;&gt;"","Orta","")</x:f>
      </x:c>
      <x:c r="Q36" s="82" t="str">
        <x:f>IF($B36&lt;&gt;"",10,"")</x:f>
      </x:c>
      <x:c r="R36" s="83" t="str">
        <x:f>IF($B36&lt;&gt;"",Ayarlar!$B$10,"")</x:f>
      </x:c>
      <x:c r="S36" s="83" t="str">
        <x:f>IF($B36&lt;&gt;"",0,"")</x:f>
      </x:c>
      <x:c r="T36" s="83" t="n">
        <x:f>IFERROR(($K36+$O36)*XLOOKUP($G36,Ayarlar!$A$19:$A$28,Ayarlar!$C$19:$C$28,0)*(1+Ayarlar!$B$11),0)</x:f>
        <x:v>0</x:v>
      </x:c>
      <x:c r="U36" s="83" t="n">
        <x:f>IFERROR($N36/60*Ayarlar!$B$8,0)</x:f>
        <x:v>0</x:v>
      </x:c>
      <x:c r="V36" s="83" t="n">
        <x:f>IF($B36&lt;&gt;"",Ayarlar!$B$12+($Q36/60*Ayarlar!$B$9),0)</x:f>
        <x:v>0</x:v>
      </x:c>
      <x:c r="W36" s="83" t="n">
        <x:f>IF($B36&lt;&gt;"",SUM($T36:$V36,$R36:$S36),0)</x:f>
        <x:v>0</x:v>
      </x:c>
      <x:c r="X36" s="83" t="n">
        <x:f>IF($B36&lt;&gt;"",$W36*Ayarlar!$B$15,0)</x:f>
        <x:v>0</x:v>
      </x:c>
      <x:c r="Y36" s="83" t="n">
        <x:f>IF($B36&lt;&gt;"",($W36+$X36)*Ayarlar!$B$13,0)</x:f>
        <x:v>0</x:v>
      </x:c>
      <x:c r="Z36" s="83" t="n">
        <x:f>IF($B36&lt;&gt;"",($W36+$X36+$Y36)*Ayarlar!$B$14,0)</x:f>
        <x:v>0</x:v>
      </x:c>
      <x:c r="AA36" s="83" t="str">
        <x:f>IF($B36="","",IF(OR($K36="",$N36=""),"",CEILING($W36+$X36+$Y36+$Z36,Ayarlar!$B$16)))</x:f>
      </x:c>
      <x:c r="AB36" s="83" t="str">
        <x:f>IFERROR($AA36/$H36,"")</x:f>
      </x:c>
      <x:c r="AC36" s="75" t="str">
        <x:f>IF($B36="","",IF(OR($K36="",$N36=""),"Veri Eksik","Fiyat Hazır"))</x:f>
      </x:c>
      <x:c r="AD36" s="75" t="str">
        <x:f>IF($C36&lt;&gt;"","MW-"&amp;$C36,"")</x:f>
        <x:v>MW-80</x:v>
      </x:c>
      <x:c r="AE36" s="75" t="str">
        <x:f>IF($G36&lt;&gt;"","3D Baskı / "&amp;$G36,"3D Baskı")</x:f>
        <x:v>3D Baskı</x:v>
      </x:c>
      <x:c r="AF36" s="75" t="str">
        <x:f>IF($D36&lt;&gt;"",$D36&amp;" - "&amp;$G36,$AD36&amp;" - "&amp;$G36)</x:f>
        <x:v>MW-80 - </x:v>
      </x:c>
      <x:c r="AG36" s="75" t="str"/>
    </x:row>
    <x:row r="37">
      <x:c r="A37" s="75" t="str">
        <x:f>IF($B37&lt;&gt;"",ROW()-4,"")</x:f>
      </x:c>
      <x:c r="B37" s="75" t="str"/>
      <x:c r="C37" s="75" t="n">
        <x:f>IFERROR(LET(x,MID($B37,FIND("/models/",$B37)+8,80),y,LEFT(x,FIND("-",x&amp;"-")-1),LEFT(y,FIND("?",y&amp;"?")-1)),"")</x:f>
        <x:v>80</x:v>
      </x:c>
      <x:c r="D37" s="75" t="str">
        <x:f>IF($B37="","",IFERROR(XLOOKUP($C37,MakerWorld_Verileri!$A:$A,MakerWorld_Verileri!$B:$B,""),""))</x:f>
      </x:c>
      <x:c r="E37" s="75" t="str">
        <x:f>IF($B37="","",IFERROR(XLOOKUP($C37,MakerWorld_Verileri!$A:$A,MakerWorld_Verileri!$C:$C,""),""))</x:f>
      </x:c>
      <x:c r="F37" s="75" t="str"/>
      <x:c r="G37" s="75" t="str">
        <x:f>IF($B37&lt;&gt;"",Ayarlar!$B$7,"")</x:f>
      </x:c>
      <x:c r="H37" s="82" t="str">
        <x:f>IF($B37&lt;&gt;"",1,"")</x:f>
      </x:c>
      <x:c r="I37" s="82" t="str">
        <x:f>IF($B37="","",IFERROR(XLOOKUP($C37,MakerWorld_Verileri!$A:$A,MakerWorld_Verileri!$D:$D,""),""))</x:f>
      </x:c>
      <x:c r="J37" s="82" t="str"/>
      <x:c r="K37" s="82" t="str">
        <x:f>IF($I37&lt;&gt;"",$I37,$J37)</x:f>
      </x:c>
      <x:c r="L37" s="82" t="str">
        <x:f>IF($B37="","",IFERROR(XLOOKUP($C37,MakerWorld_Verileri!$A:$A,MakerWorld_Verileri!$E:$E,""),""))</x:f>
      </x:c>
      <x:c r="M37" s="82" t="str"/>
      <x:c r="N37" s="82" t="str">
        <x:f>IF($L37&lt;&gt;"",$L37,$M37)</x:f>
      </x:c>
      <x:c r="O37" s="82" t="str">
        <x:f>IF($B37&lt;&gt;"",0,"")</x:f>
      </x:c>
      <x:c r="P37" s="75" t="str">
        <x:f>IF($B37&lt;&gt;"","Orta","")</x:f>
      </x:c>
      <x:c r="Q37" s="82" t="str">
        <x:f>IF($B37&lt;&gt;"",10,"")</x:f>
      </x:c>
      <x:c r="R37" s="83" t="str">
        <x:f>IF($B37&lt;&gt;"",Ayarlar!$B$10,"")</x:f>
      </x:c>
      <x:c r="S37" s="83" t="str">
        <x:f>IF($B37&lt;&gt;"",0,"")</x:f>
      </x:c>
      <x:c r="T37" s="83" t="n">
        <x:f>IFERROR(($K37+$O37)*XLOOKUP($G37,Ayarlar!$A$19:$A$28,Ayarlar!$C$19:$C$28,0)*(1+Ayarlar!$B$11),0)</x:f>
        <x:v>0</x:v>
      </x:c>
      <x:c r="U37" s="83" t="n">
        <x:f>IFERROR($N37/60*Ayarlar!$B$8,0)</x:f>
        <x:v>0</x:v>
      </x:c>
      <x:c r="V37" s="83" t="n">
        <x:f>IF($B37&lt;&gt;"",Ayarlar!$B$12+($Q37/60*Ayarlar!$B$9),0)</x:f>
        <x:v>0</x:v>
      </x:c>
      <x:c r="W37" s="83" t="n">
        <x:f>IF($B37&lt;&gt;"",SUM($T37:$V37,$R37:$S37),0)</x:f>
        <x:v>0</x:v>
      </x:c>
      <x:c r="X37" s="83" t="n">
        <x:f>IF($B37&lt;&gt;"",$W37*Ayarlar!$B$15,0)</x:f>
        <x:v>0</x:v>
      </x:c>
      <x:c r="Y37" s="83" t="n">
        <x:f>IF($B37&lt;&gt;"",($W37+$X37)*Ayarlar!$B$13,0)</x:f>
        <x:v>0</x:v>
      </x:c>
      <x:c r="Z37" s="83" t="n">
        <x:f>IF($B37&lt;&gt;"",($W37+$X37+$Y37)*Ayarlar!$B$14,0)</x:f>
        <x:v>0</x:v>
      </x:c>
      <x:c r="AA37" s="83" t="str">
        <x:f>IF($B37="","",IF(OR($K37="",$N37=""),"",CEILING($W37+$X37+$Y37+$Z37,Ayarlar!$B$16)))</x:f>
      </x:c>
      <x:c r="AB37" s="83" t="str">
        <x:f>IFERROR($AA37/$H37,"")</x:f>
      </x:c>
      <x:c r="AC37" s="75" t="str">
        <x:f>IF($B37="","",IF(OR($K37="",$N37=""),"Veri Eksik","Fiyat Hazır"))</x:f>
      </x:c>
      <x:c r="AD37" s="75" t="str">
        <x:f>IF($C37&lt;&gt;"","MW-"&amp;$C37,"")</x:f>
        <x:v>MW-80</x:v>
      </x:c>
      <x:c r="AE37" s="75" t="str">
        <x:f>IF($G37&lt;&gt;"","3D Baskı / "&amp;$G37,"3D Baskı")</x:f>
        <x:v>3D Baskı</x:v>
      </x:c>
      <x:c r="AF37" s="75" t="str">
        <x:f>IF($D37&lt;&gt;"",$D37&amp;" - "&amp;$G37,$AD37&amp;" - "&amp;$G37)</x:f>
        <x:v>MW-80 - </x:v>
      </x:c>
      <x:c r="AG37" s="75" t="str"/>
    </x:row>
    <x:row r="38">
      <x:c r="A38" s="75" t="str">
        <x:f>IF($B38&lt;&gt;"",ROW()-4,"")</x:f>
      </x:c>
      <x:c r="B38" s="75" t="str"/>
      <x:c r="C38" s="75" t="n">
        <x:f>IFERROR(LET(x,MID($B38,FIND("/models/",$B38)+8,80),y,LEFT(x,FIND("-",x&amp;"-")-1),LEFT(y,FIND("?",y&amp;"?")-1)),"")</x:f>
        <x:v>80</x:v>
      </x:c>
      <x:c r="D38" s="75" t="str">
        <x:f>IF($B38="","",IFERROR(XLOOKUP($C38,MakerWorld_Verileri!$A:$A,MakerWorld_Verileri!$B:$B,""),""))</x:f>
      </x:c>
      <x:c r="E38" s="75" t="str">
        <x:f>IF($B38="","",IFERROR(XLOOKUP($C38,MakerWorld_Verileri!$A:$A,MakerWorld_Verileri!$C:$C,""),""))</x:f>
      </x:c>
      <x:c r="F38" s="75" t="str"/>
      <x:c r="G38" s="75" t="str">
        <x:f>IF($B38&lt;&gt;"",Ayarlar!$B$7,"")</x:f>
      </x:c>
      <x:c r="H38" s="82" t="str">
        <x:f>IF($B38&lt;&gt;"",1,"")</x:f>
      </x:c>
      <x:c r="I38" s="82" t="str">
        <x:f>IF($B38="","",IFERROR(XLOOKUP($C38,MakerWorld_Verileri!$A:$A,MakerWorld_Verileri!$D:$D,""),""))</x:f>
      </x:c>
      <x:c r="J38" s="82" t="str"/>
      <x:c r="K38" s="82" t="str">
        <x:f>IF($I38&lt;&gt;"",$I38,$J38)</x:f>
      </x:c>
      <x:c r="L38" s="82" t="str">
        <x:f>IF($B38="","",IFERROR(XLOOKUP($C38,MakerWorld_Verileri!$A:$A,MakerWorld_Verileri!$E:$E,""),""))</x:f>
      </x:c>
      <x:c r="M38" s="82" t="str"/>
      <x:c r="N38" s="82" t="str">
        <x:f>IF($L38&lt;&gt;"",$L38,$M38)</x:f>
      </x:c>
      <x:c r="O38" s="82" t="str">
        <x:f>IF($B38&lt;&gt;"",0,"")</x:f>
      </x:c>
      <x:c r="P38" s="75" t="str">
        <x:f>IF($B38&lt;&gt;"","Orta","")</x:f>
      </x:c>
      <x:c r="Q38" s="82" t="str">
        <x:f>IF($B38&lt;&gt;"",10,"")</x:f>
      </x:c>
      <x:c r="R38" s="83" t="str">
        <x:f>IF($B38&lt;&gt;"",Ayarlar!$B$10,"")</x:f>
      </x:c>
      <x:c r="S38" s="83" t="str">
        <x:f>IF($B38&lt;&gt;"",0,"")</x:f>
      </x:c>
      <x:c r="T38" s="83" t="n">
        <x:f>IFERROR(($K38+$O38)*XLOOKUP($G38,Ayarlar!$A$19:$A$28,Ayarlar!$C$19:$C$28,0)*(1+Ayarlar!$B$11),0)</x:f>
        <x:v>0</x:v>
      </x:c>
      <x:c r="U38" s="83" t="n">
        <x:f>IFERROR($N38/60*Ayarlar!$B$8,0)</x:f>
        <x:v>0</x:v>
      </x:c>
      <x:c r="V38" s="83" t="n">
        <x:f>IF($B38&lt;&gt;"",Ayarlar!$B$12+($Q38/60*Ayarlar!$B$9),0)</x:f>
        <x:v>0</x:v>
      </x:c>
      <x:c r="W38" s="83" t="n">
        <x:f>IF($B38&lt;&gt;"",SUM($T38:$V38,$R38:$S38),0)</x:f>
        <x:v>0</x:v>
      </x:c>
      <x:c r="X38" s="83" t="n">
        <x:f>IF($B38&lt;&gt;"",$W38*Ayarlar!$B$15,0)</x:f>
        <x:v>0</x:v>
      </x:c>
      <x:c r="Y38" s="83" t="n">
        <x:f>IF($B38&lt;&gt;"",($W38+$X38)*Ayarlar!$B$13,0)</x:f>
        <x:v>0</x:v>
      </x:c>
      <x:c r="Z38" s="83" t="n">
        <x:f>IF($B38&lt;&gt;"",($W38+$X38+$Y38)*Ayarlar!$B$14,0)</x:f>
        <x:v>0</x:v>
      </x:c>
      <x:c r="AA38" s="83" t="str">
        <x:f>IF($B38="","",IF(OR($K38="",$N38=""),"",CEILING($W38+$X38+$Y38+$Z38,Ayarlar!$B$16)))</x:f>
      </x:c>
      <x:c r="AB38" s="83" t="str">
        <x:f>IFERROR($AA38/$H38,"")</x:f>
      </x:c>
      <x:c r="AC38" s="75" t="str">
        <x:f>IF($B38="","",IF(OR($K38="",$N38=""),"Veri Eksik","Fiyat Hazır"))</x:f>
      </x:c>
      <x:c r="AD38" s="75" t="str">
        <x:f>IF($C38&lt;&gt;"","MW-"&amp;$C38,"")</x:f>
        <x:v>MW-80</x:v>
      </x:c>
      <x:c r="AE38" s="75" t="str">
        <x:f>IF($G38&lt;&gt;"","3D Baskı / "&amp;$G38,"3D Baskı")</x:f>
        <x:v>3D Baskı</x:v>
      </x:c>
      <x:c r="AF38" s="75" t="str">
        <x:f>IF($D38&lt;&gt;"",$D38&amp;" - "&amp;$G38,$AD38&amp;" - "&amp;$G38)</x:f>
        <x:v>MW-80 - </x:v>
      </x:c>
      <x:c r="AG38" s="75" t="str"/>
    </x:row>
    <x:row r="39">
      <x:c r="A39" s="75" t="str">
        <x:f>IF($B39&lt;&gt;"",ROW()-4,"")</x:f>
      </x:c>
      <x:c r="B39" s="75" t="str"/>
      <x:c r="C39" s="75" t="n">
        <x:f>IFERROR(LET(x,MID($B39,FIND("/models/",$B39)+8,80),y,LEFT(x,FIND("-",x&amp;"-")-1),LEFT(y,FIND("?",y&amp;"?")-1)),"")</x:f>
        <x:v>80</x:v>
      </x:c>
      <x:c r="D39" s="75" t="str">
        <x:f>IF($B39="","",IFERROR(XLOOKUP($C39,MakerWorld_Verileri!$A:$A,MakerWorld_Verileri!$B:$B,""),""))</x:f>
      </x:c>
      <x:c r="E39" s="75" t="str">
        <x:f>IF($B39="","",IFERROR(XLOOKUP($C39,MakerWorld_Verileri!$A:$A,MakerWorld_Verileri!$C:$C,""),""))</x:f>
      </x:c>
      <x:c r="F39" s="75" t="str"/>
      <x:c r="G39" s="75" t="str">
        <x:f>IF($B39&lt;&gt;"",Ayarlar!$B$7,"")</x:f>
      </x:c>
      <x:c r="H39" s="82" t="str">
        <x:f>IF($B39&lt;&gt;"",1,"")</x:f>
      </x:c>
      <x:c r="I39" s="82" t="str">
        <x:f>IF($B39="","",IFERROR(XLOOKUP($C39,MakerWorld_Verileri!$A:$A,MakerWorld_Verileri!$D:$D,""),""))</x:f>
      </x:c>
      <x:c r="J39" s="82" t="str"/>
      <x:c r="K39" s="82" t="str">
        <x:f>IF($I39&lt;&gt;"",$I39,$J39)</x:f>
      </x:c>
      <x:c r="L39" s="82" t="str">
        <x:f>IF($B39="","",IFERROR(XLOOKUP($C39,MakerWorld_Verileri!$A:$A,MakerWorld_Verileri!$E:$E,""),""))</x:f>
      </x:c>
      <x:c r="M39" s="82" t="str"/>
      <x:c r="N39" s="82" t="str">
        <x:f>IF($L39&lt;&gt;"",$L39,$M39)</x:f>
      </x:c>
      <x:c r="O39" s="82" t="str">
        <x:f>IF($B39&lt;&gt;"",0,"")</x:f>
      </x:c>
      <x:c r="P39" s="75" t="str">
        <x:f>IF($B39&lt;&gt;"","Orta","")</x:f>
      </x:c>
      <x:c r="Q39" s="82" t="str">
        <x:f>IF($B39&lt;&gt;"",10,"")</x:f>
      </x:c>
      <x:c r="R39" s="83" t="str">
        <x:f>IF($B39&lt;&gt;"",Ayarlar!$B$10,"")</x:f>
      </x:c>
      <x:c r="S39" s="83" t="str">
        <x:f>IF($B39&lt;&gt;"",0,"")</x:f>
      </x:c>
      <x:c r="T39" s="83" t="n">
        <x:f>IFERROR(($K39+$O39)*XLOOKUP($G39,Ayarlar!$A$19:$A$28,Ayarlar!$C$19:$C$28,0)*(1+Ayarlar!$B$11),0)</x:f>
        <x:v>0</x:v>
      </x:c>
      <x:c r="U39" s="83" t="n">
        <x:f>IFERROR($N39/60*Ayarlar!$B$8,0)</x:f>
        <x:v>0</x:v>
      </x:c>
      <x:c r="V39" s="83" t="n">
        <x:f>IF($B39&lt;&gt;"",Ayarlar!$B$12+($Q39/60*Ayarlar!$B$9),0)</x:f>
        <x:v>0</x:v>
      </x:c>
      <x:c r="W39" s="83" t="n">
        <x:f>IF($B39&lt;&gt;"",SUM($T39:$V39,$R39:$S39),0)</x:f>
        <x:v>0</x:v>
      </x:c>
      <x:c r="X39" s="83" t="n">
        <x:f>IF($B39&lt;&gt;"",$W39*Ayarlar!$B$15,0)</x:f>
        <x:v>0</x:v>
      </x:c>
      <x:c r="Y39" s="83" t="n">
        <x:f>IF($B39&lt;&gt;"",($W39+$X39)*Ayarlar!$B$13,0)</x:f>
        <x:v>0</x:v>
      </x:c>
      <x:c r="Z39" s="83" t="n">
        <x:f>IF($B39&lt;&gt;"",($W39+$X39+$Y39)*Ayarlar!$B$14,0)</x:f>
        <x:v>0</x:v>
      </x:c>
      <x:c r="AA39" s="83" t="str">
        <x:f>IF($B39="","",IF(OR($K39="",$N39=""),"",CEILING($W39+$X39+$Y39+$Z39,Ayarlar!$B$16)))</x:f>
      </x:c>
      <x:c r="AB39" s="83" t="str">
        <x:f>IFERROR($AA39/$H39,"")</x:f>
      </x:c>
      <x:c r="AC39" s="75" t="str">
        <x:f>IF($B39="","",IF(OR($K39="",$N39=""),"Veri Eksik","Fiyat Hazır"))</x:f>
      </x:c>
      <x:c r="AD39" s="75" t="str">
        <x:f>IF($C39&lt;&gt;"","MW-"&amp;$C39,"")</x:f>
        <x:v>MW-80</x:v>
      </x:c>
      <x:c r="AE39" s="75" t="str">
        <x:f>IF($G39&lt;&gt;"","3D Baskı / "&amp;$G39,"3D Baskı")</x:f>
        <x:v>3D Baskı</x:v>
      </x:c>
      <x:c r="AF39" s="75" t="str">
        <x:f>IF($D39&lt;&gt;"",$D39&amp;" - "&amp;$G39,$AD39&amp;" - "&amp;$G39)</x:f>
        <x:v>MW-80 - </x:v>
      </x:c>
      <x:c r="AG39" s="75" t="str"/>
    </x:row>
    <x:row r="40">
      <x:c r="A40" s="75" t="str">
        <x:f>IF($B40&lt;&gt;"",ROW()-4,"")</x:f>
      </x:c>
      <x:c r="B40" s="75" t="str"/>
      <x:c r="C40" s="75" t="n">
        <x:f>IFERROR(LET(x,MID($B40,FIND("/models/",$B40)+8,80),y,LEFT(x,FIND("-",x&amp;"-")-1),LEFT(y,FIND("?",y&amp;"?")-1)),"")</x:f>
        <x:v>80</x:v>
      </x:c>
      <x:c r="D40" s="75" t="str">
        <x:f>IF($B40="","",IFERROR(XLOOKUP($C40,MakerWorld_Verileri!$A:$A,MakerWorld_Verileri!$B:$B,""),""))</x:f>
      </x:c>
      <x:c r="E40" s="75" t="str">
        <x:f>IF($B40="","",IFERROR(XLOOKUP($C40,MakerWorld_Verileri!$A:$A,MakerWorld_Verileri!$C:$C,""),""))</x:f>
      </x:c>
      <x:c r="F40" s="75" t="str"/>
      <x:c r="G40" s="75" t="str">
        <x:f>IF($B40&lt;&gt;"",Ayarlar!$B$7,"")</x:f>
      </x:c>
      <x:c r="H40" s="82" t="str">
        <x:f>IF($B40&lt;&gt;"",1,"")</x:f>
      </x:c>
      <x:c r="I40" s="82" t="str">
        <x:f>IF($B40="","",IFERROR(XLOOKUP($C40,MakerWorld_Verileri!$A:$A,MakerWorld_Verileri!$D:$D,""),""))</x:f>
      </x:c>
      <x:c r="J40" s="82" t="str"/>
      <x:c r="K40" s="82" t="str">
        <x:f>IF($I40&lt;&gt;"",$I40,$J40)</x:f>
      </x:c>
      <x:c r="L40" s="82" t="str">
        <x:f>IF($B40="","",IFERROR(XLOOKUP($C40,MakerWorld_Verileri!$A:$A,MakerWorld_Verileri!$E:$E,""),""))</x:f>
      </x:c>
      <x:c r="M40" s="82" t="str"/>
      <x:c r="N40" s="82" t="str">
        <x:f>IF($L40&lt;&gt;"",$L40,$M40)</x:f>
      </x:c>
      <x:c r="O40" s="82" t="str">
        <x:f>IF($B40&lt;&gt;"",0,"")</x:f>
      </x:c>
      <x:c r="P40" s="75" t="str">
        <x:f>IF($B40&lt;&gt;"","Orta","")</x:f>
      </x:c>
      <x:c r="Q40" s="82" t="str">
        <x:f>IF($B40&lt;&gt;"",10,"")</x:f>
      </x:c>
      <x:c r="R40" s="83" t="str">
        <x:f>IF($B40&lt;&gt;"",Ayarlar!$B$10,"")</x:f>
      </x:c>
      <x:c r="S40" s="83" t="str">
        <x:f>IF($B40&lt;&gt;"",0,"")</x:f>
      </x:c>
      <x:c r="T40" s="83" t="n">
        <x:f>IFERROR(($K40+$O40)*XLOOKUP($G40,Ayarlar!$A$19:$A$28,Ayarlar!$C$19:$C$28,0)*(1+Ayarlar!$B$11),0)</x:f>
        <x:v>0</x:v>
      </x:c>
      <x:c r="U40" s="83" t="n">
        <x:f>IFERROR($N40/60*Ayarlar!$B$8,0)</x:f>
        <x:v>0</x:v>
      </x:c>
      <x:c r="V40" s="83" t="n">
        <x:f>IF($B40&lt;&gt;"",Ayarlar!$B$12+($Q40/60*Ayarlar!$B$9),0)</x:f>
        <x:v>0</x:v>
      </x:c>
      <x:c r="W40" s="83" t="n">
        <x:f>IF($B40&lt;&gt;"",SUM($T40:$V40,$R40:$S40),0)</x:f>
        <x:v>0</x:v>
      </x:c>
      <x:c r="X40" s="83" t="n">
        <x:f>IF($B40&lt;&gt;"",$W40*Ayarlar!$B$15,0)</x:f>
        <x:v>0</x:v>
      </x:c>
      <x:c r="Y40" s="83" t="n">
        <x:f>IF($B40&lt;&gt;"",($W40+$X40)*Ayarlar!$B$13,0)</x:f>
        <x:v>0</x:v>
      </x:c>
      <x:c r="Z40" s="83" t="n">
        <x:f>IF($B40&lt;&gt;"",($W40+$X40+$Y40)*Ayarlar!$B$14,0)</x:f>
        <x:v>0</x:v>
      </x:c>
      <x:c r="AA40" s="83" t="str">
        <x:f>IF($B40="","",IF(OR($K40="",$N40=""),"",CEILING($W40+$X40+$Y40+$Z40,Ayarlar!$B$16)))</x:f>
      </x:c>
      <x:c r="AB40" s="83" t="str">
        <x:f>IFERROR($AA40/$H40,"")</x:f>
      </x:c>
      <x:c r="AC40" s="75" t="str">
        <x:f>IF($B40="","",IF(OR($K40="",$N40=""),"Veri Eksik","Fiyat Hazır"))</x:f>
      </x:c>
      <x:c r="AD40" s="75" t="str">
        <x:f>IF($C40&lt;&gt;"","MW-"&amp;$C40,"")</x:f>
        <x:v>MW-80</x:v>
      </x:c>
      <x:c r="AE40" s="75" t="str">
        <x:f>IF($G40&lt;&gt;"","3D Baskı / "&amp;$G40,"3D Baskı")</x:f>
        <x:v>3D Baskı</x:v>
      </x:c>
      <x:c r="AF40" s="75" t="str">
        <x:f>IF($D40&lt;&gt;"",$D40&amp;" - "&amp;$G40,$AD40&amp;" - "&amp;$G40)</x:f>
        <x:v>MW-80 - </x:v>
      </x:c>
      <x:c r="AG40" s="75" t="str"/>
    </x:row>
    <x:row r="41">
      <x:c r="A41" s="75" t="str">
        <x:f>IF($B41&lt;&gt;"",ROW()-4,"")</x:f>
      </x:c>
      <x:c r="B41" s="75" t="str"/>
      <x:c r="C41" s="75" t="n">
        <x:f>IFERROR(LET(x,MID($B41,FIND("/models/",$B41)+8,80),y,LEFT(x,FIND("-",x&amp;"-")-1),LEFT(y,FIND("?",y&amp;"?")-1)),"")</x:f>
        <x:v>80</x:v>
      </x:c>
      <x:c r="D41" s="75" t="str">
        <x:f>IF($B41="","",IFERROR(XLOOKUP($C41,MakerWorld_Verileri!$A:$A,MakerWorld_Verileri!$B:$B,""),""))</x:f>
      </x:c>
      <x:c r="E41" s="75" t="str">
        <x:f>IF($B41="","",IFERROR(XLOOKUP($C41,MakerWorld_Verileri!$A:$A,MakerWorld_Verileri!$C:$C,""),""))</x:f>
      </x:c>
      <x:c r="F41" s="75" t="str"/>
      <x:c r="G41" s="75" t="str">
        <x:f>IF($B41&lt;&gt;"",Ayarlar!$B$7,"")</x:f>
      </x:c>
      <x:c r="H41" s="82" t="str">
        <x:f>IF($B41&lt;&gt;"",1,"")</x:f>
      </x:c>
      <x:c r="I41" s="82" t="str">
        <x:f>IF($B41="","",IFERROR(XLOOKUP($C41,MakerWorld_Verileri!$A:$A,MakerWorld_Verileri!$D:$D,""),""))</x:f>
      </x:c>
      <x:c r="J41" s="82" t="str"/>
      <x:c r="K41" s="82" t="str">
        <x:f>IF($I41&lt;&gt;"",$I41,$J41)</x:f>
      </x:c>
      <x:c r="L41" s="82" t="str">
        <x:f>IF($B41="","",IFERROR(XLOOKUP($C41,MakerWorld_Verileri!$A:$A,MakerWorld_Verileri!$E:$E,""),""))</x:f>
      </x:c>
      <x:c r="M41" s="82" t="str"/>
      <x:c r="N41" s="82" t="str">
        <x:f>IF($L41&lt;&gt;"",$L41,$M41)</x:f>
      </x:c>
      <x:c r="O41" s="82" t="str">
        <x:f>IF($B41&lt;&gt;"",0,"")</x:f>
      </x:c>
      <x:c r="P41" s="75" t="str">
        <x:f>IF($B41&lt;&gt;"","Orta","")</x:f>
      </x:c>
      <x:c r="Q41" s="82" t="str">
        <x:f>IF($B41&lt;&gt;"",10,"")</x:f>
      </x:c>
      <x:c r="R41" s="83" t="str">
        <x:f>IF($B41&lt;&gt;"",Ayarlar!$B$10,"")</x:f>
      </x:c>
      <x:c r="S41" s="83" t="str">
        <x:f>IF($B41&lt;&gt;"",0,"")</x:f>
      </x:c>
      <x:c r="T41" s="83" t="n">
        <x:f>IFERROR(($K41+$O41)*XLOOKUP($G41,Ayarlar!$A$19:$A$28,Ayarlar!$C$19:$C$28,0)*(1+Ayarlar!$B$11),0)</x:f>
        <x:v>0</x:v>
      </x:c>
      <x:c r="U41" s="83" t="n">
        <x:f>IFERROR($N41/60*Ayarlar!$B$8,0)</x:f>
        <x:v>0</x:v>
      </x:c>
      <x:c r="V41" s="83" t="n">
        <x:f>IF($B41&lt;&gt;"",Ayarlar!$B$12+($Q41/60*Ayarlar!$B$9),0)</x:f>
        <x:v>0</x:v>
      </x:c>
      <x:c r="W41" s="83" t="n">
        <x:f>IF($B41&lt;&gt;"",SUM($T41:$V41,$R41:$S41),0)</x:f>
        <x:v>0</x:v>
      </x:c>
      <x:c r="X41" s="83" t="n">
        <x:f>IF($B41&lt;&gt;"",$W41*Ayarlar!$B$15,0)</x:f>
        <x:v>0</x:v>
      </x:c>
      <x:c r="Y41" s="83" t="n">
        <x:f>IF($B41&lt;&gt;"",($W41+$X41)*Ayarlar!$B$13,0)</x:f>
        <x:v>0</x:v>
      </x:c>
      <x:c r="Z41" s="83" t="n">
        <x:f>IF($B41&lt;&gt;"",($W41+$X41+$Y41)*Ayarlar!$B$14,0)</x:f>
        <x:v>0</x:v>
      </x:c>
      <x:c r="AA41" s="83" t="str">
        <x:f>IF($B41="","",IF(OR($K41="",$N41=""),"",CEILING($W41+$X41+$Y41+$Z41,Ayarlar!$B$16)))</x:f>
      </x:c>
      <x:c r="AB41" s="83" t="str">
        <x:f>IFERROR($AA41/$H41,"")</x:f>
      </x:c>
      <x:c r="AC41" s="75" t="str">
        <x:f>IF($B41="","",IF(OR($K41="",$N41=""),"Veri Eksik","Fiyat Hazır"))</x:f>
      </x:c>
      <x:c r="AD41" s="75" t="str">
        <x:f>IF($C41&lt;&gt;"","MW-"&amp;$C41,"")</x:f>
        <x:v>MW-80</x:v>
      </x:c>
      <x:c r="AE41" s="75" t="str">
        <x:f>IF($G41&lt;&gt;"","3D Baskı / "&amp;$G41,"3D Baskı")</x:f>
        <x:v>3D Baskı</x:v>
      </x:c>
      <x:c r="AF41" s="75" t="str">
        <x:f>IF($D41&lt;&gt;"",$D41&amp;" - "&amp;$G41,$AD41&amp;" - "&amp;$G41)</x:f>
        <x:v>MW-80 - </x:v>
      </x:c>
      <x:c r="AG41" s="75" t="str"/>
    </x:row>
    <x:row r="42">
      <x:c r="A42" s="75" t="str">
        <x:f>IF($B42&lt;&gt;"",ROW()-4,"")</x:f>
      </x:c>
      <x:c r="B42" s="75" t="str"/>
      <x:c r="C42" s="75" t="n">
        <x:f>IFERROR(LET(x,MID($B42,FIND("/models/",$B42)+8,80),y,LEFT(x,FIND("-",x&amp;"-")-1),LEFT(y,FIND("?",y&amp;"?")-1)),"")</x:f>
        <x:v>80</x:v>
      </x:c>
      <x:c r="D42" s="75" t="str">
        <x:f>IF($B42="","",IFERROR(XLOOKUP($C42,MakerWorld_Verileri!$A:$A,MakerWorld_Verileri!$B:$B,""),""))</x:f>
      </x:c>
      <x:c r="E42" s="75" t="str">
        <x:f>IF($B42="","",IFERROR(XLOOKUP($C42,MakerWorld_Verileri!$A:$A,MakerWorld_Verileri!$C:$C,""),""))</x:f>
      </x:c>
      <x:c r="F42" s="75" t="str"/>
      <x:c r="G42" s="75" t="str">
        <x:f>IF($B42&lt;&gt;"",Ayarlar!$B$7,"")</x:f>
      </x:c>
      <x:c r="H42" s="82" t="str">
        <x:f>IF($B42&lt;&gt;"",1,"")</x:f>
      </x:c>
      <x:c r="I42" s="82" t="str">
        <x:f>IF($B42="","",IFERROR(XLOOKUP($C42,MakerWorld_Verileri!$A:$A,MakerWorld_Verileri!$D:$D,""),""))</x:f>
      </x:c>
      <x:c r="J42" s="82" t="str"/>
      <x:c r="K42" s="82" t="str">
        <x:f>IF($I42&lt;&gt;"",$I42,$J42)</x:f>
      </x:c>
      <x:c r="L42" s="82" t="str">
        <x:f>IF($B42="","",IFERROR(XLOOKUP($C42,MakerWorld_Verileri!$A:$A,MakerWorld_Verileri!$E:$E,""),""))</x:f>
      </x:c>
      <x:c r="M42" s="82" t="str"/>
      <x:c r="N42" s="82" t="str">
        <x:f>IF($L42&lt;&gt;"",$L42,$M42)</x:f>
      </x:c>
      <x:c r="O42" s="82" t="str">
        <x:f>IF($B42&lt;&gt;"",0,"")</x:f>
      </x:c>
      <x:c r="P42" s="75" t="str">
        <x:f>IF($B42&lt;&gt;"","Orta","")</x:f>
      </x:c>
      <x:c r="Q42" s="82" t="str">
        <x:f>IF($B42&lt;&gt;"",10,"")</x:f>
      </x:c>
      <x:c r="R42" s="83" t="str">
        <x:f>IF($B42&lt;&gt;"",Ayarlar!$B$10,"")</x:f>
      </x:c>
      <x:c r="S42" s="83" t="str">
        <x:f>IF($B42&lt;&gt;"",0,"")</x:f>
      </x:c>
      <x:c r="T42" s="83" t="n">
        <x:f>IFERROR(($K42+$O42)*XLOOKUP($G42,Ayarlar!$A$19:$A$28,Ayarlar!$C$19:$C$28,0)*(1+Ayarlar!$B$11),0)</x:f>
        <x:v>0</x:v>
      </x:c>
      <x:c r="U42" s="83" t="n">
        <x:f>IFERROR($N42/60*Ayarlar!$B$8,0)</x:f>
        <x:v>0</x:v>
      </x:c>
      <x:c r="V42" s="83" t="n">
        <x:f>IF($B42&lt;&gt;"",Ayarlar!$B$12+($Q42/60*Ayarlar!$B$9),0)</x:f>
        <x:v>0</x:v>
      </x:c>
      <x:c r="W42" s="83" t="n">
        <x:f>IF($B42&lt;&gt;"",SUM($T42:$V42,$R42:$S42),0)</x:f>
        <x:v>0</x:v>
      </x:c>
      <x:c r="X42" s="83" t="n">
        <x:f>IF($B42&lt;&gt;"",$W42*Ayarlar!$B$15,0)</x:f>
        <x:v>0</x:v>
      </x:c>
      <x:c r="Y42" s="83" t="n">
        <x:f>IF($B42&lt;&gt;"",($W42+$X42)*Ayarlar!$B$13,0)</x:f>
        <x:v>0</x:v>
      </x:c>
      <x:c r="Z42" s="83" t="n">
        <x:f>IF($B42&lt;&gt;"",($W42+$X42+$Y42)*Ayarlar!$B$14,0)</x:f>
        <x:v>0</x:v>
      </x:c>
      <x:c r="AA42" s="83" t="str">
        <x:f>IF($B42="","",IF(OR($K42="",$N42=""),"",CEILING($W42+$X42+$Y42+$Z42,Ayarlar!$B$16)))</x:f>
      </x:c>
      <x:c r="AB42" s="83" t="str">
        <x:f>IFERROR($AA42/$H42,"")</x:f>
      </x:c>
      <x:c r="AC42" s="75" t="str">
        <x:f>IF($B42="","",IF(OR($K42="",$N42=""),"Veri Eksik","Fiyat Hazır"))</x:f>
      </x:c>
      <x:c r="AD42" s="75" t="str">
        <x:f>IF($C42&lt;&gt;"","MW-"&amp;$C42,"")</x:f>
        <x:v>MW-80</x:v>
      </x:c>
      <x:c r="AE42" s="75" t="str">
        <x:f>IF($G42&lt;&gt;"","3D Baskı / "&amp;$G42,"3D Baskı")</x:f>
        <x:v>3D Baskı</x:v>
      </x:c>
      <x:c r="AF42" s="75" t="str">
        <x:f>IF($D42&lt;&gt;"",$D42&amp;" - "&amp;$G42,$AD42&amp;" - "&amp;$G42)</x:f>
        <x:v>MW-80 - </x:v>
      </x:c>
      <x:c r="AG42" s="75" t="str"/>
    </x:row>
    <x:row r="43">
      <x:c r="A43" s="75" t="str">
        <x:f>IF($B43&lt;&gt;"",ROW()-4,"")</x:f>
      </x:c>
      <x:c r="B43" s="75" t="str"/>
      <x:c r="C43" s="75" t="n">
        <x:f>IFERROR(LET(x,MID($B43,FIND("/models/",$B43)+8,80),y,LEFT(x,FIND("-",x&amp;"-")-1),LEFT(y,FIND("?",y&amp;"?")-1)),"")</x:f>
        <x:v>80</x:v>
      </x:c>
      <x:c r="D43" s="75" t="str">
        <x:f>IF($B43="","",IFERROR(XLOOKUP($C43,MakerWorld_Verileri!$A:$A,MakerWorld_Verileri!$B:$B,""),""))</x:f>
      </x:c>
      <x:c r="E43" s="75" t="str">
        <x:f>IF($B43="","",IFERROR(XLOOKUP($C43,MakerWorld_Verileri!$A:$A,MakerWorld_Verileri!$C:$C,""),""))</x:f>
      </x:c>
      <x:c r="F43" s="75" t="str"/>
      <x:c r="G43" s="75" t="str">
        <x:f>IF($B43&lt;&gt;"",Ayarlar!$B$7,"")</x:f>
      </x:c>
      <x:c r="H43" s="82" t="str">
        <x:f>IF($B43&lt;&gt;"",1,"")</x:f>
      </x:c>
      <x:c r="I43" s="82" t="str">
        <x:f>IF($B43="","",IFERROR(XLOOKUP($C43,MakerWorld_Verileri!$A:$A,MakerWorld_Verileri!$D:$D,""),""))</x:f>
      </x:c>
      <x:c r="J43" s="82" t="str"/>
      <x:c r="K43" s="82" t="str">
        <x:f>IF($I43&lt;&gt;"",$I43,$J43)</x:f>
      </x:c>
      <x:c r="L43" s="82" t="str">
        <x:f>IF($B43="","",IFERROR(XLOOKUP($C43,MakerWorld_Verileri!$A:$A,MakerWorld_Verileri!$E:$E,""),""))</x:f>
      </x:c>
      <x:c r="M43" s="82" t="str"/>
      <x:c r="N43" s="82" t="str">
        <x:f>IF($L43&lt;&gt;"",$L43,$M43)</x:f>
      </x:c>
      <x:c r="O43" s="82" t="str">
        <x:f>IF($B43&lt;&gt;"",0,"")</x:f>
      </x:c>
      <x:c r="P43" s="75" t="str">
        <x:f>IF($B43&lt;&gt;"","Orta","")</x:f>
      </x:c>
      <x:c r="Q43" s="82" t="str">
        <x:f>IF($B43&lt;&gt;"",10,"")</x:f>
      </x:c>
      <x:c r="R43" s="83" t="str">
        <x:f>IF($B43&lt;&gt;"",Ayarlar!$B$10,"")</x:f>
      </x:c>
      <x:c r="S43" s="83" t="str">
        <x:f>IF($B43&lt;&gt;"",0,"")</x:f>
      </x:c>
      <x:c r="T43" s="83" t="n">
        <x:f>IFERROR(($K43+$O43)*XLOOKUP($G43,Ayarlar!$A$19:$A$28,Ayarlar!$C$19:$C$28,0)*(1+Ayarlar!$B$11),0)</x:f>
        <x:v>0</x:v>
      </x:c>
      <x:c r="U43" s="83" t="n">
        <x:f>IFERROR($N43/60*Ayarlar!$B$8,0)</x:f>
        <x:v>0</x:v>
      </x:c>
      <x:c r="V43" s="83" t="n">
        <x:f>IF($B43&lt;&gt;"",Ayarlar!$B$12+($Q43/60*Ayarlar!$B$9),0)</x:f>
        <x:v>0</x:v>
      </x:c>
      <x:c r="W43" s="83" t="n">
        <x:f>IF($B43&lt;&gt;"",SUM($T43:$V43,$R43:$S43),0)</x:f>
        <x:v>0</x:v>
      </x:c>
      <x:c r="X43" s="83" t="n">
        <x:f>IF($B43&lt;&gt;"",$W43*Ayarlar!$B$15,0)</x:f>
        <x:v>0</x:v>
      </x:c>
      <x:c r="Y43" s="83" t="n">
        <x:f>IF($B43&lt;&gt;"",($W43+$X43)*Ayarlar!$B$13,0)</x:f>
        <x:v>0</x:v>
      </x:c>
      <x:c r="Z43" s="83" t="n">
        <x:f>IF($B43&lt;&gt;"",($W43+$X43+$Y43)*Ayarlar!$B$14,0)</x:f>
        <x:v>0</x:v>
      </x:c>
      <x:c r="AA43" s="83" t="str">
        <x:f>IF($B43="","",IF(OR($K43="",$N43=""),"",CEILING($W43+$X43+$Y43+$Z43,Ayarlar!$B$16)))</x:f>
      </x:c>
      <x:c r="AB43" s="83" t="str">
        <x:f>IFERROR($AA43/$H43,"")</x:f>
      </x:c>
      <x:c r="AC43" s="75" t="str">
        <x:f>IF($B43="","",IF(OR($K43="",$N43=""),"Veri Eksik","Fiyat Hazır"))</x:f>
      </x:c>
      <x:c r="AD43" s="75" t="str">
        <x:f>IF($C43&lt;&gt;"","MW-"&amp;$C43,"")</x:f>
        <x:v>MW-80</x:v>
      </x:c>
      <x:c r="AE43" s="75" t="str">
        <x:f>IF($G43&lt;&gt;"","3D Baskı / "&amp;$G43,"3D Baskı")</x:f>
        <x:v>3D Baskı</x:v>
      </x:c>
      <x:c r="AF43" s="75" t="str">
        <x:f>IF($D43&lt;&gt;"",$D43&amp;" - "&amp;$G43,$AD43&amp;" - "&amp;$G43)</x:f>
        <x:v>MW-80 - </x:v>
      </x:c>
      <x:c r="AG43" s="75" t="str"/>
    </x:row>
    <x:row r="44">
      <x:c r="A44" s="75" t="str">
        <x:f>IF($B44&lt;&gt;"",ROW()-4,"")</x:f>
      </x:c>
      <x:c r="B44" s="75" t="str"/>
      <x:c r="C44" s="75" t="n">
        <x:f>IFERROR(LET(x,MID($B44,FIND("/models/",$B44)+8,80),y,LEFT(x,FIND("-",x&amp;"-")-1),LEFT(y,FIND("?",y&amp;"?")-1)),"")</x:f>
        <x:v>80</x:v>
      </x:c>
      <x:c r="D44" s="75" t="str">
        <x:f>IF($B44="","",IFERROR(XLOOKUP($C44,MakerWorld_Verileri!$A:$A,MakerWorld_Verileri!$B:$B,""),""))</x:f>
      </x:c>
      <x:c r="E44" s="75" t="str">
        <x:f>IF($B44="","",IFERROR(XLOOKUP($C44,MakerWorld_Verileri!$A:$A,MakerWorld_Verileri!$C:$C,""),""))</x:f>
      </x:c>
      <x:c r="F44" s="75" t="str"/>
      <x:c r="G44" s="75" t="str">
        <x:f>IF($B44&lt;&gt;"",Ayarlar!$B$7,"")</x:f>
      </x:c>
      <x:c r="H44" s="82" t="str">
        <x:f>IF($B44&lt;&gt;"",1,"")</x:f>
      </x:c>
      <x:c r="I44" s="82" t="str">
        <x:f>IF($B44="","",IFERROR(XLOOKUP($C44,MakerWorld_Verileri!$A:$A,MakerWorld_Verileri!$D:$D,""),""))</x:f>
      </x:c>
      <x:c r="J44" s="82" t="str"/>
      <x:c r="K44" s="82" t="str">
        <x:f>IF($I44&lt;&gt;"",$I44,$J44)</x:f>
      </x:c>
      <x:c r="L44" s="82" t="str">
        <x:f>IF($B44="","",IFERROR(XLOOKUP($C44,MakerWorld_Verileri!$A:$A,MakerWorld_Verileri!$E:$E,""),""))</x:f>
      </x:c>
      <x:c r="M44" s="82" t="str"/>
      <x:c r="N44" s="82" t="str">
        <x:f>IF($L44&lt;&gt;"",$L44,$M44)</x:f>
      </x:c>
      <x:c r="O44" s="82" t="str">
        <x:f>IF($B44&lt;&gt;"",0,"")</x:f>
      </x:c>
      <x:c r="P44" s="75" t="str">
        <x:f>IF($B44&lt;&gt;"","Orta","")</x:f>
      </x:c>
      <x:c r="Q44" s="82" t="str">
        <x:f>IF($B44&lt;&gt;"",10,"")</x:f>
      </x:c>
      <x:c r="R44" s="83" t="str">
        <x:f>IF($B44&lt;&gt;"",Ayarlar!$B$10,"")</x:f>
      </x:c>
      <x:c r="S44" s="83" t="str">
        <x:f>IF($B44&lt;&gt;"",0,"")</x:f>
      </x:c>
      <x:c r="T44" s="83" t="n">
        <x:f>IFERROR(($K44+$O44)*XLOOKUP($G44,Ayarlar!$A$19:$A$28,Ayarlar!$C$19:$C$28,0)*(1+Ayarlar!$B$11),0)</x:f>
        <x:v>0</x:v>
      </x:c>
      <x:c r="U44" s="83" t="n">
        <x:f>IFERROR($N44/60*Ayarlar!$B$8,0)</x:f>
        <x:v>0</x:v>
      </x:c>
      <x:c r="V44" s="83" t="n">
        <x:f>IF($B44&lt;&gt;"",Ayarlar!$B$12+($Q44/60*Ayarlar!$B$9),0)</x:f>
        <x:v>0</x:v>
      </x:c>
      <x:c r="W44" s="83" t="n">
        <x:f>IF($B44&lt;&gt;"",SUM($T44:$V44,$R44:$S44),0)</x:f>
        <x:v>0</x:v>
      </x:c>
      <x:c r="X44" s="83" t="n">
        <x:f>IF($B44&lt;&gt;"",$W44*Ayarlar!$B$15,0)</x:f>
        <x:v>0</x:v>
      </x:c>
      <x:c r="Y44" s="83" t="n">
        <x:f>IF($B44&lt;&gt;"",($W44+$X44)*Ayarlar!$B$13,0)</x:f>
        <x:v>0</x:v>
      </x:c>
      <x:c r="Z44" s="83" t="n">
        <x:f>IF($B44&lt;&gt;"",($W44+$X44+$Y44)*Ayarlar!$B$14,0)</x:f>
        <x:v>0</x:v>
      </x:c>
      <x:c r="AA44" s="83" t="str">
        <x:f>IF($B44="","",IF(OR($K44="",$N44=""),"",CEILING($W44+$X44+$Y44+$Z44,Ayarlar!$B$16)))</x:f>
      </x:c>
      <x:c r="AB44" s="83" t="str">
        <x:f>IFERROR($AA44/$H44,"")</x:f>
      </x:c>
      <x:c r="AC44" s="75" t="str">
        <x:f>IF($B44="","",IF(OR($K44="",$N44=""),"Veri Eksik","Fiyat Hazır"))</x:f>
      </x:c>
      <x:c r="AD44" s="75" t="str">
        <x:f>IF($C44&lt;&gt;"","MW-"&amp;$C44,"")</x:f>
        <x:v>MW-80</x:v>
      </x:c>
      <x:c r="AE44" s="75" t="str">
        <x:f>IF($G44&lt;&gt;"","3D Baskı / "&amp;$G44,"3D Baskı")</x:f>
        <x:v>3D Baskı</x:v>
      </x:c>
      <x:c r="AF44" s="75" t="str">
        <x:f>IF($D44&lt;&gt;"",$D44&amp;" - "&amp;$G44,$AD44&amp;" - "&amp;$G44)</x:f>
        <x:v>MW-80 - </x:v>
      </x:c>
      <x:c r="AG44" s="75" t="str"/>
    </x:row>
    <x:row r="45">
      <x:c r="A45" s="75" t="str">
        <x:f>IF($B45&lt;&gt;"",ROW()-4,"")</x:f>
      </x:c>
      <x:c r="B45" s="75" t="str"/>
      <x:c r="C45" s="75" t="n">
        <x:f>IFERROR(LET(x,MID($B45,FIND("/models/",$B45)+8,80),y,LEFT(x,FIND("-",x&amp;"-")-1),LEFT(y,FIND("?",y&amp;"?")-1)),"")</x:f>
        <x:v>80</x:v>
      </x:c>
      <x:c r="D45" s="75" t="str">
        <x:f>IF($B45="","",IFERROR(XLOOKUP($C45,MakerWorld_Verileri!$A:$A,MakerWorld_Verileri!$B:$B,""),""))</x:f>
      </x:c>
      <x:c r="E45" s="75" t="str">
        <x:f>IF($B45="","",IFERROR(XLOOKUP($C45,MakerWorld_Verileri!$A:$A,MakerWorld_Verileri!$C:$C,""),""))</x:f>
      </x:c>
      <x:c r="F45" s="75" t="str"/>
      <x:c r="G45" s="75" t="str">
        <x:f>IF($B45&lt;&gt;"",Ayarlar!$B$7,"")</x:f>
      </x:c>
      <x:c r="H45" s="82" t="str">
        <x:f>IF($B45&lt;&gt;"",1,"")</x:f>
      </x:c>
      <x:c r="I45" s="82" t="str">
        <x:f>IF($B45="","",IFERROR(XLOOKUP($C45,MakerWorld_Verileri!$A:$A,MakerWorld_Verileri!$D:$D,""),""))</x:f>
      </x:c>
      <x:c r="J45" s="82" t="str"/>
      <x:c r="K45" s="82" t="str">
        <x:f>IF($I45&lt;&gt;"",$I45,$J45)</x:f>
      </x:c>
      <x:c r="L45" s="82" t="str">
        <x:f>IF($B45="","",IFERROR(XLOOKUP($C45,MakerWorld_Verileri!$A:$A,MakerWorld_Verileri!$E:$E,""),""))</x:f>
      </x:c>
      <x:c r="M45" s="82" t="str"/>
      <x:c r="N45" s="82" t="str">
        <x:f>IF($L45&lt;&gt;"",$L45,$M45)</x:f>
      </x:c>
      <x:c r="O45" s="82" t="str">
        <x:f>IF($B45&lt;&gt;"",0,"")</x:f>
      </x:c>
      <x:c r="P45" s="75" t="str">
        <x:f>IF($B45&lt;&gt;"","Orta","")</x:f>
      </x:c>
      <x:c r="Q45" s="82" t="str">
        <x:f>IF($B45&lt;&gt;"",10,"")</x:f>
      </x:c>
      <x:c r="R45" s="83" t="str">
        <x:f>IF($B45&lt;&gt;"",Ayarlar!$B$10,"")</x:f>
      </x:c>
      <x:c r="S45" s="83" t="str">
        <x:f>IF($B45&lt;&gt;"",0,"")</x:f>
      </x:c>
      <x:c r="T45" s="83" t="n">
        <x:f>IFERROR(($K45+$O45)*XLOOKUP($G45,Ayarlar!$A$19:$A$28,Ayarlar!$C$19:$C$28,0)*(1+Ayarlar!$B$11),0)</x:f>
        <x:v>0</x:v>
      </x:c>
      <x:c r="U45" s="83" t="n">
        <x:f>IFERROR($N45/60*Ayarlar!$B$8,0)</x:f>
        <x:v>0</x:v>
      </x:c>
      <x:c r="V45" s="83" t="n">
        <x:f>IF($B45&lt;&gt;"",Ayarlar!$B$12+($Q45/60*Ayarlar!$B$9),0)</x:f>
        <x:v>0</x:v>
      </x:c>
      <x:c r="W45" s="83" t="n">
        <x:f>IF($B45&lt;&gt;"",SUM($T45:$V45,$R45:$S45),0)</x:f>
        <x:v>0</x:v>
      </x:c>
      <x:c r="X45" s="83" t="n">
        <x:f>IF($B45&lt;&gt;"",$W45*Ayarlar!$B$15,0)</x:f>
        <x:v>0</x:v>
      </x:c>
      <x:c r="Y45" s="83" t="n">
        <x:f>IF($B45&lt;&gt;"",($W45+$X45)*Ayarlar!$B$13,0)</x:f>
        <x:v>0</x:v>
      </x:c>
      <x:c r="Z45" s="83" t="n">
        <x:f>IF($B45&lt;&gt;"",($W45+$X45+$Y45)*Ayarlar!$B$14,0)</x:f>
        <x:v>0</x:v>
      </x:c>
      <x:c r="AA45" s="83" t="str">
        <x:f>IF($B45="","",IF(OR($K45="",$N45=""),"",CEILING($W45+$X45+$Y45+$Z45,Ayarlar!$B$16)))</x:f>
      </x:c>
      <x:c r="AB45" s="83" t="str">
        <x:f>IFERROR($AA45/$H45,"")</x:f>
      </x:c>
      <x:c r="AC45" s="75" t="str">
        <x:f>IF($B45="","",IF(OR($K45="",$N45=""),"Veri Eksik","Fiyat Hazır"))</x:f>
      </x:c>
      <x:c r="AD45" s="75" t="str">
        <x:f>IF($C45&lt;&gt;"","MW-"&amp;$C45,"")</x:f>
        <x:v>MW-80</x:v>
      </x:c>
      <x:c r="AE45" s="75" t="str">
        <x:f>IF($G45&lt;&gt;"","3D Baskı / "&amp;$G45,"3D Baskı")</x:f>
        <x:v>3D Baskı</x:v>
      </x:c>
      <x:c r="AF45" s="75" t="str">
        <x:f>IF($D45&lt;&gt;"",$D45&amp;" - "&amp;$G45,$AD45&amp;" - "&amp;$G45)</x:f>
        <x:v>MW-80 - </x:v>
      </x:c>
      <x:c r="AG45" s="75" t="str"/>
    </x:row>
    <x:row r="46">
      <x:c r="A46" s="75" t="str">
        <x:f>IF($B46&lt;&gt;"",ROW()-4,"")</x:f>
      </x:c>
      <x:c r="B46" s="75" t="str"/>
      <x:c r="C46" s="75" t="n">
        <x:f>IFERROR(LET(x,MID($B46,FIND("/models/",$B46)+8,80),y,LEFT(x,FIND("-",x&amp;"-")-1),LEFT(y,FIND("?",y&amp;"?")-1)),"")</x:f>
        <x:v>80</x:v>
      </x:c>
      <x:c r="D46" s="75" t="str">
        <x:f>IF($B46="","",IFERROR(XLOOKUP($C46,MakerWorld_Verileri!$A:$A,MakerWorld_Verileri!$B:$B,""),""))</x:f>
      </x:c>
      <x:c r="E46" s="75" t="str">
        <x:f>IF($B46="","",IFERROR(XLOOKUP($C46,MakerWorld_Verileri!$A:$A,MakerWorld_Verileri!$C:$C,""),""))</x:f>
      </x:c>
      <x:c r="F46" s="75" t="str"/>
      <x:c r="G46" s="75" t="str">
        <x:f>IF($B46&lt;&gt;"",Ayarlar!$B$7,"")</x:f>
      </x:c>
      <x:c r="H46" s="82" t="str">
        <x:f>IF($B46&lt;&gt;"",1,"")</x:f>
      </x:c>
      <x:c r="I46" s="82" t="str">
        <x:f>IF($B46="","",IFERROR(XLOOKUP($C46,MakerWorld_Verileri!$A:$A,MakerWorld_Verileri!$D:$D,""),""))</x:f>
      </x:c>
      <x:c r="J46" s="82" t="str"/>
      <x:c r="K46" s="82" t="str">
        <x:f>IF($I46&lt;&gt;"",$I46,$J46)</x:f>
      </x:c>
      <x:c r="L46" s="82" t="str">
        <x:f>IF($B46="","",IFERROR(XLOOKUP($C46,MakerWorld_Verileri!$A:$A,MakerWorld_Verileri!$E:$E,""),""))</x:f>
      </x:c>
      <x:c r="M46" s="82" t="str"/>
      <x:c r="N46" s="82" t="str">
        <x:f>IF($L46&lt;&gt;"",$L46,$M46)</x:f>
      </x:c>
      <x:c r="O46" s="82" t="str">
        <x:f>IF($B46&lt;&gt;"",0,"")</x:f>
      </x:c>
      <x:c r="P46" s="75" t="str">
        <x:f>IF($B46&lt;&gt;"","Orta","")</x:f>
      </x:c>
      <x:c r="Q46" s="82" t="str">
        <x:f>IF($B46&lt;&gt;"",10,"")</x:f>
      </x:c>
      <x:c r="R46" s="83" t="str">
        <x:f>IF($B46&lt;&gt;"",Ayarlar!$B$10,"")</x:f>
      </x:c>
      <x:c r="S46" s="83" t="str">
        <x:f>IF($B46&lt;&gt;"",0,"")</x:f>
      </x:c>
      <x:c r="T46" s="83" t="n">
        <x:f>IFERROR(($K46+$O46)*XLOOKUP($G46,Ayarlar!$A$19:$A$28,Ayarlar!$C$19:$C$28,0)*(1+Ayarlar!$B$11),0)</x:f>
        <x:v>0</x:v>
      </x:c>
      <x:c r="U46" s="83" t="n">
        <x:f>IFERROR($N46/60*Ayarlar!$B$8,0)</x:f>
        <x:v>0</x:v>
      </x:c>
      <x:c r="V46" s="83" t="n">
        <x:f>IF($B46&lt;&gt;"",Ayarlar!$B$12+($Q46/60*Ayarlar!$B$9),0)</x:f>
        <x:v>0</x:v>
      </x:c>
      <x:c r="W46" s="83" t="n">
        <x:f>IF($B46&lt;&gt;"",SUM($T46:$V46,$R46:$S46),0)</x:f>
        <x:v>0</x:v>
      </x:c>
      <x:c r="X46" s="83" t="n">
        <x:f>IF($B46&lt;&gt;"",$W46*Ayarlar!$B$15,0)</x:f>
        <x:v>0</x:v>
      </x:c>
      <x:c r="Y46" s="83" t="n">
        <x:f>IF($B46&lt;&gt;"",($W46+$X46)*Ayarlar!$B$13,0)</x:f>
        <x:v>0</x:v>
      </x:c>
      <x:c r="Z46" s="83" t="n">
        <x:f>IF($B46&lt;&gt;"",($W46+$X46+$Y46)*Ayarlar!$B$14,0)</x:f>
        <x:v>0</x:v>
      </x:c>
      <x:c r="AA46" s="83" t="str">
        <x:f>IF($B46="","",IF(OR($K46="",$N46=""),"",CEILING($W46+$X46+$Y46+$Z46,Ayarlar!$B$16)))</x:f>
      </x:c>
      <x:c r="AB46" s="83" t="str">
        <x:f>IFERROR($AA46/$H46,"")</x:f>
      </x:c>
      <x:c r="AC46" s="75" t="str">
        <x:f>IF($B46="","",IF(OR($K46="",$N46=""),"Veri Eksik","Fiyat Hazır"))</x:f>
      </x:c>
      <x:c r="AD46" s="75" t="str">
        <x:f>IF($C46&lt;&gt;"","MW-"&amp;$C46,"")</x:f>
        <x:v>MW-80</x:v>
      </x:c>
      <x:c r="AE46" s="75" t="str">
        <x:f>IF($G46&lt;&gt;"","3D Baskı / "&amp;$G46,"3D Baskı")</x:f>
        <x:v>3D Baskı</x:v>
      </x:c>
      <x:c r="AF46" s="75" t="str">
        <x:f>IF($D46&lt;&gt;"",$D46&amp;" - "&amp;$G46,$AD46&amp;" - "&amp;$G46)</x:f>
        <x:v>MW-80 - </x:v>
      </x:c>
      <x:c r="AG46" s="75" t="str"/>
    </x:row>
    <x:row r="47">
      <x:c r="A47" s="75" t="str">
        <x:f>IF($B47&lt;&gt;"",ROW()-4,"")</x:f>
      </x:c>
      <x:c r="B47" s="75" t="str"/>
      <x:c r="C47" s="75" t="n">
        <x:f>IFERROR(LET(x,MID($B47,FIND("/models/",$B47)+8,80),y,LEFT(x,FIND("-",x&amp;"-")-1),LEFT(y,FIND("?",y&amp;"?")-1)),"")</x:f>
        <x:v>80</x:v>
      </x:c>
      <x:c r="D47" s="75" t="str">
        <x:f>IF($B47="","",IFERROR(XLOOKUP($C47,MakerWorld_Verileri!$A:$A,MakerWorld_Verileri!$B:$B,""),""))</x:f>
      </x:c>
      <x:c r="E47" s="75" t="str">
        <x:f>IF($B47="","",IFERROR(XLOOKUP($C47,MakerWorld_Verileri!$A:$A,MakerWorld_Verileri!$C:$C,""),""))</x:f>
      </x:c>
      <x:c r="F47" s="75" t="str"/>
      <x:c r="G47" s="75" t="str">
        <x:f>IF($B47&lt;&gt;"",Ayarlar!$B$7,"")</x:f>
      </x:c>
      <x:c r="H47" s="82" t="str">
        <x:f>IF($B47&lt;&gt;"",1,"")</x:f>
      </x:c>
      <x:c r="I47" s="82" t="str">
        <x:f>IF($B47="","",IFERROR(XLOOKUP($C47,MakerWorld_Verileri!$A:$A,MakerWorld_Verileri!$D:$D,""),""))</x:f>
      </x:c>
      <x:c r="J47" s="82" t="str"/>
      <x:c r="K47" s="82" t="str">
        <x:f>IF($I47&lt;&gt;"",$I47,$J47)</x:f>
      </x:c>
      <x:c r="L47" s="82" t="str">
        <x:f>IF($B47="","",IFERROR(XLOOKUP($C47,MakerWorld_Verileri!$A:$A,MakerWorld_Verileri!$E:$E,""),""))</x:f>
      </x:c>
      <x:c r="M47" s="82" t="str"/>
      <x:c r="N47" s="82" t="str">
        <x:f>IF($L47&lt;&gt;"",$L47,$M47)</x:f>
      </x:c>
      <x:c r="O47" s="82" t="str">
        <x:f>IF($B47&lt;&gt;"",0,"")</x:f>
      </x:c>
      <x:c r="P47" s="75" t="str">
        <x:f>IF($B47&lt;&gt;"","Orta","")</x:f>
      </x:c>
      <x:c r="Q47" s="82" t="str">
        <x:f>IF($B47&lt;&gt;"",10,"")</x:f>
      </x:c>
      <x:c r="R47" s="83" t="str">
        <x:f>IF($B47&lt;&gt;"",Ayarlar!$B$10,"")</x:f>
      </x:c>
      <x:c r="S47" s="83" t="str">
        <x:f>IF($B47&lt;&gt;"",0,"")</x:f>
      </x:c>
      <x:c r="T47" s="83" t="n">
        <x:f>IFERROR(($K47+$O47)*XLOOKUP($G47,Ayarlar!$A$19:$A$28,Ayarlar!$C$19:$C$28,0)*(1+Ayarlar!$B$11),0)</x:f>
        <x:v>0</x:v>
      </x:c>
      <x:c r="U47" s="83" t="n">
        <x:f>IFERROR($N47/60*Ayarlar!$B$8,0)</x:f>
        <x:v>0</x:v>
      </x:c>
      <x:c r="V47" s="83" t="n">
        <x:f>IF($B47&lt;&gt;"",Ayarlar!$B$12+($Q47/60*Ayarlar!$B$9),0)</x:f>
        <x:v>0</x:v>
      </x:c>
      <x:c r="W47" s="83" t="n">
        <x:f>IF($B47&lt;&gt;"",SUM($T47:$V47,$R47:$S47),0)</x:f>
        <x:v>0</x:v>
      </x:c>
      <x:c r="X47" s="83" t="n">
        <x:f>IF($B47&lt;&gt;"",$W47*Ayarlar!$B$15,0)</x:f>
        <x:v>0</x:v>
      </x:c>
      <x:c r="Y47" s="83" t="n">
        <x:f>IF($B47&lt;&gt;"",($W47+$X47)*Ayarlar!$B$13,0)</x:f>
        <x:v>0</x:v>
      </x:c>
      <x:c r="Z47" s="83" t="n">
        <x:f>IF($B47&lt;&gt;"",($W47+$X47+$Y47)*Ayarlar!$B$14,0)</x:f>
        <x:v>0</x:v>
      </x:c>
      <x:c r="AA47" s="83" t="str">
        <x:f>IF($B47="","",IF(OR($K47="",$N47=""),"",CEILING($W47+$X47+$Y47+$Z47,Ayarlar!$B$16)))</x:f>
      </x:c>
      <x:c r="AB47" s="83" t="str">
        <x:f>IFERROR($AA47/$H47,"")</x:f>
      </x:c>
      <x:c r="AC47" s="75" t="str">
        <x:f>IF($B47="","",IF(OR($K47="",$N47=""),"Veri Eksik","Fiyat Hazır"))</x:f>
      </x:c>
      <x:c r="AD47" s="75" t="str">
        <x:f>IF($C47&lt;&gt;"","MW-"&amp;$C47,"")</x:f>
        <x:v>MW-80</x:v>
      </x:c>
      <x:c r="AE47" s="75" t="str">
        <x:f>IF($G47&lt;&gt;"","3D Baskı / "&amp;$G47,"3D Baskı")</x:f>
        <x:v>3D Baskı</x:v>
      </x:c>
      <x:c r="AF47" s="75" t="str">
        <x:f>IF($D47&lt;&gt;"",$D47&amp;" - "&amp;$G47,$AD47&amp;" - "&amp;$G47)</x:f>
        <x:v>MW-80 - </x:v>
      </x:c>
      <x:c r="AG47" s="75" t="str"/>
    </x:row>
    <x:row r="48">
      <x:c r="A48" s="75" t="str">
        <x:f>IF($B48&lt;&gt;"",ROW()-4,"")</x:f>
      </x:c>
      <x:c r="B48" s="75" t="str"/>
      <x:c r="C48" s="75" t="n">
        <x:f>IFERROR(LET(x,MID($B48,FIND("/models/",$B48)+8,80),y,LEFT(x,FIND("-",x&amp;"-")-1),LEFT(y,FIND("?",y&amp;"?")-1)),"")</x:f>
        <x:v>80</x:v>
      </x:c>
      <x:c r="D48" s="75" t="str">
        <x:f>IF($B48="","",IFERROR(XLOOKUP($C48,MakerWorld_Verileri!$A:$A,MakerWorld_Verileri!$B:$B,""),""))</x:f>
      </x:c>
      <x:c r="E48" s="75" t="str">
        <x:f>IF($B48="","",IFERROR(XLOOKUP($C48,MakerWorld_Verileri!$A:$A,MakerWorld_Verileri!$C:$C,""),""))</x:f>
      </x:c>
      <x:c r="F48" s="75" t="str"/>
      <x:c r="G48" s="75" t="str">
        <x:f>IF($B48&lt;&gt;"",Ayarlar!$B$7,"")</x:f>
      </x:c>
      <x:c r="H48" s="82" t="str">
        <x:f>IF($B48&lt;&gt;"",1,"")</x:f>
      </x:c>
      <x:c r="I48" s="82" t="str">
        <x:f>IF($B48="","",IFERROR(XLOOKUP($C48,MakerWorld_Verileri!$A:$A,MakerWorld_Verileri!$D:$D,""),""))</x:f>
      </x:c>
      <x:c r="J48" s="82" t="str"/>
      <x:c r="K48" s="82" t="str">
        <x:f>IF($I48&lt;&gt;"",$I48,$J48)</x:f>
      </x:c>
      <x:c r="L48" s="82" t="str">
        <x:f>IF($B48="","",IFERROR(XLOOKUP($C48,MakerWorld_Verileri!$A:$A,MakerWorld_Verileri!$E:$E,""),""))</x:f>
      </x:c>
      <x:c r="M48" s="82" t="str"/>
      <x:c r="N48" s="82" t="str">
        <x:f>IF($L48&lt;&gt;"",$L48,$M48)</x:f>
      </x:c>
      <x:c r="O48" s="82" t="str">
        <x:f>IF($B48&lt;&gt;"",0,"")</x:f>
      </x:c>
      <x:c r="P48" s="75" t="str">
        <x:f>IF($B48&lt;&gt;"","Orta","")</x:f>
      </x:c>
      <x:c r="Q48" s="82" t="str">
        <x:f>IF($B48&lt;&gt;"",10,"")</x:f>
      </x:c>
      <x:c r="R48" s="83" t="str">
        <x:f>IF($B48&lt;&gt;"",Ayarlar!$B$10,"")</x:f>
      </x:c>
      <x:c r="S48" s="83" t="str">
        <x:f>IF($B48&lt;&gt;"",0,"")</x:f>
      </x:c>
      <x:c r="T48" s="83" t="n">
        <x:f>IFERROR(($K48+$O48)*XLOOKUP($G48,Ayarlar!$A$19:$A$28,Ayarlar!$C$19:$C$28,0)*(1+Ayarlar!$B$11),0)</x:f>
        <x:v>0</x:v>
      </x:c>
      <x:c r="U48" s="83" t="n">
        <x:f>IFERROR($N48/60*Ayarlar!$B$8,0)</x:f>
        <x:v>0</x:v>
      </x:c>
      <x:c r="V48" s="83" t="n">
        <x:f>IF($B48&lt;&gt;"",Ayarlar!$B$12+($Q48/60*Ayarlar!$B$9),0)</x:f>
        <x:v>0</x:v>
      </x:c>
      <x:c r="W48" s="83" t="n">
        <x:f>IF($B48&lt;&gt;"",SUM($T48:$V48,$R48:$S48),0)</x:f>
        <x:v>0</x:v>
      </x:c>
      <x:c r="X48" s="83" t="n">
        <x:f>IF($B48&lt;&gt;"",$W48*Ayarlar!$B$15,0)</x:f>
        <x:v>0</x:v>
      </x:c>
      <x:c r="Y48" s="83" t="n">
        <x:f>IF($B48&lt;&gt;"",($W48+$X48)*Ayarlar!$B$13,0)</x:f>
        <x:v>0</x:v>
      </x:c>
      <x:c r="Z48" s="83" t="n">
        <x:f>IF($B48&lt;&gt;"",($W48+$X48+$Y48)*Ayarlar!$B$14,0)</x:f>
        <x:v>0</x:v>
      </x:c>
      <x:c r="AA48" s="83" t="str">
        <x:f>IF($B48="","",IF(OR($K48="",$N48=""),"",CEILING($W48+$X48+$Y48+$Z48,Ayarlar!$B$16)))</x:f>
      </x:c>
      <x:c r="AB48" s="83" t="str">
        <x:f>IFERROR($AA48/$H48,"")</x:f>
      </x:c>
      <x:c r="AC48" s="75" t="str">
        <x:f>IF($B48="","",IF(OR($K48="",$N48=""),"Veri Eksik","Fiyat Hazır"))</x:f>
      </x:c>
      <x:c r="AD48" s="75" t="str">
        <x:f>IF($C48&lt;&gt;"","MW-"&amp;$C48,"")</x:f>
        <x:v>MW-80</x:v>
      </x:c>
      <x:c r="AE48" s="75" t="str">
        <x:f>IF($G48&lt;&gt;"","3D Baskı / "&amp;$G48,"3D Baskı")</x:f>
        <x:v>3D Baskı</x:v>
      </x:c>
      <x:c r="AF48" s="75" t="str">
        <x:f>IF($D48&lt;&gt;"",$D48&amp;" - "&amp;$G48,$AD48&amp;" - "&amp;$G48)</x:f>
        <x:v>MW-80 - </x:v>
      </x:c>
      <x:c r="AG48" s="75" t="str"/>
    </x:row>
    <x:row r="49">
      <x:c r="A49" s="75" t="str">
        <x:f>IF($B49&lt;&gt;"",ROW()-4,"")</x:f>
      </x:c>
      <x:c r="B49" s="75" t="str"/>
      <x:c r="C49" s="75" t="n">
        <x:f>IFERROR(LET(x,MID($B49,FIND("/models/",$B49)+8,80),y,LEFT(x,FIND("-",x&amp;"-")-1),LEFT(y,FIND("?",y&amp;"?")-1)),"")</x:f>
        <x:v>80</x:v>
      </x:c>
      <x:c r="D49" s="75" t="str">
        <x:f>IF($B49="","",IFERROR(XLOOKUP($C49,MakerWorld_Verileri!$A:$A,MakerWorld_Verileri!$B:$B,""),""))</x:f>
      </x:c>
      <x:c r="E49" s="75" t="str">
        <x:f>IF($B49="","",IFERROR(XLOOKUP($C49,MakerWorld_Verileri!$A:$A,MakerWorld_Verileri!$C:$C,""),""))</x:f>
      </x:c>
      <x:c r="F49" s="75" t="str"/>
      <x:c r="G49" s="75" t="str">
        <x:f>IF($B49&lt;&gt;"",Ayarlar!$B$7,"")</x:f>
      </x:c>
      <x:c r="H49" s="82" t="str">
        <x:f>IF($B49&lt;&gt;"",1,"")</x:f>
      </x:c>
      <x:c r="I49" s="82" t="str">
        <x:f>IF($B49="","",IFERROR(XLOOKUP($C49,MakerWorld_Verileri!$A:$A,MakerWorld_Verileri!$D:$D,""),""))</x:f>
      </x:c>
      <x:c r="J49" s="82" t="str"/>
      <x:c r="K49" s="82" t="str">
        <x:f>IF($I49&lt;&gt;"",$I49,$J49)</x:f>
      </x:c>
      <x:c r="L49" s="82" t="str">
        <x:f>IF($B49="","",IFERROR(XLOOKUP($C49,MakerWorld_Verileri!$A:$A,MakerWorld_Verileri!$E:$E,""),""))</x:f>
      </x:c>
      <x:c r="M49" s="82" t="str"/>
      <x:c r="N49" s="82" t="str">
        <x:f>IF($L49&lt;&gt;"",$L49,$M49)</x:f>
      </x:c>
      <x:c r="O49" s="82" t="str">
        <x:f>IF($B49&lt;&gt;"",0,"")</x:f>
      </x:c>
      <x:c r="P49" s="75" t="str">
        <x:f>IF($B49&lt;&gt;"","Orta","")</x:f>
      </x:c>
      <x:c r="Q49" s="82" t="str">
        <x:f>IF($B49&lt;&gt;"",10,"")</x:f>
      </x:c>
      <x:c r="R49" s="83" t="str">
        <x:f>IF($B49&lt;&gt;"",Ayarlar!$B$10,"")</x:f>
      </x:c>
      <x:c r="S49" s="83" t="str">
        <x:f>IF($B49&lt;&gt;"",0,"")</x:f>
      </x:c>
      <x:c r="T49" s="83" t="n">
        <x:f>IFERROR(($K49+$O49)*XLOOKUP($G49,Ayarlar!$A$19:$A$28,Ayarlar!$C$19:$C$28,0)*(1+Ayarlar!$B$11),0)</x:f>
        <x:v>0</x:v>
      </x:c>
      <x:c r="U49" s="83" t="n">
        <x:f>IFERROR($N49/60*Ayarlar!$B$8,0)</x:f>
        <x:v>0</x:v>
      </x:c>
      <x:c r="V49" s="83" t="n">
        <x:f>IF($B49&lt;&gt;"",Ayarlar!$B$12+($Q49/60*Ayarlar!$B$9),0)</x:f>
        <x:v>0</x:v>
      </x:c>
      <x:c r="W49" s="83" t="n">
        <x:f>IF($B49&lt;&gt;"",SUM($T49:$V49,$R49:$S49),0)</x:f>
        <x:v>0</x:v>
      </x:c>
      <x:c r="X49" s="83" t="n">
        <x:f>IF($B49&lt;&gt;"",$W49*Ayarlar!$B$15,0)</x:f>
        <x:v>0</x:v>
      </x:c>
      <x:c r="Y49" s="83" t="n">
        <x:f>IF($B49&lt;&gt;"",($W49+$X49)*Ayarlar!$B$13,0)</x:f>
        <x:v>0</x:v>
      </x:c>
      <x:c r="Z49" s="83" t="n">
        <x:f>IF($B49&lt;&gt;"",($W49+$X49+$Y49)*Ayarlar!$B$14,0)</x:f>
        <x:v>0</x:v>
      </x:c>
      <x:c r="AA49" s="83" t="str">
        <x:f>IF($B49="","",IF(OR($K49="",$N49=""),"",CEILING($W49+$X49+$Y49+$Z49,Ayarlar!$B$16)))</x:f>
      </x:c>
      <x:c r="AB49" s="83" t="str">
        <x:f>IFERROR($AA49/$H49,"")</x:f>
      </x:c>
      <x:c r="AC49" s="75" t="str">
        <x:f>IF($B49="","",IF(OR($K49="",$N49=""),"Veri Eksik","Fiyat Hazır"))</x:f>
      </x:c>
      <x:c r="AD49" s="75" t="str">
        <x:f>IF($C49&lt;&gt;"","MW-"&amp;$C49,"")</x:f>
        <x:v>MW-80</x:v>
      </x:c>
      <x:c r="AE49" s="75" t="str">
        <x:f>IF($G49&lt;&gt;"","3D Baskı / "&amp;$G49,"3D Baskı")</x:f>
        <x:v>3D Baskı</x:v>
      </x:c>
      <x:c r="AF49" s="75" t="str">
        <x:f>IF($D49&lt;&gt;"",$D49&amp;" - "&amp;$G49,$AD49&amp;" - "&amp;$G49)</x:f>
        <x:v>MW-80 - </x:v>
      </x:c>
      <x:c r="AG49" s="75" t="str"/>
    </x:row>
    <x:row r="50">
      <x:c r="A50" s="75" t="str">
        <x:f>IF($B50&lt;&gt;"",ROW()-4,"")</x:f>
      </x:c>
      <x:c r="B50" s="75" t="str"/>
      <x:c r="C50" s="75" t="n">
        <x:f>IFERROR(LET(x,MID($B50,FIND("/models/",$B50)+8,80),y,LEFT(x,FIND("-",x&amp;"-")-1),LEFT(y,FIND("?",y&amp;"?")-1)),"")</x:f>
        <x:v>80</x:v>
      </x:c>
      <x:c r="D50" s="75" t="str">
        <x:f>IF($B50="","",IFERROR(XLOOKUP($C50,MakerWorld_Verileri!$A:$A,MakerWorld_Verileri!$B:$B,""),""))</x:f>
      </x:c>
      <x:c r="E50" s="75" t="str">
        <x:f>IF($B50="","",IFERROR(XLOOKUP($C50,MakerWorld_Verileri!$A:$A,MakerWorld_Verileri!$C:$C,""),""))</x:f>
      </x:c>
      <x:c r="F50" s="75" t="str"/>
      <x:c r="G50" s="75" t="str">
        <x:f>IF($B50&lt;&gt;"",Ayarlar!$B$7,"")</x:f>
      </x:c>
      <x:c r="H50" s="82" t="str">
        <x:f>IF($B50&lt;&gt;"",1,"")</x:f>
      </x:c>
      <x:c r="I50" s="82" t="str">
        <x:f>IF($B50="","",IFERROR(XLOOKUP($C50,MakerWorld_Verileri!$A:$A,MakerWorld_Verileri!$D:$D,""),""))</x:f>
      </x:c>
      <x:c r="J50" s="82" t="str"/>
      <x:c r="K50" s="82" t="str">
        <x:f>IF($I50&lt;&gt;"",$I50,$J50)</x:f>
      </x:c>
      <x:c r="L50" s="82" t="str">
        <x:f>IF($B50="","",IFERROR(XLOOKUP($C50,MakerWorld_Verileri!$A:$A,MakerWorld_Verileri!$E:$E,""),""))</x:f>
      </x:c>
      <x:c r="M50" s="82" t="str"/>
      <x:c r="N50" s="82" t="str">
        <x:f>IF($L50&lt;&gt;"",$L50,$M50)</x:f>
      </x:c>
      <x:c r="O50" s="82" t="str">
        <x:f>IF($B50&lt;&gt;"",0,"")</x:f>
      </x:c>
      <x:c r="P50" s="75" t="str">
        <x:f>IF($B50&lt;&gt;"","Orta","")</x:f>
      </x:c>
      <x:c r="Q50" s="82" t="str">
        <x:f>IF($B50&lt;&gt;"",10,"")</x:f>
      </x:c>
      <x:c r="R50" s="83" t="str">
        <x:f>IF($B50&lt;&gt;"",Ayarlar!$B$10,"")</x:f>
      </x:c>
      <x:c r="S50" s="83" t="str">
        <x:f>IF($B50&lt;&gt;"",0,"")</x:f>
      </x:c>
      <x:c r="T50" s="83" t="n">
        <x:f>IFERROR(($K50+$O50)*XLOOKUP($G50,Ayarlar!$A$19:$A$28,Ayarlar!$C$19:$C$28,0)*(1+Ayarlar!$B$11),0)</x:f>
        <x:v>0</x:v>
      </x:c>
      <x:c r="U50" s="83" t="n">
        <x:f>IFERROR($N50/60*Ayarlar!$B$8,0)</x:f>
        <x:v>0</x:v>
      </x:c>
      <x:c r="V50" s="83" t="n">
        <x:f>IF($B50&lt;&gt;"",Ayarlar!$B$12+($Q50/60*Ayarlar!$B$9),0)</x:f>
        <x:v>0</x:v>
      </x:c>
      <x:c r="W50" s="83" t="n">
        <x:f>IF($B50&lt;&gt;"",SUM($T50:$V50,$R50:$S50),0)</x:f>
        <x:v>0</x:v>
      </x:c>
      <x:c r="X50" s="83" t="n">
        <x:f>IF($B50&lt;&gt;"",$W50*Ayarlar!$B$15,0)</x:f>
        <x:v>0</x:v>
      </x:c>
      <x:c r="Y50" s="83" t="n">
        <x:f>IF($B50&lt;&gt;"",($W50+$X50)*Ayarlar!$B$13,0)</x:f>
        <x:v>0</x:v>
      </x:c>
      <x:c r="Z50" s="83" t="n">
        <x:f>IF($B50&lt;&gt;"",($W50+$X50+$Y50)*Ayarlar!$B$14,0)</x:f>
        <x:v>0</x:v>
      </x:c>
      <x:c r="AA50" s="83" t="str">
        <x:f>IF($B50="","",IF(OR($K50="",$N50=""),"",CEILING($W50+$X50+$Y50+$Z50,Ayarlar!$B$16)))</x:f>
      </x:c>
      <x:c r="AB50" s="83" t="str">
        <x:f>IFERROR($AA50/$H50,"")</x:f>
      </x:c>
      <x:c r="AC50" s="75" t="str">
        <x:f>IF($B50="","",IF(OR($K50="",$N50=""),"Veri Eksik","Fiyat Hazır"))</x:f>
      </x:c>
      <x:c r="AD50" s="75" t="str">
        <x:f>IF($C50&lt;&gt;"","MW-"&amp;$C50,"")</x:f>
        <x:v>MW-80</x:v>
      </x:c>
      <x:c r="AE50" s="75" t="str">
        <x:f>IF($G50&lt;&gt;"","3D Baskı / "&amp;$G50,"3D Baskı")</x:f>
        <x:v>3D Baskı</x:v>
      </x:c>
      <x:c r="AF50" s="75" t="str">
        <x:f>IF($D50&lt;&gt;"",$D50&amp;" - "&amp;$G50,$AD50&amp;" - "&amp;$G50)</x:f>
        <x:v>MW-80 - </x:v>
      </x:c>
      <x:c r="AG50" s="75" t="str"/>
    </x:row>
    <x:row r="51">
      <x:c r="A51" s="75" t="str">
        <x:f>IF($B51&lt;&gt;"",ROW()-4,"")</x:f>
      </x:c>
      <x:c r="B51" s="75" t="str"/>
      <x:c r="C51" s="75" t="n">
        <x:f>IFERROR(LET(x,MID($B51,FIND("/models/",$B51)+8,80),y,LEFT(x,FIND("-",x&amp;"-")-1),LEFT(y,FIND("?",y&amp;"?")-1)),"")</x:f>
        <x:v>80</x:v>
      </x:c>
      <x:c r="D51" s="75" t="str">
        <x:f>IF($B51="","",IFERROR(XLOOKUP($C51,MakerWorld_Verileri!$A:$A,MakerWorld_Verileri!$B:$B,""),""))</x:f>
      </x:c>
      <x:c r="E51" s="75" t="str">
        <x:f>IF($B51="","",IFERROR(XLOOKUP($C51,MakerWorld_Verileri!$A:$A,MakerWorld_Verileri!$C:$C,""),""))</x:f>
      </x:c>
      <x:c r="F51" s="75" t="str"/>
      <x:c r="G51" s="75" t="str">
        <x:f>IF($B51&lt;&gt;"",Ayarlar!$B$7,"")</x:f>
      </x:c>
      <x:c r="H51" s="82" t="str">
        <x:f>IF($B51&lt;&gt;"",1,"")</x:f>
      </x:c>
      <x:c r="I51" s="82" t="str">
        <x:f>IF($B51="","",IFERROR(XLOOKUP($C51,MakerWorld_Verileri!$A:$A,MakerWorld_Verileri!$D:$D,""),""))</x:f>
      </x:c>
      <x:c r="J51" s="82" t="str"/>
      <x:c r="K51" s="82" t="str">
        <x:f>IF($I51&lt;&gt;"",$I51,$J51)</x:f>
      </x:c>
      <x:c r="L51" s="82" t="str">
        <x:f>IF($B51="","",IFERROR(XLOOKUP($C51,MakerWorld_Verileri!$A:$A,MakerWorld_Verileri!$E:$E,""),""))</x:f>
      </x:c>
      <x:c r="M51" s="82" t="str"/>
      <x:c r="N51" s="82" t="str">
        <x:f>IF($L51&lt;&gt;"",$L51,$M51)</x:f>
      </x:c>
      <x:c r="O51" s="82" t="str">
        <x:f>IF($B51&lt;&gt;"",0,"")</x:f>
      </x:c>
      <x:c r="P51" s="75" t="str">
        <x:f>IF($B51&lt;&gt;"","Orta","")</x:f>
      </x:c>
      <x:c r="Q51" s="82" t="str">
        <x:f>IF($B51&lt;&gt;"",10,"")</x:f>
      </x:c>
      <x:c r="R51" s="83" t="str">
        <x:f>IF($B51&lt;&gt;"",Ayarlar!$B$10,"")</x:f>
      </x:c>
      <x:c r="S51" s="83" t="str">
        <x:f>IF($B51&lt;&gt;"",0,"")</x:f>
      </x:c>
      <x:c r="T51" s="83" t="n">
        <x:f>IFERROR(($K51+$O51)*XLOOKUP($G51,Ayarlar!$A$19:$A$28,Ayarlar!$C$19:$C$28,0)*(1+Ayarlar!$B$11),0)</x:f>
        <x:v>0</x:v>
      </x:c>
      <x:c r="U51" s="83" t="n">
        <x:f>IFERROR($N51/60*Ayarlar!$B$8,0)</x:f>
        <x:v>0</x:v>
      </x:c>
      <x:c r="V51" s="83" t="n">
        <x:f>IF($B51&lt;&gt;"",Ayarlar!$B$12+($Q51/60*Ayarlar!$B$9),0)</x:f>
        <x:v>0</x:v>
      </x:c>
      <x:c r="W51" s="83" t="n">
        <x:f>IF($B51&lt;&gt;"",SUM($T51:$V51,$R51:$S51),0)</x:f>
        <x:v>0</x:v>
      </x:c>
      <x:c r="X51" s="83" t="n">
        <x:f>IF($B51&lt;&gt;"",$W51*Ayarlar!$B$15,0)</x:f>
        <x:v>0</x:v>
      </x:c>
      <x:c r="Y51" s="83" t="n">
        <x:f>IF($B51&lt;&gt;"",($W51+$X51)*Ayarlar!$B$13,0)</x:f>
        <x:v>0</x:v>
      </x:c>
      <x:c r="Z51" s="83" t="n">
        <x:f>IF($B51&lt;&gt;"",($W51+$X51+$Y51)*Ayarlar!$B$14,0)</x:f>
        <x:v>0</x:v>
      </x:c>
      <x:c r="AA51" s="83" t="str">
        <x:f>IF($B51="","",IF(OR($K51="",$N51=""),"",CEILING($W51+$X51+$Y51+$Z51,Ayarlar!$B$16)))</x:f>
      </x:c>
      <x:c r="AB51" s="83" t="str">
        <x:f>IFERROR($AA51/$H51,"")</x:f>
      </x:c>
      <x:c r="AC51" s="75" t="str">
        <x:f>IF($B51="","",IF(OR($K51="",$N51=""),"Veri Eksik","Fiyat Hazır"))</x:f>
      </x:c>
      <x:c r="AD51" s="75" t="str">
        <x:f>IF($C51&lt;&gt;"","MW-"&amp;$C51,"")</x:f>
        <x:v>MW-80</x:v>
      </x:c>
      <x:c r="AE51" s="75" t="str">
        <x:f>IF($G51&lt;&gt;"","3D Baskı / "&amp;$G51,"3D Baskı")</x:f>
        <x:v>3D Baskı</x:v>
      </x:c>
      <x:c r="AF51" s="75" t="str">
        <x:f>IF($D51&lt;&gt;"",$D51&amp;" - "&amp;$G51,$AD51&amp;" - "&amp;$G51)</x:f>
        <x:v>MW-80 - </x:v>
      </x:c>
      <x:c r="AG51" s="75" t="str"/>
    </x:row>
    <x:row r="52">
      <x:c r="A52" s="75" t="str">
        <x:f>IF($B52&lt;&gt;"",ROW()-4,"")</x:f>
      </x:c>
      <x:c r="B52" s="75" t="str"/>
      <x:c r="C52" s="75" t="n">
        <x:f>IFERROR(LET(x,MID($B52,FIND("/models/",$B52)+8,80),y,LEFT(x,FIND("-",x&amp;"-")-1),LEFT(y,FIND("?",y&amp;"?")-1)),"")</x:f>
        <x:v>80</x:v>
      </x:c>
      <x:c r="D52" s="75" t="str">
        <x:f>IF($B52="","",IFERROR(XLOOKUP($C52,MakerWorld_Verileri!$A:$A,MakerWorld_Verileri!$B:$B,""),""))</x:f>
      </x:c>
      <x:c r="E52" s="75" t="str">
        <x:f>IF($B52="","",IFERROR(XLOOKUP($C52,MakerWorld_Verileri!$A:$A,MakerWorld_Verileri!$C:$C,""),""))</x:f>
      </x:c>
      <x:c r="F52" s="75" t="str"/>
      <x:c r="G52" s="75" t="str">
        <x:f>IF($B52&lt;&gt;"",Ayarlar!$B$7,"")</x:f>
      </x:c>
      <x:c r="H52" s="82" t="str">
        <x:f>IF($B52&lt;&gt;"",1,"")</x:f>
      </x:c>
      <x:c r="I52" s="82" t="str">
        <x:f>IF($B52="","",IFERROR(XLOOKUP($C52,MakerWorld_Verileri!$A:$A,MakerWorld_Verileri!$D:$D,""),""))</x:f>
      </x:c>
      <x:c r="J52" s="82" t="str"/>
      <x:c r="K52" s="82" t="str">
        <x:f>IF($I52&lt;&gt;"",$I52,$J52)</x:f>
      </x:c>
      <x:c r="L52" s="82" t="str">
        <x:f>IF($B52="","",IFERROR(XLOOKUP($C52,MakerWorld_Verileri!$A:$A,MakerWorld_Verileri!$E:$E,""),""))</x:f>
      </x:c>
      <x:c r="M52" s="82" t="str"/>
      <x:c r="N52" s="82" t="str">
        <x:f>IF($L52&lt;&gt;"",$L52,$M52)</x:f>
      </x:c>
      <x:c r="O52" s="82" t="str">
        <x:f>IF($B52&lt;&gt;"",0,"")</x:f>
      </x:c>
      <x:c r="P52" s="75" t="str">
        <x:f>IF($B52&lt;&gt;"","Orta","")</x:f>
      </x:c>
      <x:c r="Q52" s="82" t="str">
        <x:f>IF($B52&lt;&gt;"",10,"")</x:f>
      </x:c>
      <x:c r="R52" s="83" t="str">
        <x:f>IF($B52&lt;&gt;"",Ayarlar!$B$10,"")</x:f>
      </x:c>
      <x:c r="S52" s="83" t="str">
        <x:f>IF($B52&lt;&gt;"",0,"")</x:f>
      </x:c>
      <x:c r="T52" s="83" t="n">
        <x:f>IFERROR(($K52+$O52)*XLOOKUP($G52,Ayarlar!$A$19:$A$28,Ayarlar!$C$19:$C$28,0)*(1+Ayarlar!$B$11),0)</x:f>
        <x:v>0</x:v>
      </x:c>
      <x:c r="U52" s="83" t="n">
        <x:f>IFERROR($N52/60*Ayarlar!$B$8,0)</x:f>
        <x:v>0</x:v>
      </x:c>
      <x:c r="V52" s="83" t="n">
        <x:f>IF($B52&lt;&gt;"",Ayarlar!$B$12+($Q52/60*Ayarlar!$B$9),0)</x:f>
        <x:v>0</x:v>
      </x:c>
      <x:c r="W52" s="83" t="n">
        <x:f>IF($B52&lt;&gt;"",SUM($T52:$V52,$R52:$S52),0)</x:f>
        <x:v>0</x:v>
      </x:c>
      <x:c r="X52" s="83" t="n">
        <x:f>IF($B52&lt;&gt;"",$W52*Ayarlar!$B$15,0)</x:f>
        <x:v>0</x:v>
      </x:c>
      <x:c r="Y52" s="83" t="n">
        <x:f>IF($B52&lt;&gt;"",($W52+$X52)*Ayarlar!$B$13,0)</x:f>
        <x:v>0</x:v>
      </x:c>
      <x:c r="Z52" s="83" t="n">
        <x:f>IF($B52&lt;&gt;"",($W52+$X52+$Y52)*Ayarlar!$B$14,0)</x:f>
        <x:v>0</x:v>
      </x:c>
      <x:c r="AA52" s="83" t="str">
        <x:f>IF($B52="","",IF(OR($K52="",$N52=""),"",CEILING($W52+$X52+$Y52+$Z52,Ayarlar!$B$16)))</x:f>
      </x:c>
      <x:c r="AB52" s="83" t="str">
        <x:f>IFERROR($AA52/$H52,"")</x:f>
      </x:c>
      <x:c r="AC52" s="75" t="str">
        <x:f>IF($B52="","",IF(OR($K52="",$N52=""),"Veri Eksik","Fiyat Hazır"))</x:f>
      </x:c>
      <x:c r="AD52" s="75" t="str">
        <x:f>IF($C52&lt;&gt;"","MW-"&amp;$C52,"")</x:f>
        <x:v>MW-80</x:v>
      </x:c>
      <x:c r="AE52" s="75" t="str">
        <x:f>IF($G52&lt;&gt;"","3D Baskı / "&amp;$G52,"3D Baskı")</x:f>
        <x:v>3D Baskı</x:v>
      </x:c>
      <x:c r="AF52" s="75" t="str">
        <x:f>IF($D52&lt;&gt;"",$D52&amp;" - "&amp;$G52,$AD52&amp;" - "&amp;$G52)</x:f>
        <x:v>MW-80 - </x:v>
      </x:c>
      <x:c r="AG52" s="75" t="str"/>
    </x:row>
    <x:row r="53">
      <x:c r="A53" s="75" t="str">
        <x:f>IF($B53&lt;&gt;"",ROW()-4,"")</x:f>
      </x:c>
      <x:c r="B53" s="75" t="str"/>
      <x:c r="C53" s="75" t="n">
        <x:f>IFERROR(LET(x,MID($B53,FIND("/models/",$B53)+8,80),y,LEFT(x,FIND("-",x&amp;"-")-1),LEFT(y,FIND("?",y&amp;"?")-1)),"")</x:f>
        <x:v>80</x:v>
      </x:c>
      <x:c r="D53" s="75" t="str">
        <x:f>IF($B53="","",IFERROR(XLOOKUP($C53,MakerWorld_Verileri!$A:$A,MakerWorld_Verileri!$B:$B,""),""))</x:f>
      </x:c>
      <x:c r="E53" s="75" t="str">
        <x:f>IF($B53="","",IFERROR(XLOOKUP($C53,MakerWorld_Verileri!$A:$A,MakerWorld_Verileri!$C:$C,""),""))</x:f>
      </x:c>
      <x:c r="F53" s="75" t="str"/>
      <x:c r="G53" s="75" t="str">
        <x:f>IF($B53&lt;&gt;"",Ayarlar!$B$7,"")</x:f>
      </x:c>
      <x:c r="H53" s="82" t="str">
        <x:f>IF($B53&lt;&gt;"",1,"")</x:f>
      </x:c>
      <x:c r="I53" s="82" t="str">
        <x:f>IF($B53="","",IFERROR(XLOOKUP($C53,MakerWorld_Verileri!$A:$A,MakerWorld_Verileri!$D:$D,""),""))</x:f>
      </x:c>
      <x:c r="J53" s="82" t="str"/>
      <x:c r="K53" s="82" t="str">
        <x:f>IF($I53&lt;&gt;"",$I53,$J53)</x:f>
      </x:c>
      <x:c r="L53" s="82" t="str">
        <x:f>IF($B53="","",IFERROR(XLOOKUP($C53,MakerWorld_Verileri!$A:$A,MakerWorld_Verileri!$E:$E,""),""))</x:f>
      </x:c>
      <x:c r="M53" s="82" t="str"/>
      <x:c r="N53" s="82" t="str">
        <x:f>IF($L53&lt;&gt;"",$L53,$M53)</x:f>
      </x:c>
      <x:c r="O53" s="82" t="str">
        <x:f>IF($B53&lt;&gt;"",0,"")</x:f>
      </x:c>
      <x:c r="P53" s="75" t="str">
        <x:f>IF($B53&lt;&gt;"","Orta","")</x:f>
      </x:c>
      <x:c r="Q53" s="82" t="str">
        <x:f>IF($B53&lt;&gt;"",10,"")</x:f>
      </x:c>
      <x:c r="R53" s="83" t="str">
        <x:f>IF($B53&lt;&gt;"",Ayarlar!$B$10,"")</x:f>
      </x:c>
      <x:c r="S53" s="83" t="str">
        <x:f>IF($B53&lt;&gt;"",0,"")</x:f>
      </x:c>
      <x:c r="T53" s="83" t="n">
        <x:f>IFERROR(($K53+$O53)*XLOOKUP($G53,Ayarlar!$A$19:$A$28,Ayarlar!$C$19:$C$28,0)*(1+Ayarlar!$B$11),0)</x:f>
        <x:v>0</x:v>
      </x:c>
      <x:c r="U53" s="83" t="n">
        <x:f>IFERROR($N53/60*Ayarlar!$B$8,0)</x:f>
        <x:v>0</x:v>
      </x:c>
      <x:c r="V53" s="83" t="n">
        <x:f>IF($B53&lt;&gt;"",Ayarlar!$B$12+($Q53/60*Ayarlar!$B$9),0)</x:f>
        <x:v>0</x:v>
      </x:c>
      <x:c r="W53" s="83" t="n">
        <x:f>IF($B53&lt;&gt;"",SUM($T53:$V53,$R53:$S53),0)</x:f>
        <x:v>0</x:v>
      </x:c>
      <x:c r="X53" s="83" t="n">
        <x:f>IF($B53&lt;&gt;"",$W53*Ayarlar!$B$15,0)</x:f>
        <x:v>0</x:v>
      </x:c>
      <x:c r="Y53" s="83" t="n">
        <x:f>IF($B53&lt;&gt;"",($W53+$X53)*Ayarlar!$B$13,0)</x:f>
        <x:v>0</x:v>
      </x:c>
      <x:c r="Z53" s="83" t="n">
        <x:f>IF($B53&lt;&gt;"",($W53+$X53+$Y53)*Ayarlar!$B$14,0)</x:f>
        <x:v>0</x:v>
      </x:c>
      <x:c r="AA53" s="83" t="str">
        <x:f>IF($B53="","",IF(OR($K53="",$N53=""),"",CEILING($W53+$X53+$Y53+$Z53,Ayarlar!$B$16)))</x:f>
      </x:c>
      <x:c r="AB53" s="83" t="str">
        <x:f>IFERROR($AA53/$H53,"")</x:f>
      </x:c>
      <x:c r="AC53" s="75" t="str">
        <x:f>IF($B53="","",IF(OR($K53="",$N53=""),"Veri Eksik","Fiyat Hazır"))</x:f>
      </x:c>
      <x:c r="AD53" s="75" t="str">
        <x:f>IF($C53&lt;&gt;"","MW-"&amp;$C53,"")</x:f>
        <x:v>MW-80</x:v>
      </x:c>
      <x:c r="AE53" s="75" t="str">
        <x:f>IF($G53&lt;&gt;"","3D Baskı / "&amp;$G53,"3D Baskı")</x:f>
        <x:v>3D Baskı</x:v>
      </x:c>
      <x:c r="AF53" s="75" t="str">
        <x:f>IF($D53&lt;&gt;"",$D53&amp;" - "&amp;$G53,$AD53&amp;" - "&amp;$G53)</x:f>
        <x:v>MW-80 - </x:v>
      </x:c>
      <x:c r="AG53" s="75" t="str"/>
    </x:row>
    <x:row r="54">
      <x:c r="A54" s="75" t="str">
        <x:f>IF($B54&lt;&gt;"",ROW()-4,"")</x:f>
      </x:c>
      <x:c r="B54" s="75" t="str"/>
      <x:c r="C54" s="75" t="n">
        <x:f>IFERROR(LET(x,MID($B54,FIND("/models/",$B54)+8,80),y,LEFT(x,FIND("-",x&amp;"-")-1),LEFT(y,FIND("?",y&amp;"?")-1)),"")</x:f>
        <x:v>80</x:v>
      </x:c>
      <x:c r="D54" s="75" t="str">
        <x:f>IF($B54="","",IFERROR(XLOOKUP($C54,MakerWorld_Verileri!$A:$A,MakerWorld_Verileri!$B:$B,""),""))</x:f>
      </x:c>
      <x:c r="E54" s="75" t="str">
        <x:f>IF($B54="","",IFERROR(XLOOKUP($C54,MakerWorld_Verileri!$A:$A,MakerWorld_Verileri!$C:$C,""),""))</x:f>
      </x:c>
      <x:c r="F54" s="75" t="str"/>
      <x:c r="G54" s="75" t="str">
        <x:f>IF($B54&lt;&gt;"",Ayarlar!$B$7,"")</x:f>
      </x:c>
      <x:c r="H54" s="82" t="str">
        <x:f>IF($B54&lt;&gt;"",1,"")</x:f>
      </x:c>
      <x:c r="I54" s="82" t="str">
        <x:f>IF($B54="","",IFERROR(XLOOKUP($C54,MakerWorld_Verileri!$A:$A,MakerWorld_Verileri!$D:$D,""),""))</x:f>
      </x:c>
      <x:c r="J54" s="82" t="str"/>
      <x:c r="K54" s="82" t="str">
        <x:f>IF($I54&lt;&gt;"",$I54,$J54)</x:f>
      </x:c>
      <x:c r="L54" s="82" t="str">
        <x:f>IF($B54="","",IFERROR(XLOOKUP($C54,MakerWorld_Verileri!$A:$A,MakerWorld_Verileri!$E:$E,""),""))</x:f>
      </x:c>
      <x:c r="M54" s="82" t="str"/>
      <x:c r="N54" s="82" t="str">
        <x:f>IF($L54&lt;&gt;"",$L54,$M54)</x:f>
      </x:c>
      <x:c r="O54" s="82" t="str">
        <x:f>IF($B54&lt;&gt;"",0,"")</x:f>
      </x:c>
      <x:c r="P54" s="75" t="str">
        <x:f>IF($B54&lt;&gt;"","Orta","")</x:f>
      </x:c>
      <x:c r="Q54" s="82" t="str">
        <x:f>IF($B54&lt;&gt;"",10,"")</x:f>
      </x:c>
      <x:c r="R54" s="83" t="str">
        <x:f>IF($B54&lt;&gt;"",Ayarlar!$B$10,"")</x:f>
      </x:c>
      <x:c r="S54" s="83" t="str">
        <x:f>IF($B54&lt;&gt;"",0,"")</x:f>
      </x:c>
      <x:c r="T54" s="83" t="n">
        <x:f>IFERROR(($K54+$O54)*XLOOKUP($G54,Ayarlar!$A$19:$A$28,Ayarlar!$C$19:$C$28,0)*(1+Ayarlar!$B$11),0)</x:f>
        <x:v>0</x:v>
      </x:c>
      <x:c r="U54" s="83" t="n">
        <x:f>IFERROR($N54/60*Ayarlar!$B$8,0)</x:f>
        <x:v>0</x:v>
      </x:c>
      <x:c r="V54" s="83" t="n">
        <x:f>IF($B54&lt;&gt;"",Ayarlar!$B$12+($Q54/60*Ayarlar!$B$9),0)</x:f>
        <x:v>0</x:v>
      </x:c>
      <x:c r="W54" s="83" t="n">
        <x:f>IF($B54&lt;&gt;"",SUM($T54:$V54,$R54:$S54),0)</x:f>
        <x:v>0</x:v>
      </x:c>
      <x:c r="X54" s="83" t="n">
        <x:f>IF($B54&lt;&gt;"",$W54*Ayarlar!$B$15,0)</x:f>
        <x:v>0</x:v>
      </x:c>
      <x:c r="Y54" s="83" t="n">
        <x:f>IF($B54&lt;&gt;"",($W54+$X54)*Ayarlar!$B$13,0)</x:f>
        <x:v>0</x:v>
      </x:c>
      <x:c r="Z54" s="83" t="n">
        <x:f>IF($B54&lt;&gt;"",($W54+$X54+$Y54)*Ayarlar!$B$14,0)</x:f>
        <x:v>0</x:v>
      </x:c>
      <x:c r="AA54" s="83" t="str">
        <x:f>IF($B54="","",IF(OR($K54="",$N54=""),"",CEILING($W54+$X54+$Y54+$Z54,Ayarlar!$B$16)))</x:f>
      </x:c>
      <x:c r="AB54" s="83" t="str">
        <x:f>IFERROR($AA54/$H54,"")</x:f>
      </x:c>
      <x:c r="AC54" s="75" t="str">
        <x:f>IF($B54="","",IF(OR($K54="",$N54=""),"Veri Eksik","Fiyat Hazır"))</x:f>
      </x:c>
      <x:c r="AD54" s="75" t="str">
        <x:f>IF($C54&lt;&gt;"","MW-"&amp;$C54,"")</x:f>
        <x:v>MW-80</x:v>
      </x:c>
      <x:c r="AE54" s="75" t="str">
        <x:f>IF($G54&lt;&gt;"","3D Baskı / "&amp;$G54,"3D Baskı")</x:f>
        <x:v>3D Baskı</x:v>
      </x:c>
      <x:c r="AF54" s="75" t="str">
        <x:f>IF($D54&lt;&gt;"",$D54&amp;" - "&amp;$G54,$AD54&amp;" - "&amp;$G54)</x:f>
        <x:v>MW-80 - </x:v>
      </x:c>
      <x:c r="AG54" s="75" t="str"/>
    </x:row>
    <x:row r="55">
      <x:c r="A55" s="75" t="str">
        <x:f>IF($B55&lt;&gt;"",ROW()-4,"")</x:f>
      </x:c>
      <x:c r="B55" s="75" t="str"/>
      <x:c r="C55" s="75" t="n">
        <x:f>IFERROR(LET(x,MID($B55,FIND("/models/",$B55)+8,80),y,LEFT(x,FIND("-",x&amp;"-")-1),LEFT(y,FIND("?",y&amp;"?")-1)),"")</x:f>
        <x:v>80</x:v>
      </x:c>
      <x:c r="D55" s="75" t="str">
        <x:f>IF($B55="","",IFERROR(XLOOKUP($C55,MakerWorld_Verileri!$A:$A,MakerWorld_Verileri!$B:$B,""),""))</x:f>
      </x:c>
      <x:c r="E55" s="75" t="str">
        <x:f>IF($B55="","",IFERROR(XLOOKUP($C55,MakerWorld_Verileri!$A:$A,MakerWorld_Verileri!$C:$C,""),""))</x:f>
      </x:c>
      <x:c r="F55" s="75" t="str"/>
      <x:c r="G55" s="75" t="str">
        <x:f>IF($B55&lt;&gt;"",Ayarlar!$B$7,"")</x:f>
      </x:c>
      <x:c r="H55" s="82" t="str">
        <x:f>IF($B55&lt;&gt;"",1,"")</x:f>
      </x:c>
      <x:c r="I55" s="82" t="str">
        <x:f>IF($B55="","",IFERROR(XLOOKUP($C55,MakerWorld_Verileri!$A:$A,MakerWorld_Verileri!$D:$D,""),""))</x:f>
      </x:c>
      <x:c r="J55" s="82" t="str"/>
      <x:c r="K55" s="82" t="str">
        <x:f>IF($I55&lt;&gt;"",$I55,$J55)</x:f>
      </x:c>
      <x:c r="L55" s="82" t="str">
        <x:f>IF($B55="","",IFERROR(XLOOKUP($C55,MakerWorld_Verileri!$A:$A,MakerWorld_Verileri!$E:$E,""),""))</x:f>
      </x:c>
      <x:c r="M55" s="82" t="str"/>
      <x:c r="N55" s="82" t="str">
        <x:f>IF($L55&lt;&gt;"",$L55,$M55)</x:f>
      </x:c>
      <x:c r="O55" s="82" t="str">
        <x:f>IF($B55&lt;&gt;"",0,"")</x:f>
      </x:c>
      <x:c r="P55" s="75" t="str">
        <x:f>IF($B55&lt;&gt;"","Orta","")</x:f>
      </x:c>
      <x:c r="Q55" s="82" t="str">
        <x:f>IF($B55&lt;&gt;"",10,"")</x:f>
      </x:c>
      <x:c r="R55" s="83" t="str">
        <x:f>IF($B55&lt;&gt;"",Ayarlar!$B$10,"")</x:f>
      </x:c>
      <x:c r="S55" s="83" t="str">
        <x:f>IF($B55&lt;&gt;"",0,"")</x:f>
      </x:c>
      <x:c r="T55" s="83" t="n">
        <x:f>IFERROR(($K55+$O55)*XLOOKUP($G55,Ayarlar!$A$19:$A$28,Ayarlar!$C$19:$C$28,0)*(1+Ayarlar!$B$11),0)</x:f>
        <x:v>0</x:v>
      </x:c>
      <x:c r="U55" s="83" t="n">
        <x:f>IFERROR($N55/60*Ayarlar!$B$8,0)</x:f>
        <x:v>0</x:v>
      </x:c>
      <x:c r="V55" s="83" t="n">
        <x:f>IF($B55&lt;&gt;"",Ayarlar!$B$12+($Q55/60*Ayarlar!$B$9),0)</x:f>
        <x:v>0</x:v>
      </x:c>
      <x:c r="W55" s="83" t="n">
        <x:f>IF($B55&lt;&gt;"",SUM($T55:$V55,$R55:$S55),0)</x:f>
        <x:v>0</x:v>
      </x:c>
      <x:c r="X55" s="83" t="n">
        <x:f>IF($B55&lt;&gt;"",$W55*Ayarlar!$B$15,0)</x:f>
        <x:v>0</x:v>
      </x:c>
      <x:c r="Y55" s="83" t="n">
        <x:f>IF($B55&lt;&gt;"",($W55+$X55)*Ayarlar!$B$13,0)</x:f>
        <x:v>0</x:v>
      </x:c>
      <x:c r="Z55" s="83" t="n">
        <x:f>IF($B55&lt;&gt;"",($W55+$X55+$Y55)*Ayarlar!$B$14,0)</x:f>
        <x:v>0</x:v>
      </x:c>
      <x:c r="AA55" s="83" t="str">
        <x:f>IF($B55="","",IF(OR($K55="",$N55=""),"",CEILING($W55+$X55+$Y55+$Z55,Ayarlar!$B$16)))</x:f>
      </x:c>
      <x:c r="AB55" s="83" t="str">
        <x:f>IFERROR($AA55/$H55,"")</x:f>
      </x:c>
      <x:c r="AC55" s="75" t="str">
        <x:f>IF($B55="","",IF(OR($K55="",$N55=""),"Veri Eksik","Fiyat Hazır"))</x:f>
      </x:c>
      <x:c r="AD55" s="75" t="str">
        <x:f>IF($C55&lt;&gt;"","MW-"&amp;$C55,"")</x:f>
        <x:v>MW-80</x:v>
      </x:c>
      <x:c r="AE55" s="75" t="str">
        <x:f>IF($G55&lt;&gt;"","3D Baskı / "&amp;$G55,"3D Baskı")</x:f>
        <x:v>3D Baskı</x:v>
      </x:c>
      <x:c r="AF55" s="75" t="str">
        <x:f>IF($D55&lt;&gt;"",$D55&amp;" - "&amp;$G55,$AD55&amp;" - "&amp;$G55)</x:f>
        <x:v>MW-80 - </x:v>
      </x:c>
      <x:c r="AG55" s="75" t="str"/>
    </x:row>
    <x:row r="56">
      <x:c r="A56" s="75" t="str">
        <x:f>IF($B56&lt;&gt;"",ROW()-4,"")</x:f>
      </x:c>
      <x:c r="B56" s="75" t="str"/>
      <x:c r="C56" s="75" t="n">
        <x:f>IFERROR(LET(x,MID($B56,FIND("/models/",$B56)+8,80),y,LEFT(x,FIND("-",x&amp;"-")-1),LEFT(y,FIND("?",y&amp;"?")-1)),"")</x:f>
        <x:v>80</x:v>
      </x:c>
      <x:c r="D56" s="75" t="str">
        <x:f>IF($B56="","",IFERROR(XLOOKUP($C56,MakerWorld_Verileri!$A:$A,MakerWorld_Verileri!$B:$B,""),""))</x:f>
      </x:c>
      <x:c r="E56" s="75" t="str">
        <x:f>IF($B56="","",IFERROR(XLOOKUP($C56,MakerWorld_Verileri!$A:$A,MakerWorld_Verileri!$C:$C,""),""))</x:f>
      </x:c>
      <x:c r="F56" s="75" t="str"/>
      <x:c r="G56" s="75" t="str">
        <x:f>IF($B56&lt;&gt;"",Ayarlar!$B$7,"")</x:f>
      </x:c>
      <x:c r="H56" s="82" t="str">
        <x:f>IF($B56&lt;&gt;"",1,"")</x:f>
      </x:c>
      <x:c r="I56" s="82" t="str">
        <x:f>IF($B56="","",IFERROR(XLOOKUP($C56,MakerWorld_Verileri!$A:$A,MakerWorld_Verileri!$D:$D,""),""))</x:f>
      </x:c>
      <x:c r="J56" s="82" t="str"/>
      <x:c r="K56" s="82" t="str">
        <x:f>IF($I56&lt;&gt;"",$I56,$J56)</x:f>
      </x:c>
      <x:c r="L56" s="82" t="str">
        <x:f>IF($B56="","",IFERROR(XLOOKUP($C56,MakerWorld_Verileri!$A:$A,MakerWorld_Verileri!$E:$E,""),""))</x:f>
      </x:c>
      <x:c r="M56" s="82" t="str"/>
      <x:c r="N56" s="82" t="str">
        <x:f>IF($L56&lt;&gt;"",$L56,$M56)</x:f>
      </x:c>
      <x:c r="O56" s="82" t="str">
        <x:f>IF($B56&lt;&gt;"",0,"")</x:f>
      </x:c>
      <x:c r="P56" s="75" t="str">
        <x:f>IF($B56&lt;&gt;"","Orta","")</x:f>
      </x:c>
      <x:c r="Q56" s="82" t="str">
        <x:f>IF($B56&lt;&gt;"",10,"")</x:f>
      </x:c>
      <x:c r="R56" s="83" t="str">
        <x:f>IF($B56&lt;&gt;"",Ayarlar!$B$10,"")</x:f>
      </x:c>
      <x:c r="S56" s="83" t="str">
        <x:f>IF($B56&lt;&gt;"",0,"")</x:f>
      </x:c>
      <x:c r="T56" s="83" t="n">
        <x:f>IFERROR(($K56+$O56)*XLOOKUP($G56,Ayarlar!$A$19:$A$28,Ayarlar!$C$19:$C$28,0)*(1+Ayarlar!$B$11),0)</x:f>
        <x:v>0</x:v>
      </x:c>
      <x:c r="U56" s="83" t="n">
        <x:f>IFERROR($N56/60*Ayarlar!$B$8,0)</x:f>
        <x:v>0</x:v>
      </x:c>
      <x:c r="V56" s="83" t="n">
        <x:f>IF($B56&lt;&gt;"",Ayarlar!$B$12+($Q56/60*Ayarlar!$B$9),0)</x:f>
        <x:v>0</x:v>
      </x:c>
      <x:c r="W56" s="83" t="n">
        <x:f>IF($B56&lt;&gt;"",SUM($T56:$V56,$R56:$S56),0)</x:f>
        <x:v>0</x:v>
      </x:c>
      <x:c r="X56" s="83" t="n">
        <x:f>IF($B56&lt;&gt;"",$W56*Ayarlar!$B$15,0)</x:f>
        <x:v>0</x:v>
      </x:c>
      <x:c r="Y56" s="83" t="n">
        <x:f>IF($B56&lt;&gt;"",($W56+$X56)*Ayarlar!$B$13,0)</x:f>
        <x:v>0</x:v>
      </x:c>
      <x:c r="Z56" s="83" t="n">
        <x:f>IF($B56&lt;&gt;"",($W56+$X56+$Y56)*Ayarlar!$B$14,0)</x:f>
        <x:v>0</x:v>
      </x:c>
      <x:c r="AA56" s="83" t="str">
        <x:f>IF($B56="","",IF(OR($K56="",$N56=""),"",CEILING($W56+$X56+$Y56+$Z56,Ayarlar!$B$16)))</x:f>
      </x:c>
      <x:c r="AB56" s="83" t="str">
        <x:f>IFERROR($AA56/$H56,"")</x:f>
      </x:c>
      <x:c r="AC56" s="75" t="str">
        <x:f>IF($B56="","",IF(OR($K56="",$N56=""),"Veri Eksik","Fiyat Hazır"))</x:f>
      </x:c>
      <x:c r="AD56" s="75" t="str">
        <x:f>IF($C56&lt;&gt;"","MW-"&amp;$C56,"")</x:f>
        <x:v>MW-80</x:v>
      </x:c>
      <x:c r="AE56" s="75" t="str">
        <x:f>IF($G56&lt;&gt;"","3D Baskı / "&amp;$G56,"3D Baskı")</x:f>
        <x:v>3D Baskı</x:v>
      </x:c>
      <x:c r="AF56" s="75" t="str">
        <x:f>IF($D56&lt;&gt;"",$D56&amp;" - "&amp;$G56,$AD56&amp;" - "&amp;$G56)</x:f>
        <x:v>MW-80 - </x:v>
      </x:c>
      <x:c r="AG56" s="75" t="str"/>
    </x:row>
    <x:row r="57">
      <x:c r="A57" s="75" t="str">
        <x:f>IF($B57&lt;&gt;"",ROW()-4,"")</x:f>
      </x:c>
      <x:c r="B57" s="75" t="str"/>
      <x:c r="C57" s="75" t="n">
        <x:f>IFERROR(LET(x,MID($B57,FIND("/models/",$B57)+8,80),y,LEFT(x,FIND("-",x&amp;"-")-1),LEFT(y,FIND("?",y&amp;"?")-1)),"")</x:f>
        <x:v>80</x:v>
      </x:c>
      <x:c r="D57" s="75" t="str">
        <x:f>IF($B57="","",IFERROR(XLOOKUP($C57,MakerWorld_Verileri!$A:$A,MakerWorld_Verileri!$B:$B,""),""))</x:f>
      </x:c>
      <x:c r="E57" s="75" t="str">
        <x:f>IF($B57="","",IFERROR(XLOOKUP($C57,MakerWorld_Verileri!$A:$A,MakerWorld_Verileri!$C:$C,""),""))</x:f>
      </x:c>
      <x:c r="F57" s="75" t="str"/>
      <x:c r="G57" s="75" t="str">
        <x:f>IF($B57&lt;&gt;"",Ayarlar!$B$7,"")</x:f>
      </x:c>
      <x:c r="H57" s="82" t="str">
        <x:f>IF($B57&lt;&gt;"",1,"")</x:f>
      </x:c>
      <x:c r="I57" s="82" t="str">
        <x:f>IF($B57="","",IFERROR(XLOOKUP($C57,MakerWorld_Verileri!$A:$A,MakerWorld_Verileri!$D:$D,""),""))</x:f>
      </x:c>
      <x:c r="J57" s="82" t="str"/>
      <x:c r="K57" s="82" t="str">
        <x:f>IF($I57&lt;&gt;"",$I57,$J57)</x:f>
      </x:c>
      <x:c r="L57" s="82" t="str">
        <x:f>IF($B57="","",IFERROR(XLOOKUP($C57,MakerWorld_Verileri!$A:$A,MakerWorld_Verileri!$E:$E,""),""))</x:f>
      </x:c>
      <x:c r="M57" s="82" t="str"/>
      <x:c r="N57" s="82" t="str">
        <x:f>IF($L57&lt;&gt;"",$L57,$M57)</x:f>
      </x:c>
      <x:c r="O57" s="82" t="str">
        <x:f>IF($B57&lt;&gt;"",0,"")</x:f>
      </x:c>
      <x:c r="P57" s="75" t="str">
        <x:f>IF($B57&lt;&gt;"","Orta","")</x:f>
      </x:c>
      <x:c r="Q57" s="82" t="str">
        <x:f>IF($B57&lt;&gt;"",10,"")</x:f>
      </x:c>
      <x:c r="R57" s="83" t="str">
        <x:f>IF($B57&lt;&gt;"",Ayarlar!$B$10,"")</x:f>
      </x:c>
      <x:c r="S57" s="83" t="str">
        <x:f>IF($B57&lt;&gt;"",0,"")</x:f>
      </x:c>
      <x:c r="T57" s="83" t="n">
        <x:f>IFERROR(($K57+$O57)*XLOOKUP($G57,Ayarlar!$A$19:$A$28,Ayarlar!$C$19:$C$28,0)*(1+Ayarlar!$B$11),0)</x:f>
        <x:v>0</x:v>
      </x:c>
      <x:c r="U57" s="83" t="n">
        <x:f>IFERROR($N57/60*Ayarlar!$B$8,0)</x:f>
        <x:v>0</x:v>
      </x:c>
      <x:c r="V57" s="83" t="n">
        <x:f>IF($B57&lt;&gt;"",Ayarlar!$B$12+($Q57/60*Ayarlar!$B$9),0)</x:f>
        <x:v>0</x:v>
      </x:c>
      <x:c r="W57" s="83" t="n">
        <x:f>IF($B57&lt;&gt;"",SUM($T57:$V57,$R57:$S57),0)</x:f>
        <x:v>0</x:v>
      </x:c>
      <x:c r="X57" s="83" t="n">
        <x:f>IF($B57&lt;&gt;"",$W57*Ayarlar!$B$15,0)</x:f>
        <x:v>0</x:v>
      </x:c>
      <x:c r="Y57" s="83" t="n">
        <x:f>IF($B57&lt;&gt;"",($W57+$X57)*Ayarlar!$B$13,0)</x:f>
        <x:v>0</x:v>
      </x:c>
      <x:c r="Z57" s="83" t="n">
        <x:f>IF($B57&lt;&gt;"",($W57+$X57+$Y57)*Ayarlar!$B$14,0)</x:f>
        <x:v>0</x:v>
      </x:c>
      <x:c r="AA57" s="83" t="str">
        <x:f>IF($B57="","",IF(OR($K57="",$N57=""),"",CEILING($W57+$X57+$Y57+$Z57,Ayarlar!$B$16)))</x:f>
      </x:c>
      <x:c r="AB57" s="83" t="str">
        <x:f>IFERROR($AA57/$H57,"")</x:f>
      </x:c>
      <x:c r="AC57" s="75" t="str">
        <x:f>IF($B57="","",IF(OR($K57="",$N57=""),"Veri Eksik","Fiyat Hazır"))</x:f>
      </x:c>
      <x:c r="AD57" s="75" t="str">
        <x:f>IF($C57&lt;&gt;"","MW-"&amp;$C57,"")</x:f>
        <x:v>MW-80</x:v>
      </x:c>
      <x:c r="AE57" s="75" t="str">
        <x:f>IF($G57&lt;&gt;"","3D Baskı / "&amp;$G57,"3D Baskı")</x:f>
        <x:v>3D Baskı</x:v>
      </x:c>
      <x:c r="AF57" s="75" t="str">
        <x:f>IF($D57&lt;&gt;"",$D57&amp;" - "&amp;$G57,$AD57&amp;" - "&amp;$G57)</x:f>
        <x:v>MW-80 - </x:v>
      </x:c>
      <x:c r="AG57" s="75" t="str"/>
    </x:row>
    <x:row r="58">
      <x:c r="A58" s="75" t="str">
        <x:f>IF($B58&lt;&gt;"",ROW()-4,"")</x:f>
      </x:c>
      <x:c r="B58" s="75" t="str"/>
      <x:c r="C58" s="75" t="n">
        <x:f>IFERROR(LET(x,MID($B58,FIND("/models/",$B58)+8,80),y,LEFT(x,FIND("-",x&amp;"-")-1),LEFT(y,FIND("?",y&amp;"?")-1)),"")</x:f>
        <x:v>80</x:v>
      </x:c>
      <x:c r="D58" s="75" t="str">
        <x:f>IF($B58="","",IFERROR(XLOOKUP($C58,MakerWorld_Verileri!$A:$A,MakerWorld_Verileri!$B:$B,""),""))</x:f>
      </x:c>
      <x:c r="E58" s="75" t="str">
        <x:f>IF($B58="","",IFERROR(XLOOKUP($C58,MakerWorld_Verileri!$A:$A,MakerWorld_Verileri!$C:$C,""),""))</x:f>
      </x:c>
      <x:c r="F58" s="75" t="str"/>
      <x:c r="G58" s="75" t="str">
        <x:f>IF($B58&lt;&gt;"",Ayarlar!$B$7,"")</x:f>
      </x:c>
      <x:c r="H58" s="82" t="str">
        <x:f>IF($B58&lt;&gt;"",1,"")</x:f>
      </x:c>
      <x:c r="I58" s="82" t="str">
        <x:f>IF($B58="","",IFERROR(XLOOKUP($C58,MakerWorld_Verileri!$A:$A,MakerWorld_Verileri!$D:$D,""),""))</x:f>
      </x:c>
      <x:c r="J58" s="82" t="str"/>
      <x:c r="K58" s="82" t="str">
        <x:f>IF($I58&lt;&gt;"",$I58,$J58)</x:f>
      </x:c>
      <x:c r="L58" s="82" t="str">
        <x:f>IF($B58="","",IFERROR(XLOOKUP($C58,MakerWorld_Verileri!$A:$A,MakerWorld_Verileri!$E:$E,""),""))</x:f>
      </x:c>
      <x:c r="M58" s="82" t="str"/>
      <x:c r="N58" s="82" t="str">
        <x:f>IF($L58&lt;&gt;"",$L58,$M58)</x:f>
      </x:c>
      <x:c r="O58" s="82" t="str">
        <x:f>IF($B58&lt;&gt;"",0,"")</x:f>
      </x:c>
      <x:c r="P58" s="75" t="str">
        <x:f>IF($B58&lt;&gt;"","Orta","")</x:f>
      </x:c>
      <x:c r="Q58" s="82" t="str">
        <x:f>IF($B58&lt;&gt;"",10,"")</x:f>
      </x:c>
      <x:c r="R58" s="83" t="str">
        <x:f>IF($B58&lt;&gt;"",Ayarlar!$B$10,"")</x:f>
      </x:c>
      <x:c r="S58" s="83" t="str">
        <x:f>IF($B58&lt;&gt;"",0,"")</x:f>
      </x:c>
      <x:c r="T58" s="83" t="n">
        <x:f>IFERROR(($K58+$O58)*XLOOKUP($G58,Ayarlar!$A$19:$A$28,Ayarlar!$C$19:$C$28,0)*(1+Ayarlar!$B$11),0)</x:f>
        <x:v>0</x:v>
      </x:c>
      <x:c r="U58" s="83" t="n">
        <x:f>IFERROR($N58/60*Ayarlar!$B$8,0)</x:f>
        <x:v>0</x:v>
      </x:c>
      <x:c r="V58" s="83" t="n">
        <x:f>IF($B58&lt;&gt;"",Ayarlar!$B$12+($Q58/60*Ayarlar!$B$9),0)</x:f>
        <x:v>0</x:v>
      </x:c>
      <x:c r="W58" s="83" t="n">
        <x:f>IF($B58&lt;&gt;"",SUM($T58:$V58,$R58:$S58),0)</x:f>
        <x:v>0</x:v>
      </x:c>
      <x:c r="X58" s="83" t="n">
        <x:f>IF($B58&lt;&gt;"",$W58*Ayarlar!$B$15,0)</x:f>
        <x:v>0</x:v>
      </x:c>
      <x:c r="Y58" s="83" t="n">
        <x:f>IF($B58&lt;&gt;"",($W58+$X58)*Ayarlar!$B$13,0)</x:f>
        <x:v>0</x:v>
      </x:c>
      <x:c r="Z58" s="83" t="n">
        <x:f>IF($B58&lt;&gt;"",($W58+$X58+$Y58)*Ayarlar!$B$14,0)</x:f>
        <x:v>0</x:v>
      </x:c>
      <x:c r="AA58" s="83" t="str">
        <x:f>IF($B58="","",IF(OR($K58="",$N58=""),"",CEILING($W58+$X58+$Y58+$Z58,Ayarlar!$B$16)))</x:f>
      </x:c>
      <x:c r="AB58" s="83" t="str">
        <x:f>IFERROR($AA58/$H58,"")</x:f>
      </x:c>
      <x:c r="AC58" s="75" t="str">
        <x:f>IF($B58="","",IF(OR($K58="",$N58=""),"Veri Eksik","Fiyat Hazır"))</x:f>
      </x:c>
      <x:c r="AD58" s="75" t="str">
        <x:f>IF($C58&lt;&gt;"","MW-"&amp;$C58,"")</x:f>
        <x:v>MW-80</x:v>
      </x:c>
      <x:c r="AE58" s="75" t="str">
        <x:f>IF($G58&lt;&gt;"","3D Baskı / "&amp;$G58,"3D Baskı")</x:f>
        <x:v>3D Baskı</x:v>
      </x:c>
      <x:c r="AF58" s="75" t="str">
        <x:f>IF($D58&lt;&gt;"",$D58&amp;" - "&amp;$G58,$AD58&amp;" - "&amp;$G58)</x:f>
        <x:v>MW-80 - </x:v>
      </x:c>
      <x:c r="AG58" s="75" t="str"/>
    </x:row>
    <x:row r="59">
      <x:c r="A59" s="75" t="str">
        <x:f>IF($B59&lt;&gt;"",ROW()-4,"")</x:f>
      </x:c>
      <x:c r="B59" s="75" t="str"/>
      <x:c r="C59" s="75" t="n">
        <x:f>IFERROR(LET(x,MID($B59,FIND("/models/",$B59)+8,80),y,LEFT(x,FIND("-",x&amp;"-")-1),LEFT(y,FIND("?",y&amp;"?")-1)),"")</x:f>
        <x:v>80</x:v>
      </x:c>
      <x:c r="D59" s="75" t="str">
        <x:f>IF($B59="","",IFERROR(XLOOKUP($C59,MakerWorld_Verileri!$A:$A,MakerWorld_Verileri!$B:$B,""),""))</x:f>
      </x:c>
      <x:c r="E59" s="75" t="str">
        <x:f>IF($B59="","",IFERROR(XLOOKUP($C59,MakerWorld_Verileri!$A:$A,MakerWorld_Verileri!$C:$C,""),""))</x:f>
      </x:c>
      <x:c r="F59" s="75" t="str"/>
      <x:c r="G59" s="75" t="str">
        <x:f>IF($B59&lt;&gt;"",Ayarlar!$B$7,"")</x:f>
      </x:c>
      <x:c r="H59" s="82" t="str">
        <x:f>IF($B59&lt;&gt;"",1,"")</x:f>
      </x:c>
      <x:c r="I59" s="82" t="str">
        <x:f>IF($B59="","",IFERROR(XLOOKUP($C59,MakerWorld_Verileri!$A:$A,MakerWorld_Verileri!$D:$D,""),""))</x:f>
      </x:c>
      <x:c r="J59" s="82" t="str"/>
      <x:c r="K59" s="82" t="str">
        <x:f>IF($I59&lt;&gt;"",$I59,$J59)</x:f>
      </x:c>
      <x:c r="L59" s="82" t="str">
        <x:f>IF($B59="","",IFERROR(XLOOKUP($C59,MakerWorld_Verileri!$A:$A,MakerWorld_Verileri!$E:$E,""),""))</x:f>
      </x:c>
      <x:c r="M59" s="82" t="str"/>
      <x:c r="N59" s="82" t="str">
        <x:f>IF($L59&lt;&gt;"",$L59,$M59)</x:f>
      </x:c>
      <x:c r="O59" s="82" t="str">
        <x:f>IF($B59&lt;&gt;"",0,"")</x:f>
      </x:c>
      <x:c r="P59" s="75" t="str">
        <x:f>IF($B59&lt;&gt;"","Orta","")</x:f>
      </x:c>
      <x:c r="Q59" s="82" t="str">
        <x:f>IF($B59&lt;&gt;"",10,"")</x:f>
      </x:c>
      <x:c r="R59" s="83" t="str">
        <x:f>IF($B59&lt;&gt;"",Ayarlar!$B$10,"")</x:f>
      </x:c>
      <x:c r="S59" s="83" t="str">
        <x:f>IF($B59&lt;&gt;"",0,"")</x:f>
      </x:c>
      <x:c r="T59" s="83" t="n">
        <x:f>IFERROR(($K59+$O59)*XLOOKUP($G59,Ayarlar!$A$19:$A$28,Ayarlar!$C$19:$C$28,0)*(1+Ayarlar!$B$11),0)</x:f>
        <x:v>0</x:v>
      </x:c>
      <x:c r="U59" s="83" t="n">
        <x:f>IFERROR($N59/60*Ayarlar!$B$8,0)</x:f>
        <x:v>0</x:v>
      </x:c>
      <x:c r="V59" s="83" t="n">
        <x:f>IF($B59&lt;&gt;"",Ayarlar!$B$12+($Q59/60*Ayarlar!$B$9),0)</x:f>
        <x:v>0</x:v>
      </x:c>
      <x:c r="W59" s="83" t="n">
        <x:f>IF($B59&lt;&gt;"",SUM($T59:$V59,$R59:$S59),0)</x:f>
        <x:v>0</x:v>
      </x:c>
      <x:c r="X59" s="83" t="n">
        <x:f>IF($B59&lt;&gt;"",$W59*Ayarlar!$B$15,0)</x:f>
        <x:v>0</x:v>
      </x:c>
      <x:c r="Y59" s="83" t="n">
        <x:f>IF($B59&lt;&gt;"",($W59+$X59)*Ayarlar!$B$13,0)</x:f>
        <x:v>0</x:v>
      </x:c>
      <x:c r="Z59" s="83" t="n">
        <x:f>IF($B59&lt;&gt;"",($W59+$X59+$Y59)*Ayarlar!$B$14,0)</x:f>
        <x:v>0</x:v>
      </x:c>
      <x:c r="AA59" s="83" t="str">
        <x:f>IF($B59="","",IF(OR($K59="",$N59=""),"",CEILING($W59+$X59+$Y59+$Z59,Ayarlar!$B$16)))</x:f>
      </x:c>
      <x:c r="AB59" s="83" t="str">
        <x:f>IFERROR($AA59/$H59,"")</x:f>
      </x:c>
      <x:c r="AC59" s="75" t="str">
        <x:f>IF($B59="","",IF(OR($K59="",$N59=""),"Veri Eksik","Fiyat Hazır"))</x:f>
      </x:c>
      <x:c r="AD59" s="75" t="str">
        <x:f>IF($C59&lt;&gt;"","MW-"&amp;$C59,"")</x:f>
        <x:v>MW-80</x:v>
      </x:c>
      <x:c r="AE59" s="75" t="str">
        <x:f>IF($G59&lt;&gt;"","3D Baskı / "&amp;$G59,"3D Baskı")</x:f>
        <x:v>3D Baskı</x:v>
      </x:c>
      <x:c r="AF59" s="75" t="str">
        <x:f>IF($D59&lt;&gt;"",$D59&amp;" - "&amp;$G59,$AD59&amp;" - "&amp;$G59)</x:f>
        <x:v>MW-80 - </x:v>
      </x:c>
      <x:c r="AG59" s="75" t="str"/>
    </x:row>
    <x:row r="60">
      <x:c r="A60" s="75" t="str">
        <x:f>IF($B60&lt;&gt;"",ROW()-4,"")</x:f>
      </x:c>
      <x:c r="B60" s="75" t="str"/>
      <x:c r="C60" s="75" t="n">
        <x:f>IFERROR(LET(x,MID($B60,FIND("/models/",$B60)+8,80),y,LEFT(x,FIND("-",x&amp;"-")-1),LEFT(y,FIND("?",y&amp;"?")-1)),"")</x:f>
        <x:v>80</x:v>
      </x:c>
      <x:c r="D60" s="75" t="str">
        <x:f>IF($B60="","",IFERROR(XLOOKUP($C60,MakerWorld_Verileri!$A:$A,MakerWorld_Verileri!$B:$B,""),""))</x:f>
      </x:c>
      <x:c r="E60" s="75" t="str">
        <x:f>IF($B60="","",IFERROR(XLOOKUP($C60,MakerWorld_Verileri!$A:$A,MakerWorld_Verileri!$C:$C,""),""))</x:f>
      </x:c>
      <x:c r="F60" s="75" t="str"/>
      <x:c r="G60" s="75" t="str">
        <x:f>IF($B60&lt;&gt;"",Ayarlar!$B$7,"")</x:f>
      </x:c>
      <x:c r="H60" s="82" t="str">
        <x:f>IF($B60&lt;&gt;"",1,"")</x:f>
      </x:c>
      <x:c r="I60" s="82" t="str">
        <x:f>IF($B60="","",IFERROR(XLOOKUP($C60,MakerWorld_Verileri!$A:$A,MakerWorld_Verileri!$D:$D,""),""))</x:f>
      </x:c>
      <x:c r="J60" s="82" t="str"/>
      <x:c r="K60" s="82" t="str">
        <x:f>IF($I60&lt;&gt;"",$I60,$J60)</x:f>
      </x:c>
      <x:c r="L60" s="82" t="str">
        <x:f>IF($B60="","",IFERROR(XLOOKUP($C60,MakerWorld_Verileri!$A:$A,MakerWorld_Verileri!$E:$E,""),""))</x:f>
      </x:c>
      <x:c r="M60" s="82" t="str"/>
      <x:c r="N60" s="82" t="str">
        <x:f>IF($L60&lt;&gt;"",$L60,$M60)</x:f>
      </x:c>
      <x:c r="O60" s="82" t="str">
        <x:f>IF($B60&lt;&gt;"",0,"")</x:f>
      </x:c>
      <x:c r="P60" s="75" t="str">
        <x:f>IF($B60&lt;&gt;"","Orta","")</x:f>
      </x:c>
      <x:c r="Q60" s="82" t="str">
        <x:f>IF($B60&lt;&gt;"",10,"")</x:f>
      </x:c>
      <x:c r="R60" s="83" t="str">
        <x:f>IF($B60&lt;&gt;"",Ayarlar!$B$10,"")</x:f>
      </x:c>
      <x:c r="S60" s="83" t="str">
        <x:f>IF($B60&lt;&gt;"",0,"")</x:f>
      </x:c>
      <x:c r="T60" s="83" t="n">
        <x:f>IFERROR(($K60+$O60)*XLOOKUP($G60,Ayarlar!$A$19:$A$28,Ayarlar!$C$19:$C$28,0)*(1+Ayarlar!$B$11),0)</x:f>
        <x:v>0</x:v>
      </x:c>
      <x:c r="U60" s="83" t="n">
        <x:f>IFERROR($N60/60*Ayarlar!$B$8,0)</x:f>
        <x:v>0</x:v>
      </x:c>
      <x:c r="V60" s="83" t="n">
        <x:f>IF($B60&lt;&gt;"",Ayarlar!$B$12+($Q60/60*Ayarlar!$B$9),0)</x:f>
        <x:v>0</x:v>
      </x:c>
      <x:c r="W60" s="83" t="n">
        <x:f>IF($B60&lt;&gt;"",SUM($T60:$V60,$R60:$S60),0)</x:f>
        <x:v>0</x:v>
      </x:c>
      <x:c r="X60" s="83" t="n">
        <x:f>IF($B60&lt;&gt;"",$W60*Ayarlar!$B$15,0)</x:f>
        <x:v>0</x:v>
      </x:c>
      <x:c r="Y60" s="83" t="n">
        <x:f>IF($B60&lt;&gt;"",($W60+$X60)*Ayarlar!$B$13,0)</x:f>
        <x:v>0</x:v>
      </x:c>
      <x:c r="Z60" s="83" t="n">
        <x:f>IF($B60&lt;&gt;"",($W60+$X60+$Y60)*Ayarlar!$B$14,0)</x:f>
        <x:v>0</x:v>
      </x:c>
      <x:c r="AA60" s="83" t="str">
        <x:f>IF($B60="","",IF(OR($K60="",$N60=""),"",CEILING($W60+$X60+$Y60+$Z60,Ayarlar!$B$16)))</x:f>
      </x:c>
      <x:c r="AB60" s="83" t="str">
        <x:f>IFERROR($AA60/$H60,"")</x:f>
      </x:c>
      <x:c r="AC60" s="75" t="str">
        <x:f>IF($B60="","",IF(OR($K60="",$N60=""),"Veri Eksik","Fiyat Hazır"))</x:f>
      </x:c>
      <x:c r="AD60" s="75" t="str">
        <x:f>IF($C60&lt;&gt;"","MW-"&amp;$C60,"")</x:f>
        <x:v>MW-80</x:v>
      </x:c>
      <x:c r="AE60" s="75" t="str">
        <x:f>IF($G60&lt;&gt;"","3D Baskı / "&amp;$G60,"3D Baskı")</x:f>
        <x:v>3D Baskı</x:v>
      </x:c>
      <x:c r="AF60" s="75" t="str">
        <x:f>IF($D60&lt;&gt;"",$D60&amp;" - "&amp;$G60,$AD60&amp;" - "&amp;$G60)</x:f>
        <x:v>MW-80 - </x:v>
      </x:c>
      <x:c r="AG60" s="75" t="str"/>
    </x:row>
    <x:row r="61">
      <x:c r="A61" s="75" t="str">
        <x:f>IF($B61&lt;&gt;"",ROW()-4,"")</x:f>
      </x:c>
      <x:c r="B61" s="75" t="str"/>
      <x:c r="C61" s="75" t="n">
        <x:f>IFERROR(LET(x,MID($B61,FIND("/models/",$B61)+8,80),y,LEFT(x,FIND("-",x&amp;"-")-1),LEFT(y,FIND("?",y&amp;"?")-1)),"")</x:f>
        <x:v>80</x:v>
      </x:c>
      <x:c r="D61" s="75" t="str">
        <x:f>IF($B61="","",IFERROR(XLOOKUP($C61,MakerWorld_Verileri!$A:$A,MakerWorld_Verileri!$B:$B,""),""))</x:f>
      </x:c>
      <x:c r="E61" s="75" t="str">
        <x:f>IF($B61="","",IFERROR(XLOOKUP($C61,MakerWorld_Verileri!$A:$A,MakerWorld_Verileri!$C:$C,""),""))</x:f>
      </x:c>
      <x:c r="F61" s="75" t="str"/>
      <x:c r="G61" s="75" t="str">
        <x:f>IF($B61&lt;&gt;"",Ayarlar!$B$7,"")</x:f>
      </x:c>
      <x:c r="H61" s="82" t="str">
        <x:f>IF($B61&lt;&gt;"",1,"")</x:f>
      </x:c>
      <x:c r="I61" s="82" t="str">
        <x:f>IF($B61="","",IFERROR(XLOOKUP($C61,MakerWorld_Verileri!$A:$A,MakerWorld_Verileri!$D:$D,""),""))</x:f>
      </x:c>
      <x:c r="J61" s="82" t="str"/>
      <x:c r="K61" s="82" t="str">
        <x:f>IF($I61&lt;&gt;"",$I61,$J61)</x:f>
      </x:c>
      <x:c r="L61" s="82" t="str">
        <x:f>IF($B61="","",IFERROR(XLOOKUP($C61,MakerWorld_Verileri!$A:$A,MakerWorld_Verileri!$E:$E,""),""))</x:f>
      </x:c>
      <x:c r="M61" s="82" t="str"/>
      <x:c r="N61" s="82" t="str">
        <x:f>IF($L61&lt;&gt;"",$L61,$M61)</x:f>
      </x:c>
      <x:c r="O61" s="82" t="str">
        <x:f>IF($B61&lt;&gt;"",0,"")</x:f>
      </x:c>
      <x:c r="P61" s="75" t="str">
        <x:f>IF($B61&lt;&gt;"","Orta","")</x:f>
      </x:c>
      <x:c r="Q61" s="82" t="str">
        <x:f>IF($B61&lt;&gt;"",10,"")</x:f>
      </x:c>
      <x:c r="R61" s="83" t="str">
        <x:f>IF($B61&lt;&gt;"",Ayarlar!$B$10,"")</x:f>
      </x:c>
      <x:c r="S61" s="83" t="str">
        <x:f>IF($B61&lt;&gt;"",0,"")</x:f>
      </x:c>
      <x:c r="T61" s="83" t="n">
        <x:f>IFERROR(($K61+$O61)*XLOOKUP($G61,Ayarlar!$A$19:$A$28,Ayarlar!$C$19:$C$28,0)*(1+Ayarlar!$B$11),0)</x:f>
        <x:v>0</x:v>
      </x:c>
      <x:c r="U61" s="83" t="n">
        <x:f>IFERROR($N61/60*Ayarlar!$B$8,0)</x:f>
        <x:v>0</x:v>
      </x:c>
      <x:c r="V61" s="83" t="n">
        <x:f>IF($B61&lt;&gt;"",Ayarlar!$B$12+($Q61/60*Ayarlar!$B$9),0)</x:f>
        <x:v>0</x:v>
      </x:c>
      <x:c r="W61" s="83" t="n">
        <x:f>IF($B61&lt;&gt;"",SUM($T61:$V61,$R61:$S61),0)</x:f>
        <x:v>0</x:v>
      </x:c>
      <x:c r="X61" s="83" t="n">
        <x:f>IF($B61&lt;&gt;"",$W61*Ayarlar!$B$15,0)</x:f>
        <x:v>0</x:v>
      </x:c>
      <x:c r="Y61" s="83" t="n">
        <x:f>IF($B61&lt;&gt;"",($W61+$X61)*Ayarlar!$B$13,0)</x:f>
        <x:v>0</x:v>
      </x:c>
      <x:c r="Z61" s="83" t="n">
        <x:f>IF($B61&lt;&gt;"",($W61+$X61+$Y61)*Ayarlar!$B$14,0)</x:f>
        <x:v>0</x:v>
      </x:c>
      <x:c r="AA61" s="83" t="str">
        <x:f>IF($B61="","",IF(OR($K61="",$N61=""),"",CEILING($W61+$X61+$Y61+$Z61,Ayarlar!$B$16)))</x:f>
      </x:c>
      <x:c r="AB61" s="83" t="str">
        <x:f>IFERROR($AA61/$H61,"")</x:f>
      </x:c>
      <x:c r="AC61" s="75" t="str">
        <x:f>IF($B61="","",IF(OR($K61="",$N61=""),"Veri Eksik","Fiyat Hazır"))</x:f>
      </x:c>
      <x:c r="AD61" s="75" t="str">
        <x:f>IF($C61&lt;&gt;"","MW-"&amp;$C61,"")</x:f>
        <x:v>MW-80</x:v>
      </x:c>
      <x:c r="AE61" s="75" t="str">
        <x:f>IF($G61&lt;&gt;"","3D Baskı / "&amp;$G61,"3D Baskı")</x:f>
        <x:v>3D Baskı</x:v>
      </x:c>
      <x:c r="AF61" s="75" t="str">
        <x:f>IF($D61&lt;&gt;"",$D61&amp;" - "&amp;$G61,$AD61&amp;" - "&amp;$G61)</x:f>
        <x:v>MW-80 - </x:v>
      </x:c>
      <x:c r="AG61" s="75" t="str"/>
    </x:row>
    <x:row r="62">
      <x:c r="A62" s="75" t="str">
        <x:f>IF($B62&lt;&gt;"",ROW()-4,"")</x:f>
      </x:c>
      <x:c r="B62" s="75" t="str"/>
      <x:c r="C62" s="75" t="n">
        <x:f>IFERROR(LET(x,MID($B62,FIND("/models/",$B62)+8,80),y,LEFT(x,FIND("-",x&amp;"-")-1),LEFT(y,FIND("?",y&amp;"?")-1)),"")</x:f>
        <x:v>80</x:v>
      </x:c>
      <x:c r="D62" s="75" t="str">
        <x:f>IF($B62="","",IFERROR(XLOOKUP($C62,MakerWorld_Verileri!$A:$A,MakerWorld_Verileri!$B:$B,""),""))</x:f>
      </x:c>
      <x:c r="E62" s="75" t="str">
        <x:f>IF($B62="","",IFERROR(XLOOKUP($C62,MakerWorld_Verileri!$A:$A,MakerWorld_Verileri!$C:$C,""),""))</x:f>
      </x:c>
      <x:c r="F62" s="75" t="str"/>
      <x:c r="G62" s="75" t="str">
        <x:f>IF($B62&lt;&gt;"",Ayarlar!$B$7,"")</x:f>
      </x:c>
      <x:c r="H62" s="82" t="str">
        <x:f>IF($B62&lt;&gt;"",1,"")</x:f>
      </x:c>
      <x:c r="I62" s="82" t="str">
        <x:f>IF($B62="","",IFERROR(XLOOKUP($C62,MakerWorld_Verileri!$A:$A,MakerWorld_Verileri!$D:$D,""),""))</x:f>
      </x:c>
      <x:c r="J62" s="82" t="str"/>
      <x:c r="K62" s="82" t="str">
        <x:f>IF($I62&lt;&gt;"",$I62,$J62)</x:f>
      </x:c>
      <x:c r="L62" s="82" t="str">
        <x:f>IF($B62="","",IFERROR(XLOOKUP($C62,MakerWorld_Verileri!$A:$A,MakerWorld_Verileri!$E:$E,""),""))</x:f>
      </x:c>
      <x:c r="M62" s="82" t="str"/>
      <x:c r="N62" s="82" t="str">
        <x:f>IF($L62&lt;&gt;"",$L62,$M62)</x:f>
      </x:c>
      <x:c r="O62" s="82" t="str">
        <x:f>IF($B62&lt;&gt;"",0,"")</x:f>
      </x:c>
      <x:c r="P62" s="75" t="str">
        <x:f>IF($B62&lt;&gt;"","Orta","")</x:f>
      </x:c>
      <x:c r="Q62" s="82" t="str">
        <x:f>IF($B62&lt;&gt;"",10,"")</x:f>
      </x:c>
      <x:c r="R62" s="83" t="str">
        <x:f>IF($B62&lt;&gt;"",Ayarlar!$B$10,"")</x:f>
      </x:c>
      <x:c r="S62" s="83" t="str">
        <x:f>IF($B62&lt;&gt;"",0,"")</x:f>
      </x:c>
      <x:c r="T62" s="83" t="n">
        <x:f>IFERROR(($K62+$O62)*XLOOKUP($G62,Ayarlar!$A$19:$A$28,Ayarlar!$C$19:$C$28,0)*(1+Ayarlar!$B$11),0)</x:f>
        <x:v>0</x:v>
      </x:c>
      <x:c r="U62" s="83" t="n">
        <x:f>IFERROR($N62/60*Ayarlar!$B$8,0)</x:f>
        <x:v>0</x:v>
      </x:c>
      <x:c r="V62" s="83" t="n">
        <x:f>IF($B62&lt;&gt;"",Ayarlar!$B$12+($Q62/60*Ayarlar!$B$9),0)</x:f>
        <x:v>0</x:v>
      </x:c>
      <x:c r="W62" s="83" t="n">
        <x:f>IF($B62&lt;&gt;"",SUM($T62:$V62,$R62:$S62),0)</x:f>
        <x:v>0</x:v>
      </x:c>
      <x:c r="X62" s="83" t="n">
        <x:f>IF($B62&lt;&gt;"",$W62*Ayarlar!$B$15,0)</x:f>
        <x:v>0</x:v>
      </x:c>
      <x:c r="Y62" s="83" t="n">
        <x:f>IF($B62&lt;&gt;"",($W62+$X62)*Ayarlar!$B$13,0)</x:f>
        <x:v>0</x:v>
      </x:c>
      <x:c r="Z62" s="83" t="n">
        <x:f>IF($B62&lt;&gt;"",($W62+$X62+$Y62)*Ayarlar!$B$14,0)</x:f>
        <x:v>0</x:v>
      </x:c>
      <x:c r="AA62" s="83" t="str">
        <x:f>IF($B62="","",IF(OR($K62="",$N62=""),"",CEILING($W62+$X62+$Y62+$Z62,Ayarlar!$B$16)))</x:f>
      </x:c>
      <x:c r="AB62" s="83" t="str">
        <x:f>IFERROR($AA62/$H62,"")</x:f>
      </x:c>
      <x:c r="AC62" s="75" t="str">
        <x:f>IF($B62="","",IF(OR($K62="",$N62=""),"Veri Eksik","Fiyat Hazır"))</x:f>
      </x:c>
      <x:c r="AD62" s="75" t="str">
        <x:f>IF($C62&lt;&gt;"","MW-"&amp;$C62,"")</x:f>
        <x:v>MW-80</x:v>
      </x:c>
      <x:c r="AE62" s="75" t="str">
        <x:f>IF($G62&lt;&gt;"","3D Baskı / "&amp;$G62,"3D Baskı")</x:f>
        <x:v>3D Baskı</x:v>
      </x:c>
      <x:c r="AF62" s="75" t="str">
        <x:f>IF($D62&lt;&gt;"",$D62&amp;" - "&amp;$G62,$AD62&amp;" - "&amp;$G62)</x:f>
        <x:v>MW-80 - </x:v>
      </x:c>
      <x:c r="AG62" s="75" t="str"/>
    </x:row>
    <x:row r="63">
      <x:c r="A63" s="75" t="str">
        <x:f>IF($B63&lt;&gt;"",ROW()-4,"")</x:f>
      </x:c>
      <x:c r="B63" s="75" t="str"/>
      <x:c r="C63" s="75" t="n">
        <x:f>IFERROR(LET(x,MID($B63,FIND("/models/",$B63)+8,80),y,LEFT(x,FIND("-",x&amp;"-")-1),LEFT(y,FIND("?",y&amp;"?")-1)),"")</x:f>
        <x:v>80</x:v>
      </x:c>
      <x:c r="D63" s="75" t="str">
        <x:f>IF($B63="","",IFERROR(XLOOKUP($C63,MakerWorld_Verileri!$A:$A,MakerWorld_Verileri!$B:$B,""),""))</x:f>
      </x:c>
      <x:c r="E63" s="75" t="str">
        <x:f>IF($B63="","",IFERROR(XLOOKUP($C63,MakerWorld_Verileri!$A:$A,MakerWorld_Verileri!$C:$C,""),""))</x:f>
      </x:c>
      <x:c r="F63" s="75" t="str"/>
      <x:c r="G63" s="75" t="str">
        <x:f>IF($B63&lt;&gt;"",Ayarlar!$B$7,"")</x:f>
      </x:c>
      <x:c r="H63" s="82" t="str">
        <x:f>IF($B63&lt;&gt;"",1,"")</x:f>
      </x:c>
      <x:c r="I63" s="82" t="str">
        <x:f>IF($B63="","",IFERROR(XLOOKUP($C63,MakerWorld_Verileri!$A:$A,MakerWorld_Verileri!$D:$D,""),""))</x:f>
      </x:c>
      <x:c r="J63" s="82" t="str"/>
      <x:c r="K63" s="82" t="str">
        <x:f>IF($I63&lt;&gt;"",$I63,$J63)</x:f>
      </x:c>
      <x:c r="L63" s="82" t="str">
        <x:f>IF($B63="","",IFERROR(XLOOKUP($C63,MakerWorld_Verileri!$A:$A,MakerWorld_Verileri!$E:$E,""),""))</x:f>
      </x:c>
      <x:c r="M63" s="82" t="str"/>
      <x:c r="N63" s="82" t="str">
        <x:f>IF($L63&lt;&gt;"",$L63,$M63)</x:f>
      </x:c>
      <x:c r="O63" s="82" t="str">
        <x:f>IF($B63&lt;&gt;"",0,"")</x:f>
      </x:c>
      <x:c r="P63" s="75" t="str">
        <x:f>IF($B63&lt;&gt;"","Orta","")</x:f>
      </x:c>
      <x:c r="Q63" s="82" t="str">
        <x:f>IF($B63&lt;&gt;"",10,"")</x:f>
      </x:c>
      <x:c r="R63" s="83" t="str">
        <x:f>IF($B63&lt;&gt;"",Ayarlar!$B$10,"")</x:f>
      </x:c>
      <x:c r="S63" s="83" t="str">
        <x:f>IF($B63&lt;&gt;"",0,"")</x:f>
      </x:c>
      <x:c r="T63" s="83" t="n">
        <x:f>IFERROR(($K63+$O63)*XLOOKUP($G63,Ayarlar!$A$19:$A$28,Ayarlar!$C$19:$C$28,0)*(1+Ayarlar!$B$11),0)</x:f>
        <x:v>0</x:v>
      </x:c>
      <x:c r="U63" s="83" t="n">
        <x:f>IFERROR($N63/60*Ayarlar!$B$8,0)</x:f>
        <x:v>0</x:v>
      </x:c>
      <x:c r="V63" s="83" t="n">
        <x:f>IF($B63&lt;&gt;"",Ayarlar!$B$12+($Q63/60*Ayarlar!$B$9),0)</x:f>
        <x:v>0</x:v>
      </x:c>
      <x:c r="W63" s="83" t="n">
        <x:f>IF($B63&lt;&gt;"",SUM($T63:$V63,$R63:$S63),0)</x:f>
        <x:v>0</x:v>
      </x:c>
      <x:c r="X63" s="83" t="n">
        <x:f>IF($B63&lt;&gt;"",$W63*Ayarlar!$B$15,0)</x:f>
        <x:v>0</x:v>
      </x:c>
      <x:c r="Y63" s="83" t="n">
        <x:f>IF($B63&lt;&gt;"",($W63+$X63)*Ayarlar!$B$13,0)</x:f>
        <x:v>0</x:v>
      </x:c>
      <x:c r="Z63" s="83" t="n">
        <x:f>IF($B63&lt;&gt;"",($W63+$X63+$Y63)*Ayarlar!$B$14,0)</x:f>
        <x:v>0</x:v>
      </x:c>
      <x:c r="AA63" s="83" t="str">
        <x:f>IF($B63="","",IF(OR($K63="",$N63=""),"",CEILING($W63+$X63+$Y63+$Z63,Ayarlar!$B$16)))</x:f>
      </x:c>
      <x:c r="AB63" s="83" t="str">
        <x:f>IFERROR($AA63/$H63,"")</x:f>
      </x:c>
      <x:c r="AC63" s="75" t="str">
        <x:f>IF($B63="","",IF(OR($K63="",$N63=""),"Veri Eksik","Fiyat Hazır"))</x:f>
      </x:c>
      <x:c r="AD63" s="75" t="str">
        <x:f>IF($C63&lt;&gt;"","MW-"&amp;$C63,"")</x:f>
        <x:v>MW-80</x:v>
      </x:c>
      <x:c r="AE63" s="75" t="str">
        <x:f>IF($G63&lt;&gt;"","3D Baskı / "&amp;$G63,"3D Baskı")</x:f>
        <x:v>3D Baskı</x:v>
      </x:c>
      <x:c r="AF63" s="75" t="str">
        <x:f>IF($D63&lt;&gt;"",$D63&amp;" - "&amp;$G63,$AD63&amp;" - "&amp;$G63)</x:f>
        <x:v>MW-80 - </x:v>
      </x:c>
      <x:c r="AG63" s="75" t="str"/>
    </x:row>
    <x:row r="64">
      <x:c r="A64" s="75" t="str">
        <x:f>IF($B64&lt;&gt;"",ROW()-4,"")</x:f>
      </x:c>
      <x:c r="B64" s="75" t="str"/>
      <x:c r="C64" s="75" t="n">
        <x:f>IFERROR(LET(x,MID($B64,FIND("/models/",$B64)+8,80),y,LEFT(x,FIND("-",x&amp;"-")-1),LEFT(y,FIND("?",y&amp;"?")-1)),"")</x:f>
        <x:v>80</x:v>
      </x:c>
      <x:c r="D64" s="75" t="str">
        <x:f>IF($B64="","",IFERROR(XLOOKUP($C64,MakerWorld_Verileri!$A:$A,MakerWorld_Verileri!$B:$B,""),""))</x:f>
      </x:c>
      <x:c r="E64" s="75" t="str">
        <x:f>IF($B64="","",IFERROR(XLOOKUP($C64,MakerWorld_Verileri!$A:$A,MakerWorld_Verileri!$C:$C,""),""))</x:f>
      </x:c>
      <x:c r="F64" s="75" t="str"/>
      <x:c r="G64" s="75" t="str">
        <x:f>IF($B64&lt;&gt;"",Ayarlar!$B$7,"")</x:f>
      </x:c>
      <x:c r="H64" s="82" t="str">
        <x:f>IF($B64&lt;&gt;"",1,"")</x:f>
      </x:c>
      <x:c r="I64" s="82" t="str">
        <x:f>IF($B64="","",IFERROR(XLOOKUP($C64,MakerWorld_Verileri!$A:$A,MakerWorld_Verileri!$D:$D,""),""))</x:f>
      </x:c>
      <x:c r="J64" s="82" t="str"/>
      <x:c r="K64" s="82" t="str">
        <x:f>IF($I64&lt;&gt;"",$I64,$J64)</x:f>
      </x:c>
      <x:c r="L64" s="82" t="str">
        <x:f>IF($B64="","",IFERROR(XLOOKUP($C64,MakerWorld_Verileri!$A:$A,MakerWorld_Verileri!$E:$E,""),""))</x:f>
      </x:c>
      <x:c r="M64" s="82" t="str"/>
      <x:c r="N64" s="82" t="str">
        <x:f>IF($L64&lt;&gt;"",$L64,$M64)</x:f>
      </x:c>
      <x:c r="O64" s="82" t="str">
        <x:f>IF($B64&lt;&gt;"",0,"")</x:f>
      </x:c>
      <x:c r="P64" s="75" t="str">
        <x:f>IF($B64&lt;&gt;"","Orta","")</x:f>
      </x:c>
      <x:c r="Q64" s="82" t="str">
        <x:f>IF($B64&lt;&gt;"",10,"")</x:f>
      </x:c>
      <x:c r="R64" s="83" t="str">
        <x:f>IF($B64&lt;&gt;"",Ayarlar!$B$10,"")</x:f>
      </x:c>
      <x:c r="S64" s="83" t="str">
        <x:f>IF($B64&lt;&gt;"",0,"")</x:f>
      </x:c>
      <x:c r="T64" s="83" t="n">
        <x:f>IFERROR(($K64+$O64)*XLOOKUP($G64,Ayarlar!$A$19:$A$28,Ayarlar!$C$19:$C$28,0)*(1+Ayarlar!$B$11),0)</x:f>
        <x:v>0</x:v>
      </x:c>
      <x:c r="U64" s="83" t="n">
        <x:f>IFERROR($N64/60*Ayarlar!$B$8,0)</x:f>
        <x:v>0</x:v>
      </x:c>
      <x:c r="V64" s="83" t="n">
        <x:f>IF($B64&lt;&gt;"",Ayarlar!$B$12+($Q64/60*Ayarlar!$B$9),0)</x:f>
        <x:v>0</x:v>
      </x:c>
      <x:c r="W64" s="83" t="n">
        <x:f>IF($B64&lt;&gt;"",SUM($T64:$V64,$R64:$S64),0)</x:f>
        <x:v>0</x:v>
      </x:c>
      <x:c r="X64" s="83" t="n">
        <x:f>IF($B64&lt;&gt;"",$W64*Ayarlar!$B$15,0)</x:f>
        <x:v>0</x:v>
      </x:c>
      <x:c r="Y64" s="83" t="n">
        <x:f>IF($B64&lt;&gt;"",($W64+$X64)*Ayarlar!$B$13,0)</x:f>
        <x:v>0</x:v>
      </x:c>
      <x:c r="Z64" s="83" t="n">
        <x:f>IF($B64&lt;&gt;"",($W64+$X64+$Y64)*Ayarlar!$B$14,0)</x:f>
        <x:v>0</x:v>
      </x:c>
      <x:c r="AA64" s="83" t="str">
        <x:f>IF($B64="","",IF(OR($K64="",$N64=""),"",CEILING($W64+$X64+$Y64+$Z64,Ayarlar!$B$16)))</x:f>
      </x:c>
      <x:c r="AB64" s="83" t="str">
        <x:f>IFERROR($AA64/$H64,"")</x:f>
      </x:c>
      <x:c r="AC64" s="75" t="str">
        <x:f>IF($B64="","",IF(OR($K64="",$N64=""),"Veri Eksik","Fiyat Hazır"))</x:f>
      </x:c>
      <x:c r="AD64" s="75" t="str">
        <x:f>IF($C64&lt;&gt;"","MW-"&amp;$C64,"")</x:f>
        <x:v>MW-80</x:v>
      </x:c>
      <x:c r="AE64" s="75" t="str">
        <x:f>IF($G64&lt;&gt;"","3D Baskı / "&amp;$G64,"3D Baskı")</x:f>
        <x:v>3D Baskı</x:v>
      </x:c>
      <x:c r="AF64" s="75" t="str">
        <x:f>IF($D64&lt;&gt;"",$D64&amp;" - "&amp;$G64,$AD64&amp;" - "&amp;$G64)</x:f>
        <x:v>MW-80 - </x:v>
      </x:c>
      <x:c r="AG64" s="75" t="str"/>
    </x:row>
    <x:row r="65">
      <x:c r="A65" s="75" t="str">
        <x:f>IF($B65&lt;&gt;"",ROW()-4,"")</x:f>
      </x:c>
      <x:c r="B65" s="75" t="str"/>
      <x:c r="C65" s="75" t="n">
        <x:f>IFERROR(LET(x,MID($B65,FIND("/models/",$B65)+8,80),y,LEFT(x,FIND("-",x&amp;"-")-1),LEFT(y,FIND("?",y&amp;"?")-1)),"")</x:f>
        <x:v>80</x:v>
      </x:c>
      <x:c r="D65" s="75" t="str">
        <x:f>IF($B65="","",IFERROR(XLOOKUP($C65,MakerWorld_Verileri!$A:$A,MakerWorld_Verileri!$B:$B,""),""))</x:f>
      </x:c>
      <x:c r="E65" s="75" t="str">
        <x:f>IF($B65="","",IFERROR(XLOOKUP($C65,MakerWorld_Verileri!$A:$A,MakerWorld_Verileri!$C:$C,""),""))</x:f>
      </x:c>
      <x:c r="F65" s="75" t="str"/>
      <x:c r="G65" s="75" t="str">
        <x:f>IF($B65&lt;&gt;"",Ayarlar!$B$7,"")</x:f>
      </x:c>
      <x:c r="H65" s="82" t="str">
        <x:f>IF($B65&lt;&gt;"",1,"")</x:f>
      </x:c>
      <x:c r="I65" s="82" t="str">
        <x:f>IF($B65="","",IFERROR(XLOOKUP($C65,MakerWorld_Verileri!$A:$A,MakerWorld_Verileri!$D:$D,""),""))</x:f>
      </x:c>
      <x:c r="J65" s="82" t="str"/>
      <x:c r="K65" s="82" t="str">
        <x:f>IF($I65&lt;&gt;"",$I65,$J65)</x:f>
      </x:c>
      <x:c r="L65" s="82" t="str">
        <x:f>IF($B65="","",IFERROR(XLOOKUP($C65,MakerWorld_Verileri!$A:$A,MakerWorld_Verileri!$E:$E,""),""))</x:f>
      </x:c>
      <x:c r="M65" s="82" t="str"/>
      <x:c r="N65" s="82" t="str">
        <x:f>IF($L65&lt;&gt;"",$L65,$M65)</x:f>
      </x:c>
      <x:c r="O65" s="82" t="str">
        <x:f>IF($B65&lt;&gt;"",0,"")</x:f>
      </x:c>
      <x:c r="P65" s="75" t="str">
        <x:f>IF($B65&lt;&gt;"","Orta","")</x:f>
      </x:c>
      <x:c r="Q65" s="82" t="str">
        <x:f>IF($B65&lt;&gt;"",10,"")</x:f>
      </x:c>
      <x:c r="R65" s="83" t="str">
        <x:f>IF($B65&lt;&gt;"",Ayarlar!$B$10,"")</x:f>
      </x:c>
      <x:c r="S65" s="83" t="str">
        <x:f>IF($B65&lt;&gt;"",0,"")</x:f>
      </x:c>
      <x:c r="T65" s="83" t="n">
        <x:f>IFERROR(($K65+$O65)*XLOOKUP($G65,Ayarlar!$A$19:$A$28,Ayarlar!$C$19:$C$28,0)*(1+Ayarlar!$B$11),0)</x:f>
        <x:v>0</x:v>
      </x:c>
      <x:c r="U65" s="83" t="n">
        <x:f>IFERROR($N65/60*Ayarlar!$B$8,0)</x:f>
        <x:v>0</x:v>
      </x:c>
      <x:c r="V65" s="83" t="n">
        <x:f>IF($B65&lt;&gt;"",Ayarlar!$B$12+($Q65/60*Ayarlar!$B$9),0)</x:f>
        <x:v>0</x:v>
      </x:c>
      <x:c r="W65" s="83" t="n">
        <x:f>IF($B65&lt;&gt;"",SUM($T65:$V65,$R65:$S65),0)</x:f>
        <x:v>0</x:v>
      </x:c>
      <x:c r="X65" s="83" t="n">
        <x:f>IF($B65&lt;&gt;"",$W65*Ayarlar!$B$15,0)</x:f>
        <x:v>0</x:v>
      </x:c>
      <x:c r="Y65" s="83" t="n">
        <x:f>IF($B65&lt;&gt;"",($W65+$X65)*Ayarlar!$B$13,0)</x:f>
        <x:v>0</x:v>
      </x:c>
      <x:c r="Z65" s="83" t="n">
        <x:f>IF($B65&lt;&gt;"",($W65+$X65+$Y65)*Ayarlar!$B$14,0)</x:f>
        <x:v>0</x:v>
      </x:c>
      <x:c r="AA65" s="83" t="str">
        <x:f>IF($B65="","",IF(OR($K65="",$N65=""),"",CEILING($W65+$X65+$Y65+$Z65,Ayarlar!$B$16)))</x:f>
      </x:c>
      <x:c r="AB65" s="83" t="str">
        <x:f>IFERROR($AA65/$H65,"")</x:f>
      </x:c>
      <x:c r="AC65" s="75" t="str">
        <x:f>IF($B65="","",IF(OR($K65="",$N65=""),"Veri Eksik","Fiyat Hazır"))</x:f>
      </x:c>
      <x:c r="AD65" s="75" t="str">
        <x:f>IF($C65&lt;&gt;"","MW-"&amp;$C65,"")</x:f>
        <x:v>MW-80</x:v>
      </x:c>
      <x:c r="AE65" s="75" t="str">
        <x:f>IF($G65&lt;&gt;"","3D Baskı / "&amp;$G65,"3D Baskı")</x:f>
        <x:v>3D Baskı</x:v>
      </x:c>
      <x:c r="AF65" s="75" t="str">
        <x:f>IF($D65&lt;&gt;"",$D65&amp;" - "&amp;$G65,$AD65&amp;" - "&amp;$G65)</x:f>
        <x:v>MW-80 - </x:v>
      </x:c>
      <x:c r="AG65" s="75" t="str"/>
    </x:row>
    <x:row r="66">
      <x:c r="A66" s="75" t="str">
        <x:f>IF($B66&lt;&gt;"",ROW()-4,"")</x:f>
      </x:c>
      <x:c r="B66" s="75" t="str"/>
      <x:c r="C66" s="75" t="n">
        <x:f>IFERROR(LET(x,MID($B66,FIND("/models/",$B66)+8,80),y,LEFT(x,FIND("-",x&amp;"-")-1),LEFT(y,FIND("?",y&amp;"?")-1)),"")</x:f>
        <x:v>80</x:v>
      </x:c>
      <x:c r="D66" s="75" t="str">
        <x:f>IF($B66="","",IFERROR(XLOOKUP($C66,MakerWorld_Verileri!$A:$A,MakerWorld_Verileri!$B:$B,""),""))</x:f>
      </x:c>
      <x:c r="E66" s="75" t="str">
        <x:f>IF($B66="","",IFERROR(XLOOKUP($C66,MakerWorld_Verileri!$A:$A,MakerWorld_Verileri!$C:$C,""),""))</x:f>
      </x:c>
      <x:c r="F66" s="75" t="str"/>
      <x:c r="G66" s="75" t="str">
        <x:f>IF($B66&lt;&gt;"",Ayarlar!$B$7,"")</x:f>
      </x:c>
      <x:c r="H66" s="82" t="str">
        <x:f>IF($B66&lt;&gt;"",1,"")</x:f>
      </x:c>
      <x:c r="I66" s="82" t="str">
        <x:f>IF($B66="","",IFERROR(XLOOKUP($C66,MakerWorld_Verileri!$A:$A,MakerWorld_Verileri!$D:$D,""),""))</x:f>
      </x:c>
      <x:c r="J66" s="82" t="str"/>
      <x:c r="K66" s="82" t="str">
        <x:f>IF($I66&lt;&gt;"",$I66,$J66)</x:f>
      </x:c>
      <x:c r="L66" s="82" t="str">
        <x:f>IF($B66="","",IFERROR(XLOOKUP($C66,MakerWorld_Verileri!$A:$A,MakerWorld_Verileri!$E:$E,""),""))</x:f>
      </x:c>
      <x:c r="M66" s="82" t="str"/>
      <x:c r="N66" s="82" t="str">
        <x:f>IF($L66&lt;&gt;"",$L66,$M66)</x:f>
      </x:c>
      <x:c r="O66" s="82" t="str">
        <x:f>IF($B66&lt;&gt;"",0,"")</x:f>
      </x:c>
      <x:c r="P66" s="75" t="str">
        <x:f>IF($B66&lt;&gt;"","Orta","")</x:f>
      </x:c>
      <x:c r="Q66" s="82" t="str">
        <x:f>IF($B66&lt;&gt;"",10,"")</x:f>
      </x:c>
      <x:c r="R66" s="83" t="str">
        <x:f>IF($B66&lt;&gt;"",Ayarlar!$B$10,"")</x:f>
      </x:c>
      <x:c r="S66" s="83" t="str">
        <x:f>IF($B66&lt;&gt;"",0,"")</x:f>
      </x:c>
      <x:c r="T66" s="83" t="n">
        <x:f>IFERROR(($K66+$O66)*XLOOKUP($G66,Ayarlar!$A$19:$A$28,Ayarlar!$C$19:$C$28,0)*(1+Ayarlar!$B$11),0)</x:f>
        <x:v>0</x:v>
      </x:c>
      <x:c r="U66" s="83" t="n">
        <x:f>IFERROR($N66/60*Ayarlar!$B$8,0)</x:f>
        <x:v>0</x:v>
      </x:c>
      <x:c r="V66" s="83" t="n">
        <x:f>IF($B66&lt;&gt;"",Ayarlar!$B$12+($Q66/60*Ayarlar!$B$9),0)</x:f>
        <x:v>0</x:v>
      </x:c>
      <x:c r="W66" s="83" t="n">
        <x:f>IF($B66&lt;&gt;"",SUM($T66:$V66,$R66:$S66),0)</x:f>
        <x:v>0</x:v>
      </x:c>
      <x:c r="X66" s="83" t="n">
        <x:f>IF($B66&lt;&gt;"",$W66*Ayarlar!$B$15,0)</x:f>
        <x:v>0</x:v>
      </x:c>
      <x:c r="Y66" s="83" t="n">
        <x:f>IF($B66&lt;&gt;"",($W66+$X66)*Ayarlar!$B$13,0)</x:f>
        <x:v>0</x:v>
      </x:c>
      <x:c r="Z66" s="83" t="n">
        <x:f>IF($B66&lt;&gt;"",($W66+$X66+$Y66)*Ayarlar!$B$14,0)</x:f>
        <x:v>0</x:v>
      </x:c>
      <x:c r="AA66" s="83" t="str">
        <x:f>IF($B66="","",IF(OR($K66="",$N66=""),"",CEILING($W66+$X66+$Y66+$Z66,Ayarlar!$B$16)))</x:f>
      </x:c>
      <x:c r="AB66" s="83" t="str">
        <x:f>IFERROR($AA66/$H66,"")</x:f>
      </x:c>
      <x:c r="AC66" s="75" t="str">
        <x:f>IF($B66="","",IF(OR($K66="",$N66=""),"Veri Eksik","Fiyat Hazır"))</x:f>
      </x:c>
      <x:c r="AD66" s="75" t="str">
        <x:f>IF($C66&lt;&gt;"","MW-"&amp;$C66,"")</x:f>
        <x:v>MW-80</x:v>
      </x:c>
      <x:c r="AE66" s="75" t="str">
        <x:f>IF($G66&lt;&gt;"","3D Baskı / "&amp;$G66,"3D Baskı")</x:f>
        <x:v>3D Baskı</x:v>
      </x:c>
      <x:c r="AF66" s="75" t="str">
        <x:f>IF($D66&lt;&gt;"",$D66&amp;" - "&amp;$G66,$AD66&amp;" - "&amp;$G66)</x:f>
        <x:v>MW-80 - </x:v>
      </x:c>
      <x:c r="AG66" s="75" t="str"/>
    </x:row>
    <x:row r="67">
      <x:c r="A67" s="75" t="str">
        <x:f>IF($B67&lt;&gt;"",ROW()-4,"")</x:f>
      </x:c>
      <x:c r="B67" s="75" t="str"/>
      <x:c r="C67" s="75" t="n">
        <x:f>IFERROR(LET(x,MID($B67,FIND("/models/",$B67)+8,80),y,LEFT(x,FIND("-",x&amp;"-")-1),LEFT(y,FIND("?",y&amp;"?")-1)),"")</x:f>
        <x:v>80</x:v>
      </x:c>
      <x:c r="D67" s="75" t="str">
        <x:f>IF($B67="","",IFERROR(XLOOKUP($C67,MakerWorld_Verileri!$A:$A,MakerWorld_Verileri!$B:$B,""),""))</x:f>
      </x:c>
      <x:c r="E67" s="75" t="str">
        <x:f>IF($B67="","",IFERROR(XLOOKUP($C67,MakerWorld_Verileri!$A:$A,MakerWorld_Verileri!$C:$C,""),""))</x:f>
      </x:c>
      <x:c r="F67" s="75" t="str"/>
      <x:c r="G67" s="75" t="str">
        <x:f>IF($B67&lt;&gt;"",Ayarlar!$B$7,"")</x:f>
      </x:c>
      <x:c r="H67" s="82" t="str">
        <x:f>IF($B67&lt;&gt;"",1,"")</x:f>
      </x:c>
      <x:c r="I67" s="82" t="str">
        <x:f>IF($B67="","",IFERROR(XLOOKUP($C67,MakerWorld_Verileri!$A:$A,MakerWorld_Verileri!$D:$D,""),""))</x:f>
      </x:c>
      <x:c r="J67" s="82" t="str"/>
      <x:c r="K67" s="82" t="str">
        <x:f>IF($I67&lt;&gt;"",$I67,$J67)</x:f>
      </x:c>
      <x:c r="L67" s="82" t="str">
        <x:f>IF($B67="","",IFERROR(XLOOKUP($C67,MakerWorld_Verileri!$A:$A,MakerWorld_Verileri!$E:$E,""),""))</x:f>
      </x:c>
      <x:c r="M67" s="82" t="str"/>
      <x:c r="N67" s="82" t="str">
        <x:f>IF($L67&lt;&gt;"",$L67,$M67)</x:f>
      </x:c>
      <x:c r="O67" s="82" t="str">
        <x:f>IF($B67&lt;&gt;"",0,"")</x:f>
      </x:c>
      <x:c r="P67" s="75" t="str">
        <x:f>IF($B67&lt;&gt;"","Orta","")</x:f>
      </x:c>
      <x:c r="Q67" s="82" t="str">
        <x:f>IF($B67&lt;&gt;"",10,"")</x:f>
      </x:c>
      <x:c r="R67" s="83" t="str">
        <x:f>IF($B67&lt;&gt;"",Ayarlar!$B$10,"")</x:f>
      </x:c>
      <x:c r="S67" s="83" t="str">
        <x:f>IF($B67&lt;&gt;"",0,"")</x:f>
      </x:c>
      <x:c r="T67" s="83" t="n">
        <x:f>IFERROR(($K67+$O67)*XLOOKUP($G67,Ayarlar!$A$19:$A$28,Ayarlar!$C$19:$C$28,0)*(1+Ayarlar!$B$11),0)</x:f>
        <x:v>0</x:v>
      </x:c>
      <x:c r="U67" s="83" t="n">
        <x:f>IFERROR($N67/60*Ayarlar!$B$8,0)</x:f>
        <x:v>0</x:v>
      </x:c>
      <x:c r="V67" s="83" t="n">
        <x:f>IF($B67&lt;&gt;"",Ayarlar!$B$12+($Q67/60*Ayarlar!$B$9),0)</x:f>
        <x:v>0</x:v>
      </x:c>
      <x:c r="W67" s="83" t="n">
        <x:f>IF($B67&lt;&gt;"",SUM($T67:$V67,$R67:$S67),0)</x:f>
        <x:v>0</x:v>
      </x:c>
      <x:c r="X67" s="83" t="n">
        <x:f>IF($B67&lt;&gt;"",$W67*Ayarlar!$B$15,0)</x:f>
        <x:v>0</x:v>
      </x:c>
      <x:c r="Y67" s="83" t="n">
        <x:f>IF($B67&lt;&gt;"",($W67+$X67)*Ayarlar!$B$13,0)</x:f>
        <x:v>0</x:v>
      </x:c>
      <x:c r="Z67" s="83" t="n">
        <x:f>IF($B67&lt;&gt;"",($W67+$X67+$Y67)*Ayarlar!$B$14,0)</x:f>
        <x:v>0</x:v>
      </x:c>
      <x:c r="AA67" s="83" t="str">
        <x:f>IF($B67="","",IF(OR($K67="",$N67=""),"",CEILING($W67+$X67+$Y67+$Z67,Ayarlar!$B$16)))</x:f>
      </x:c>
      <x:c r="AB67" s="83" t="str">
        <x:f>IFERROR($AA67/$H67,"")</x:f>
      </x:c>
      <x:c r="AC67" s="75" t="str">
        <x:f>IF($B67="","",IF(OR($K67="",$N67=""),"Veri Eksik","Fiyat Hazır"))</x:f>
      </x:c>
      <x:c r="AD67" s="75" t="str">
        <x:f>IF($C67&lt;&gt;"","MW-"&amp;$C67,"")</x:f>
        <x:v>MW-80</x:v>
      </x:c>
      <x:c r="AE67" s="75" t="str">
        <x:f>IF($G67&lt;&gt;"","3D Baskı / "&amp;$G67,"3D Baskı")</x:f>
        <x:v>3D Baskı</x:v>
      </x:c>
      <x:c r="AF67" s="75" t="str">
        <x:f>IF($D67&lt;&gt;"",$D67&amp;" - "&amp;$G67,$AD67&amp;" - "&amp;$G67)</x:f>
        <x:v>MW-80 - </x:v>
      </x:c>
      <x:c r="AG67" s="75" t="str"/>
    </x:row>
    <x:row r="68">
      <x:c r="A68" s="75" t="str">
        <x:f>IF($B68&lt;&gt;"",ROW()-4,"")</x:f>
      </x:c>
      <x:c r="B68" s="75" t="str"/>
      <x:c r="C68" s="75" t="n">
        <x:f>IFERROR(LET(x,MID($B68,FIND("/models/",$B68)+8,80),y,LEFT(x,FIND("-",x&amp;"-")-1),LEFT(y,FIND("?",y&amp;"?")-1)),"")</x:f>
        <x:v>80</x:v>
      </x:c>
      <x:c r="D68" s="75" t="str">
        <x:f>IF($B68="","",IFERROR(XLOOKUP($C68,MakerWorld_Verileri!$A:$A,MakerWorld_Verileri!$B:$B,""),""))</x:f>
      </x:c>
      <x:c r="E68" s="75" t="str">
        <x:f>IF($B68="","",IFERROR(XLOOKUP($C68,MakerWorld_Verileri!$A:$A,MakerWorld_Verileri!$C:$C,""),""))</x:f>
      </x:c>
      <x:c r="F68" s="75" t="str"/>
      <x:c r="G68" s="75" t="str">
        <x:f>IF($B68&lt;&gt;"",Ayarlar!$B$7,"")</x:f>
      </x:c>
      <x:c r="H68" s="82" t="str">
        <x:f>IF($B68&lt;&gt;"",1,"")</x:f>
      </x:c>
      <x:c r="I68" s="82" t="str">
        <x:f>IF($B68="","",IFERROR(XLOOKUP($C68,MakerWorld_Verileri!$A:$A,MakerWorld_Verileri!$D:$D,""),""))</x:f>
      </x:c>
      <x:c r="J68" s="82" t="str"/>
      <x:c r="K68" s="82" t="str">
        <x:f>IF($I68&lt;&gt;"",$I68,$J68)</x:f>
      </x:c>
      <x:c r="L68" s="82" t="str">
        <x:f>IF($B68="","",IFERROR(XLOOKUP($C68,MakerWorld_Verileri!$A:$A,MakerWorld_Verileri!$E:$E,""),""))</x:f>
      </x:c>
      <x:c r="M68" s="82" t="str"/>
      <x:c r="N68" s="82" t="str">
        <x:f>IF($L68&lt;&gt;"",$L68,$M68)</x:f>
      </x:c>
      <x:c r="O68" s="82" t="str">
        <x:f>IF($B68&lt;&gt;"",0,"")</x:f>
      </x:c>
      <x:c r="P68" s="75" t="str">
        <x:f>IF($B68&lt;&gt;"","Orta","")</x:f>
      </x:c>
      <x:c r="Q68" s="82" t="str">
        <x:f>IF($B68&lt;&gt;"",10,"")</x:f>
      </x:c>
      <x:c r="R68" s="83" t="str">
        <x:f>IF($B68&lt;&gt;"",Ayarlar!$B$10,"")</x:f>
      </x:c>
      <x:c r="S68" s="83" t="str">
        <x:f>IF($B68&lt;&gt;"",0,"")</x:f>
      </x:c>
      <x:c r="T68" s="83" t="n">
        <x:f>IFERROR(($K68+$O68)*XLOOKUP($G68,Ayarlar!$A$19:$A$28,Ayarlar!$C$19:$C$28,0)*(1+Ayarlar!$B$11),0)</x:f>
        <x:v>0</x:v>
      </x:c>
      <x:c r="U68" s="83" t="n">
        <x:f>IFERROR($N68/60*Ayarlar!$B$8,0)</x:f>
        <x:v>0</x:v>
      </x:c>
      <x:c r="V68" s="83" t="n">
        <x:f>IF($B68&lt;&gt;"",Ayarlar!$B$12+($Q68/60*Ayarlar!$B$9),0)</x:f>
        <x:v>0</x:v>
      </x:c>
      <x:c r="W68" s="83" t="n">
        <x:f>IF($B68&lt;&gt;"",SUM($T68:$V68,$R68:$S68),0)</x:f>
        <x:v>0</x:v>
      </x:c>
      <x:c r="X68" s="83" t="n">
        <x:f>IF($B68&lt;&gt;"",$W68*Ayarlar!$B$15,0)</x:f>
        <x:v>0</x:v>
      </x:c>
      <x:c r="Y68" s="83" t="n">
        <x:f>IF($B68&lt;&gt;"",($W68+$X68)*Ayarlar!$B$13,0)</x:f>
        <x:v>0</x:v>
      </x:c>
      <x:c r="Z68" s="83" t="n">
        <x:f>IF($B68&lt;&gt;"",($W68+$X68+$Y68)*Ayarlar!$B$14,0)</x:f>
        <x:v>0</x:v>
      </x:c>
      <x:c r="AA68" s="83" t="str">
        <x:f>IF($B68="","",IF(OR($K68="",$N68=""),"",CEILING($W68+$X68+$Y68+$Z68,Ayarlar!$B$16)))</x:f>
      </x:c>
      <x:c r="AB68" s="83" t="str">
        <x:f>IFERROR($AA68/$H68,"")</x:f>
      </x:c>
      <x:c r="AC68" s="75" t="str">
        <x:f>IF($B68="","",IF(OR($K68="",$N68=""),"Veri Eksik","Fiyat Hazır"))</x:f>
      </x:c>
      <x:c r="AD68" s="75" t="str">
        <x:f>IF($C68&lt;&gt;"","MW-"&amp;$C68,"")</x:f>
        <x:v>MW-80</x:v>
      </x:c>
      <x:c r="AE68" s="75" t="str">
        <x:f>IF($G68&lt;&gt;"","3D Baskı / "&amp;$G68,"3D Baskı")</x:f>
        <x:v>3D Baskı</x:v>
      </x:c>
      <x:c r="AF68" s="75" t="str">
        <x:f>IF($D68&lt;&gt;"",$D68&amp;" - "&amp;$G68,$AD68&amp;" - "&amp;$G68)</x:f>
        <x:v>MW-80 - </x:v>
      </x:c>
      <x:c r="AG68" s="75" t="str"/>
    </x:row>
    <x:row r="69">
      <x:c r="A69" s="75" t="str">
        <x:f>IF($B69&lt;&gt;"",ROW()-4,"")</x:f>
      </x:c>
      <x:c r="B69" s="75" t="str"/>
      <x:c r="C69" s="75" t="n">
        <x:f>IFERROR(LET(x,MID($B69,FIND("/models/",$B69)+8,80),y,LEFT(x,FIND("-",x&amp;"-")-1),LEFT(y,FIND("?",y&amp;"?")-1)),"")</x:f>
        <x:v>80</x:v>
      </x:c>
      <x:c r="D69" s="75" t="str">
        <x:f>IF($B69="","",IFERROR(XLOOKUP($C69,MakerWorld_Verileri!$A:$A,MakerWorld_Verileri!$B:$B,""),""))</x:f>
      </x:c>
      <x:c r="E69" s="75" t="str">
        <x:f>IF($B69="","",IFERROR(XLOOKUP($C69,MakerWorld_Verileri!$A:$A,MakerWorld_Verileri!$C:$C,""),""))</x:f>
      </x:c>
      <x:c r="F69" s="75" t="str"/>
      <x:c r="G69" s="75" t="str">
        <x:f>IF($B69&lt;&gt;"",Ayarlar!$B$7,"")</x:f>
      </x:c>
      <x:c r="H69" s="82" t="str">
        <x:f>IF($B69&lt;&gt;"",1,"")</x:f>
      </x:c>
      <x:c r="I69" s="82" t="str">
        <x:f>IF($B69="","",IFERROR(XLOOKUP($C69,MakerWorld_Verileri!$A:$A,MakerWorld_Verileri!$D:$D,""),""))</x:f>
      </x:c>
      <x:c r="J69" s="82" t="str"/>
      <x:c r="K69" s="82" t="str">
        <x:f>IF($I69&lt;&gt;"",$I69,$J69)</x:f>
      </x:c>
      <x:c r="L69" s="82" t="str">
        <x:f>IF($B69="","",IFERROR(XLOOKUP($C69,MakerWorld_Verileri!$A:$A,MakerWorld_Verileri!$E:$E,""),""))</x:f>
      </x:c>
      <x:c r="M69" s="82" t="str"/>
      <x:c r="N69" s="82" t="str">
        <x:f>IF($L69&lt;&gt;"",$L69,$M69)</x:f>
      </x:c>
      <x:c r="O69" s="82" t="str">
        <x:f>IF($B69&lt;&gt;"",0,"")</x:f>
      </x:c>
      <x:c r="P69" s="75" t="str">
        <x:f>IF($B69&lt;&gt;"","Orta","")</x:f>
      </x:c>
      <x:c r="Q69" s="82" t="str">
        <x:f>IF($B69&lt;&gt;"",10,"")</x:f>
      </x:c>
      <x:c r="R69" s="83" t="str">
        <x:f>IF($B69&lt;&gt;"",Ayarlar!$B$10,"")</x:f>
      </x:c>
      <x:c r="S69" s="83" t="str">
        <x:f>IF($B69&lt;&gt;"",0,"")</x:f>
      </x:c>
      <x:c r="T69" s="83" t="n">
        <x:f>IFERROR(($K69+$O69)*XLOOKUP($G69,Ayarlar!$A$19:$A$28,Ayarlar!$C$19:$C$28,0)*(1+Ayarlar!$B$11),0)</x:f>
        <x:v>0</x:v>
      </x:c>
      <x:c r="U69" s="83" t="n">
        <x:f>IFERROR($N69/60*Ayarlar!$B$8,0)</x:f>
        <x:v>0</x:v>
      </x:c>
      <x:c r="V69" s="83" t="n">
        <x:f>IF($B69&lt;&gt;"",Ayarlar!$B$12+($Q69/60*Ayarlar!$B$9),0)</x:f>
        <x:v>0</x:v>
      </x:c>
      <x:c r="W69" s="83" t="n">
        <x:f>IF($B69&lt;&gt;"",SUM($T69:$V69,$R69:$S69),0)</x:f>
        <x:v>0</x:v>
      </x:c>
      <x:c r="X69" s="83" t="n">
        <x:f>IF($B69&lt;&gt;"",$W69*Ayarlar!$B$15,0)</x:f>
        <x:v>0</x:v>
      </x:c>
      <x:c r="Y69" s="83" t="n">
        <x:f>IF($B69&lt;&gt;"",($W69+$X69)*Ayarlar!$B$13,0)</x:f>
        <x:v>0</x:v>
      </x:c>
      <x:c r="Z69" s="83" t="n">
        <x:f>IF($B69&lt;&gt;"",($W69+$X69+$Y69)*Ayarlar!$B$14,0)</x:f>
        <x:v>0</x:v>
      </x:c>
      <x:c r="AA69" s="83" t="str">
        <x:f>IF($B69="","",IF(OR($K69="",$N69=""),"",CEILING($W69+$X69+$Y69+$Z69,Ayarlar!$B$16)))</x:f>
      </x:c>
      <x:c r="AB69" s="83" t="str">
        <x:f>IFERROR($AA69/$H69,"")</x:f>
      </x:c>
      <x:c r="AC69" s="75" t="str">
        <x:f>IF($B69="","",IF(OR($K69="",$N69=""),"Veri Eksik","Fiyat Hazır"))</x:f>
      </x:c>
      <x:c r="AD69" s="75" t="str">
        <x:f>IF($C69&lt;&gt;"","MW-"&amp;$C69,"")</x:f>
        <x:v>MW-80</x:v>
      </x:c>
      <x:c r="AE69" s="75" t="str">
        <x:f>IF($G69&lt;&gt;"","3D Baskı / "&amp;$G69,"3D Baskı")</x:f>
        <x:v>3D Baskı</x:v>
      </x:c>
      <x:c r="AF69" s="75" t="str">
        <x:f>IF($D69&lt;&gt;"",$D69&amp;" - "&amp;$G69,$AD69&amp;" - "&amp;$G69)</x:f>
        <x:v>MW-80 - </x:v>
      </x:c>
      <x:c r="AG69" s="75" t="str"/>
    </x:row>
    <x:row r="70">
      <x:c r="A70" s="75" t="str">
        <x:f>IF($B70&lt;&gt;"",ROW()-4,"")</x:f>
      </x:c>
      <x:c r="B70" s="75" t="str"/>
      <x:c r="C70" s="75" t="n">
        <x:f>IFERROR(LET(x,MID($B70,FIND("/models/",$B70)+8,80),y,LEFT(x,FIND("-",x&amp;"-")-1),LEFT(y,FIND("?",y&amp;"?")-1)),"")</x:f>
        <x:v>80</x:v>
      </x:c>
      <x:c r="D70" s="75" t="str">
        <x:f>IF($B70="","",IFERROR(XLOOKUP($C70,MakerWorld_Verileri!$A:$A,MakerWorld_Verileri!$B:$B,""),""))</x:f>
      </x:c>
      <x:c r="E70" s="75" t="str">
        <x:f>IF($B70="","",IFERROR(XLOOKUP($C70,MakerWorld_Verileri!$A:$A,MakerWorld_Verileri!$C:$C,""),""))</x:f>
      </x:c>
      <x:c r="F70" s="75" t="str"/>
      <x:c r="G70" s="75" t="str">
        <x:f>IF($B70&lt;&gt;"",Ayarlar!$B$7,"")</x:f>
      </x:c>
      <x:c r="H70" s="82" t="str">
        <x:f>IF($B70&lt;&gt;"",1,"")</x:f>
      </x:c>
      <x:c r="I70" s="82" t="str">
        <x:f>IF($B70="","",IFERROR(XLOOKUP($C70,MakerWorld_Verileri!$A:$A,MakerWorld_Verileri!$D:$D,""),""))</x:f>
      </x:c>
      <x:c r="J70" s="82" t="str"/>
      <x:c r="K70" s="82" t="str">
        <x:f>IF($I70&lt;&gt;"",$I70,$J70)</x:f>
      </x:c>
      <x:c r="L70" s="82" t="str">
        <x:f>IF($B70="","",IFERROR(XLOOKUP($C70,MakerWorld_Verileri!$A:$A,MakerWorld_Verileri!$E:$E,""),""))</x:f>
      </x:c>
      <x:c r="M70" s="82" t="str"/>
      <x:c r="N70" s="82" t="str">
        <x:f>IF($L70&lt;&gt;"",$L70,$M70)</x:f>
      </x:c>
      <x:c r="O70" s="82" t="str">
        <x:f>IF($B70&lt;&gt;"",0,"")</x:f>
      </x:c>
      <x:c r="P70" s="75" t="str">
        <x:f>IF($B70&lt;&gt;"","Orta","")</x:f>
      </x:c>
      <x:c r="Q70" s="82" t="str">
        <x:f>IF($B70&lt;&gt;"",10,"")</x:f>
      </x:c>
      <x:c r="R70" s="83" t="str">
        <x:f>IF($B70&lt;&gt;"",Ayarlar!$B$10,"")</x:f>
      </x:c>
      <x:c r="S70" s="83" t="str">
        <x:f>IF($B70&lt;&gt;"",0,"")</x:f>
      </x:c>
      <x:c r="T70" s="83" t="n">
        <x:f>IFERROR(($K70+$O70)*XLOOKUP($G70,Ayarlar!$A$19:$A$28,Ayarlar!$C$19:$C$28,0)*(1+Ayarlar!$B$11),0)</x:f>
        <x:v>0</x:v>
      </x:c>
      <x:c r="U70" s="83" t="n">
        <x:f>IFERROR($N70/60*Ayarlar!$B$8,0)</x:f>
        <x:v>0</x:v>
      </x:c>
      <x:c r="V70" s="83" t="n">
        <x:f>IF($B70&lt;&gt;"",Ayarlar!$B$12+($Q70/60*Ayarlar!$B$9),0)</x:f>
        <x:v>0</x:v>
      </x:c>
      <x:c r="W70" s="83" t="n">
        <x:f>IF($B70&lt;&gt;"",SUM($T70:$V70,$R70:$S70),0)</x:f>
        <x:v>0</x:v>
      </x:c>
      <x:c r="X70" s="83" t="n">
        <x:f>IF($B70&lt;&gt;"",$W70*Ayarlar!$B$15,0)</x:f>
        <x:v>0</x:v>
      </x:c>
      <x:c r="Y70" s="83" t="n">
        <x:f>IF($B70&lt;&gt;"",($W70+$X70)*Ayarlar!$B$13,0)</x:f>
        <x:v>0</x:v>
      </x:c>
      <x:c r="Z70" s="83" t="n">
        <x:f>IF($B70&lt;&gt;"",($W70+$X70+$Y70)*Ayarlar!$B$14,0)</x:f>
        <x:v>0</x:v>
      </x:c>
      <x:c r="AA70" s="83" t="str">
        <x:f>IF($B70="","",IF(OR($K70="",$N70=""),"",CEILING($W70+$X70+$Y70+$Z70,Ayarlar!$B$16)))</x:f>
      </x:c>
      <x:c r="AB70" s="83" t="str">
        <x:f>IFERROR($AA70/$H70,"")</x:f>
      </x:c>
      <x:c r="AC70" s="75" t="str">
        <x:f>IF($B70="","",IF(OR($K70="",$N70=""),"Veri Eksik","Fiyat Hazır"))</x:f>
      </x:c>
      <x:c r="AD70" s="75" t="str">
        <x:f>IF($C70&lt;&gt;"","MW-"&amp;$C70,"")</x:f>
        <x:v>MW-80</x:v>
      </x:c>
      <x:c r="AE70" s="75" t="str">
        <x:f>IF($G70&lt;&gt;"","3D Baskı / "&amp;$G70,"3D Baskı")</x:f>
        <x:v>3D Baskı</x:v>
      </x:c>
      <x:c r="AF70" s="75" t="str">
        <x:f>IF($D70&lt;&gt;"",$D70&amp;" - "&amp;$G70,$AD70&amp;" - "&amp;$G70)</x:f>
        <x:v>MW-80 - </x:v>
      </x:c>
      <x:c r="AG70" s="75" t="str"/>
    </x:row>
    <x:row r="71">
      <x:c r="A71" s="75" t="str">
        <x:f>IF($B71&lt;&gt;"",ROW()-4,"")</x:f>
      </x:c>
      <x:c r="B71" s="75" t="str"/>
      <x:c r="C71" s="75" t="n">
        <x:f>IFERROR(LET(x,MID($B71,FIND("/models/",$B71)+8,80),y,LEFT(x,FIND("-",x&amp;"-")-1),LEFT(y,FIND("?",y&amp;"?")-1)),"")</x:f>
        <x:v>80</x:v>
      </x:c>
      <x:c r="D71" s="75" t="str">
        <x:f>IF($B71="","",IFERROR(XLOOKUP($C71,MakerWorld_Verileri!$A:$A,MakerWorld_Verileri!$B:$B,""),""))</x:f>
      </x:c>
      <x:c r="E71" s="75" t="str">
        <x:f>IF($B71="","",IFERROR(XLOOKUP($C71,MakerWorld_Verileri!$A:$A,MakerWorld_Verileri!$C:$C,""),""))</x:f>
      </x:c>
      <x:c r="F71" s="75" t="str"/>
      <x:c r="G71" s="75" t="str">
        <x:f>IF($B71&lt;&gt;"",Ayarlar!$B$7,"")</x:f>
      </x:c>
      <x:c r="H71" s="82" t="str">
        <x:f>IF($B71&lt;&gt;"",1,"")</x:f>
      </x:c>
      <x:c r="I71" s="82" t="str">
        <x:f>IF($B71="","",IFERROR(XLOOKUP($C71,MakerWorld_Verileri!$A:$A,MakerWorld_Verileri!$D:$D,""),""))</x:f>
      </x:c>
      <x:c r="J71" s="82" t="str"/>
      <x:c r="K71" s="82" t="str">
        <x:f>IF($I71&lt;&gt;"",$I71,$J71)</x:f>
      </x:c>
      <x:c r="L71" s="82" t="str">
        <x:f>IF($B71="","",IFERROR(XLOOKUP($C71,MakerWorld_Verileri!$A:$A,MakerWorld_Verileri!$E:$E,""),""))</x:f>
      </x:c>
      <x:c r="M71" s="82" t="str"/>
      <x:c r="N71" s="82" t="str">
        <x:f>IF($L71&lt;&gt;"",$L71,$M71)</x:f>
      </x:c>
      <x:c r="O71" s="82" t="str">
        <x:f>IF($B71&lt;&gt;"",0,"")</x:f>
      </x:c>
      <x:c r="P71" s="75" t="str">
        <x:f>IF($B71&lt;&gt;"","Orta","")</x:f>
      </x:c>
      <x:c r="Q71" s="82" t="str">
        <x:f>IF($B71&lt;&gt;"",10,"")</x:f>
      </x:c>
      <x:c r="R71" s="83" t="str">
        <x:f>IF($B71&lt;&gt;"",Ayarlar!$B$10,"")</x:f>
      </x:c>
      <x:c r="S71" s="83" t="str">
        <x:f>IF($B71&lt;&gt;"",0,"")</x:f>
      </x:c>
      <x:c r="T71" s="83" t="n">
        <x:f>IFERROR(($K71+$O71)*XLOOKUP($G71,Ayarlar!$A$19:$A$28,Ayarlar!$C$19:$C$28,0)*(1+Ayarlar!$B$11),0)</x:f>
        <x:v>0</x:v>
      </x:c>
      <x:c r="U71" s="83" t="n">
        <x:f>IFERROR($N71/60*Ayarlar!$B$8,0)</x:f>
        <x:v>0</x:v>
      </x:c>
      <x:c r="V71" s="83" t="n">
        <x:f>IF($B71&lt;&gt;"",Ayarlar!$B$12+($Q71/60*Ayarlar!$B$9),0)</x:f>
        <x:v>0</x:v>
      </x:c>
      <x:c r="W71" s="83" t="n">
        <x:f>IF($B71&lt;&gt;"",SUM($T71:$V71,$R71:$S71),0)</x:f>
        <x:v>0</x:v>
      </x:c>
      <x:c r="X71" s="83" t="n">
        <x:f>IF($B71&lt;&gt;"",$W71*Ayarlar!$B$15,0)</x:f>
        <x:v>0</x:v>
      </x:c>
      <x:c r="Y71" s="83" t="n">
        <x:f>IF($B71&lt;&gt;"",($W71+$X71)*Ayarlar!$B$13,0)</x:f>
        <x:v>0</x:v>
      </x:c>
      <x:c r="Z71" s="83" t="n">
        <x:f>IF($B71&lt;&gt;"",($W71+$X71+$Y71)*Ayarlar!$B$14,0)</x:f>
        <x:v>0</x:v>
      </x:c>
      <x:c r="AA71" s="83" t="str">
        <x:f>IF($B71="","",IF(OR($K71="",$N71=""),"",CEILING($W71+$X71+$Y71+$Z71,Ayarlar!$B$16)))</x:f>
      </x:c>
      <x:c r="AB71" s="83" t="str">
        <x:f>IFERROR($AA71/$H71,"")</x:f>
      </x:c>
      <x:c r="AC71" s="75" t="str">
        <x:f>IF($B71="","",IF(OR($K71="",$N71=""),"Veri Eksik","Fiyat Hazır"))</x:f>
      </x:c>
      <x:c r="AD71" s="75" t="str">
        <x:f>IF($C71&lt;&gt;"","MW-"&amp;$C71,"")</x:f>
        <x:v>MW-80</x:v>
      </x:c>
      <x:c r="AE71" s="75" t="str">
        <x:f>IF($G71&lt;&gt;"","3D Baskı / "&amp;$G71,"3D Baskı")</x:f>
        <x:v>3D Baskı</x:v>
      </x:c>
      <x:c r="AF71" s="75" t="str">
        <x:f>IF($D71&lt;&gt;"",$D71&amp;" - "&amp;$G71,$AD71&amp;" - "&amp;$G71)</x:f>
        <x:v>MW-80 - </x:v>
      </x:c>
      <x:c r="AG71" s="75" t="str"/>
    </x:row>
    <x:row r="72">
      <x:c r="A72" s="75" t="str">
        <x:f>IF($B72&lt;&gt;"",ROW()-4,"")</x:f>
      </x:c>
      <x:c r="B72" s="75" t="str"/>
      <x:c r="C72" s="75" t="n">
        <x:f>IFERROR(LET(x,MID($B72,FIND("/models/",$B72)+8,80),y,LEFT(x,FIND("-",x&amp;"-")-1),LEFT(y,FIND("?",y&amp;"?")-1)),"")</x:f>
        <x:v>80</x:v>
      </x:c>
      <x:c r="D72" s="75" t="str">
        <x:f>IF($B72="","",IFERROR(XLOOKUP($C72,MakerWorld_Verileri!$A:$A,MakerWorld_Verileri!$B:$B,""),""))</x:f>
      </x:c>
      <x:c r="E72" s="75" t="str">
        <x:f>IF($B72="","",IFERROR(XLOOKUP($C72,MakerWorld_Verileri!$A:$A,MakerWorld_Verileri!$C:$C,""),""))</x:f>
      </x:c>
      <x:c r="F72" s="75" t="str"/>
      <x:c r="G72" s="75" t="str">
        <x:f>IF($B72&lt;&gt;"",Ayarlar!$B$7,"")</x:f>
      </x:c>
      <x:c r="H72" s="82" t="str">
        <x:f>IF($B72&lt;&gt;"",1,"")</x:f>
      </x:c>
      <x:c r="I72" s="82" t="str">
        <x:f>IF($B72="","",IFERROR(XLOOKUP($C72,MakerWorld_Verileri!$A:$A,MakerWorld_Verileri!$D:$D,""),""))</x:f>
      </x:c>
      <x:c r="J72" s="82" t="str"/>
      <x:c r="K72" s="82" t="str">
        <x:f>IF($I72&lt;&gt;"",$I72,$J72)</x:f>
      </x:c>
      <x:c r="L72" s="82" t="str">
        <x:f>IF($B72="","",IFERROR(XLOOKUP($C72,MakerWorld_Verileri!$A:$A,MakerWorld_Verileri!$E:$E,""),""))</x:f>
      </x:c>
      <x:c r="M72" s="82" t="str"/>
      <x:c r="N72" s="82" t="str">
        <x:f>IF($L72&lt;&gt;"",$L72,$M72)</x:f>
      </x:c>
      <x:c r="O72" s="82" t="str">
        <x:f>IF($B72&lt;&gt;"",0,"")</x:f>
      </x:c>
      <x:c r="P72" s="75" t="str">
        <x:f>IF($B72&lt;&gt;"","Orta","")</x:f>
      </x:c>
      <x:c r="Q72" s="82" t="str">
        <x:f>IF($B72&lt;&gt;"",10,"")</x:f>
      </x:c>
      <x:c r="R72" s="83" t="str">
        <x:f>IF($B72&lt;&gt;"",Ayarlar!$B$10,"")</x:f>
      </x:c>
      <x:c r="S72" s="83" t="str">
        <x:f>IF($B72&lt;&gt;"",0,"")</x:f>
      </x:c>
      <x:c r="T72" s="83" t="n">
        <x:f>IFERROR(($K72+$O72)*XLOOKUP($G72,Ayarlar!$A$19:$A$28,Ayarlar!$C$19:$C$28,0)*(1+Ayarlar!$B$11),0)</x:f>
        <x:v>0</x:v>
      </x:c>
      <x:c r="U72" s="83" t="n">
        <x:f>IFERROR($N72/60*Ayarlar!$B$8,0)</x:f>
        <x:v>0</x:v>
      </x:c>
      <x:c r="V72" s="83" t="n">
        <x:f>IF($B72&lt;&gt;"",Ayarlar!$B$12+($Q72/60*Ayarlar!$B$9),0)</x:f>
        <x:v>0</x:v>
      </x:c>
      <x:c r="W72" s="83" t="n">
        <x:f>IF($B72&lt;&gt;"",SUM($T72:$V72,$R72:$S72),0)</x:f>
        <x:v>0</x:v>
      </x:c>
      <x:c r="X72" s="83" t="n">
        <x:f>IF($B72&lt;&gt;"",$W72*Ayarlar!$B$15,0)</x:f>
        <x:v>0</x:v>
      </x:c>
      <x:c r="Y72" s="83" t="n">
        <x:f>IF($B72&lt;&gt;"",($W72+$X72)*Ayarlar!$B$13,0)</x:f>
        <x:v>0</x:v>
      </x:c>
      <x:c r="Z72" s="83" t="n">
        <x:f>IF($B72&lt;&gt;"",($W72+$X72+$Y72)*Ayarlar!$B$14,0)</x:f>
        <x:v>0</x:v>
      </x:c>
      <x:c r="AA72" s="83" t="str">
        <x:f>IF($B72="","",IF(OR($K72="",$N72=""),"",CEILING($W72+$X72+$Y72+$Z72,Ayarlar!$B$16)))</x:f>
      </x:c>
      <x:c r="AB72" s="83" t="str">
        <x:f>IFERROR($AA72/$H72,"")</x:f>
      </x:c>
      <x:c r="AC72" s="75" t="str">
        <x:f>IF($B72="","",IF(OR($K72="",$N72=""),"Veri Eksik","Fiyat Hazır"))</x:f>
      </x:c>
      <x:c r="AD72" s="75" t="str">
        <x:f>IF($C72&lt;&gt;"","MW-"&amp;$C72,"")</x:f>
        <x:v>MW-80</x:v>
      </x:c>
      <x:c r="AE72" s="75" t="str">
        <x:f>IF($G72&lt;&gt;"","3D Baskı / "&amp;$G72,"3D Baskı")</x:f>
        <x:v>3D Baskı</x:v>
      </x:c>
      <x:c r="AF72" s="75" t="str">
        <x:f>IF($D72&lt;&gt;"",$D72&amp;" - "&amp;$G72,$AD72&amp;" - "&amp;$G72)</x:f>
        <x:v>MW-80 - </x:v>
      </x:c>
      <x:c r="AG72" s="75" t="str"/>
    </x:row>
    <x:row r="73">
      <x:c r="A73" s="75" t="str">
        <x:f>IF($B73&lt;&gt;"",ROW()-4,"")</x:f>
      </x:c>
      <x:c r="B73" s="75" t="str"/>
      <x:c r="C73" s="75" t="n">
        <x:f>IFERROR(LET(x,MID($B73,FIND("/models/",$B73)+8,80),y,LEFT(x,FIND("-",x&amp;"-")-1),LEFT(y,FIND("?",y&amp;"?")-1)),"")</x:f>
        <x:v>80</x:v>
      </x:c>
      <x:c r="D73" s="75" t="str">
        <x:f>IF($B73="","",IFERROR(XLOOKUP($C73,MakerWorld_Verileri!$A:$A,MakerWorld_Verileri!$B:$B,""),""))</x:f>
      </x:c>
      <x:c r="E73" s="75" t="str">
        <x:f>IF($B73="","",IFERROR(XLOOKUP($C73,MakerWorld_Verileri!$A:$A,MakerWorld_Verileri!$C:$C,""),""))</x:f>
      </x:c>
      <x:c r="F73" s="75" t="str"/>
      <x:c r="G73" s="75" t="str">
        <x:f>IF($B73&lt;&gt;"",Ayarlar!$B$7,"")</x:f>
      </x:c>
      <x:c r="H73" s="82" t="str">
        <x:f>IF($B73&lt;&gt;"",1,"")</x:f>
      </x:c>
      <x:c r="I73" s="82" t="str">
        <x:f>IF($B73="","",IFERROR(XLOOKUP($C73,MakerWorld_Verileri!$A:$A,MakerWorld_Verileri!$D:$D,""),""))</x:f>
      </x:c>
      <x:c r="J73" s="82" t="str"/>
      <x:c r="K73" s="82" t="str">
        <x:f>IF($I73&lt;&gt;"",$I73,$J73)</x:f>
      </x:c>
      <x:c r="L73" s="82" t="str">
        <x:f>IF($B73="","",IFERROR(XLOOKUP($C73,MakerWorld_Verileri!$A:$A,MakerWorld_Verileri!$E:$E,""),""))</x:f>
      </x:c>
      <x:c r="M73" s="82" t="str"/>
      <x:c r="N73" s="82" t="str">
        <x:f>IF($L73&lt;&gt;"",$L73,$M73)</x:f>
      </x:c>
      <x:c r="O73" s="82" t="str">
        <x:f>IF($B73&lt;&gt;"",0,"")</x:f>
      </x:c>
      <x:c r="P73" s="75" t="str">
        <x:f>IF($B73&lt;&gt;"","Orta","")</x:f>
      </x:c>
      <x:c r="Q73" s="82" t="str">
        <x:f>IF($B73&lt;&gt;"",10,"")</x:f>
      </x:c>
      <x:c r="R73" s="83" t="str">
        <x:f>IF($B73&lt;&gt;"",Ayarlar!$B$10,"")</x:f>
      </x:c>
      <x:c r="S73" s="83" t="str">
        <x:f>IF($B73&lt;&gt;"",0,"")</x:f>
      </x:c>
      <x:c r="T73" s="83" t="n">
        <x:f>IFERROR(($K73+$O73)*XLOOKUP($G73,Ayarlar!$A$19:$A$28,Ayarlar!$C$19:$C$28,0)*(1+Ayarlar!$B$11),0)</x:f>
        <x:v>0</x:v>
      </x:c>
      <x:c r="U73" s="83" t="n">
        <x:f>IFERROR($N73/60*Ayarlar!$B$8,0)</x:f>
        <x:v>0</x:v>
      </x:c>
      <x:c r="V73" s="83" t="n">
        <x:f>IF($B73&lt;&gt;"",Ayarlar!$B$12+($Q73/60*Ayarlar!$B$9),0)</x:f>
        <x:v>0</x:v>
      </x:c>
      <x:c r="W73" s="83" t="n">
        <x:f>IF($B73&lt;&gt;"",SUM($T73:$V73,$R73:$S73),0)</x:f>
        <x:v>0</x:v>
      </x:c>
      <x:c r="X73" s="83" t="n">
        <x:f>IF($B73&lt;&gt;"",$W73*Ayarlar!$B$15,0)</x:f>
        <x:v>0</x:v>
      </x:c>
      <x:c r="Y73" s="83" t="n">
        <x:f>IF($B73&lt;&gt;"",($W73+$X73)*Ayarlar!$B$13,0)</x:f>
        <x:v>0</x:v>
      </x:c>
      <x:c r="Z73" s="83" t="n">
        <x:f>IF($B73&lt;&gt;"",($W73+$X73+$Y73)*Ayarlar!$B$14,0)</x:f>
        <x:v>0</x:v>
      </x:c>
      <x:c r="AA73" s="83" t="str">
        <x:f>IF($B73="","",IF(OR($K73="",$N73=""),"",CEILING($W73+$X73+$Y73+$Z73,Ayarlar!$B$16)))</x:f>
      </x:c>
      <x:c r="AB73" s="83" t="str">
        <x:f>IFERROR($AA73/$H73,"")</x:f>
      </x:c>
      <x:c r="AC73" s="75" t="str">
        <x:f>IF($B73="","",IF(OR($K73="",$N73=""),"Veri Eksik","Fiyat Hazır"))</x:f>
      </x:c>
      <x:c r="AD73" s="75" t="str">
        <x:f>IF($C73&lt;&gt;"","MW-"&amp;$C73,"")</x:f>
        <x:v>MW-80</x:v>
      </x:c>
      <x:c r="AE73" s="75" t="str">
        <x:f>IF($G73&lt;&gt;"","3D Baskı / "&amp;$G73,"3D Baskı")</x:f>
        <x:v>3D Baskı</x:v>
      </x:c>
      <x:c r="AF73" s="75" t="str">
        <x:f>IF($D73&lt;&gt;"",$D73&amp;" - "&amp;$G73,$AD73&amp;" - "&amp;$G73)</x:f>
        <x:v>MW-80 - </x:v>
      </x:c>
      <x:c r="AG73" s="75" t="str"/>
    </x:row>
    <x:row r="74">
      <x:c r="A74" s="75" t="str">
        <x:f>IF($B74&lt;&gt;"",ROW()-4,"")</x:f>
      </x:c>
      <x:c r="B74" s="75" t="str"/>
      <x:c r="C74" s="75" t="n">
        <x:f>IFERROR(LET(x,MID($B74,FIND("/models/",$B74)+8,80),y,LEFT(x,FIND("-",x&amp;"-")-1),LEFT(y,FIND("?",y&amp;"?")-1)),"")</x:f>
        <x:v>80</x:v>
      </x:c>
      <x:c r="D74" s="75" t="str">
        <x:f>IF($B74="","",IFERROR(XLOOKUP($C74,MakerWorld_Verileri!$A:$A,MakerWorld_Verileri!$B:$B,""),""))</x:f>
      </x:c>
      <x:c r="E74" s="75" t="str">
        <x:f>IF($B74="","",IFERROR(XLOOKUP($C74,MakerWorld_Verileri!$A:$A,MakerWorld_Verileri!$C:$C,""),""))</x:f>
      </x:c>
      <x:c r="F74" s="75" t="str"/>
      <x:c r="G74" s="75" t="str">
        <x:f>IF($B74&lt;&gt;"",Ayarlar!$B$7,"")</x:f>
      </x:c>
      <x:c r="H74" s="82" t="str">
        <x:f>IF($B74&lt;&gt;"",1,"")</x:f>
      </x:c>
      <x:c r="I74" s="82" t="str">
        <x:f>IF($B74="","",IFERROR(XLOOKUP($C74,MakerWorld_Verileri!$A:$A,MakerWorld_Verileri!$D:$D,""),""))</x:f>
      </x:c>
      <x:c r="J74" s="82" t="str"/>
      <x:c r="K74" s="82" t="str">
        <x:f>IF($I74&lt;&gt;"",$I74,$J74)</x:f>
      </x:c>
      <x:c r="L74" s="82" t="str">
        <x:f>IF($B74="","",IFERROR(XLOOKUP($C74,MakerWorld_Verileri!$A:$A,MakerWorld_Verileri!$E:$E,""),""))</x:f>
      </x:c>
      <x:c r="M74" s="82" t="str"/>
      <x:c r="N74" s="82" t="str">
        <x:f>IF($L74&lt;&gt;"",$L74,$M74)</x:f>
      </x:c>
      <x:c r="O74" s="82" t="str">
        <x:f>IF($B74&lt;&gt;"",0,"")</x:f>
      </x:c>
      <x:c r="P74" s="75" t="str">
        <x:f>IF($B74&lt;&gt;"","Orta","")</x:f>
      </x:c>
      <x:c r="Q74" s="82" t="str">
        <x:f>IF($B74&lt;&gt;"",10,"")</x:f>
      </x:c>
      <x:c r="R74" s="83" t="str">
        <x:f>IF($B74&lt;&gt;"",Ayarlar!$B$10,"")</x:f>
      </x:c>
      <x:c r="S74" s="83" t="str">
        <x:f>IF($B74&lt;&gt;"",0,"")</x:f>
      </x:c>
      <x:c r="T74" s="83" t="n">
        <x:f>IFERROR(($K74+$O74)*XLOOKUP($G74,Ayarlar!$A$19:$A$28,Ayarlar!$C$19:$C$28,0)*(1+Ayarlar!$B$11),0)</x:f>
        <x:v>0</x:v>
      </x:c>
      <x:c r="U74" s="83" t="n">
        <x:f>IFERROR($N74/60*Ayarlar!$B$8,0)</x:f>
        <x:v>0</x:v>
      </x:c>
      <x:c r="V74" s="83" t="n">
        <x:f>IF($B74&lt;&gt;"",Ayarlar!$B$12+($Q74/60*Ayarlar!$B$9),0)</x:f>
        <x:v>0</x:v>
      </x:c>
      <x:c r="W74" s="83" t="n">
        <x:f>IF($B74&lt;&gt;"",SUM($T74:$V74,$R74:$S74),0)</x:f>
        <x:v>0</x:v>
      </x:c>
      <x:c r="X74" s="83" t="n">
        <x:f>IF($B74&lt;&gt;"",$W74*Ayarlar!$B$15,0)</x:f>
        <x:v>0</x:v>
      </x:c>
      <x:c r="Y74" s="83" t="n">
        <x:f>IF($B74&lt;&gt;"",($W74+$X74)*Ayarlar!$B$13,0)</x:f>
        <x:v>0</x:v>
      </x:c>
      <x:c r="Z74" s="83" t="n">
        <x:f>IF($B74&lt;&gt;"",($W74+$X74+$Y74)*Ayarlar!$B$14,0)</x:f>
        <x:v>0</x:v>
      </x:c>
      <x:c r="AA74" s="83" t="str">
        <x:f>IF($B74="","",IF(OR($K74="",$N74=""),"",CEILING($W74+$X74+$Y74+$Z74,Ayarlar!$B$16)))</x:f>
      </x:c>
      <x:c r="AB74" s="83" t="str">
        <x:f>IFERROR($AA74/$H74,"")</x:f>
      </x:c>
      <x:c r="AC74" s="75" t="str">
        <x:f>IF($B74="","",IF(OR($K74="",$N74=""),"Veri Eksik","Fiyat Hazır"))</x:f>
      </x:c>
      <x:c r="AD74" s="75" t="str">
        <x:f>IF($C74&lt;&gt;"","MW-"&amp;$C74,"")</x:f>
        <x:v>MW-80</x:v>
      </x:c>
      <x:c r="AE74" s="75" t="str">
        <x:f>IF($G74&lt;&gt;"","3D Baskı / "&amp;$G74,"3D Baskı")</x:f>
        <x:v>3D Baskı</x:v>
      </x:c>
      <x:c r="AF74" s="75" t="str">
        <x:f>IF($D74&lt;&gt;"",$D74&amp;" - "&amp;$G74,$AD74&amp;" - "&amp;$G74)</x:f>
        <x:v>MW-80 - </x:v>
      </x:c>
      <x:c r="AG74" s="75" t="str"/>
    </x:row>
    <x:row r="75">
      <x:c r="A75" s="75" t="str">
        <x:f>IF($B75&lt;&gt;"",ROW()-4,"")</x:f>
      </x:c>
      <x:c r="B75" s="75" t="str"/>
      <x:c r="C75" s="75" t="n">
        <x:f>IFERROR(LET(x,MID($B75,FIND("/models/",$B75)+8,80),y,LEFT(x,FIND("-",x&amp;"-")-1),LEFT(y,FIND("?",y&amp;"?")-1)),"")</x:f>
        <x:v>80</x:v>
      </x:c>
      <x:c r="D75" s="75" t="str">
        <x:f>IF($B75="","",IFERROR(XLOOKUP($C75,MakerWorld_Verileri!$A:$A,MakerWorld_Verileri!$B:$B,""),""))</x:f>
      </x:c>
      <x:c r="E75" s="75" t="str">
        <x:f>IF($B75="","",IFERROR(XLOOKUP($C75,MakerWorld_Verileri!$A:$A,MakerWorld_Verileri!$C:$C,""),""))</x:f>
      </x:c>
      <x:c r="F75" s="75" t="str"/>
      <x:c r="G75" s="75" t="str">
        <x:f>IF($B75&lt;&gt;"",Ayarlar!$B$7,"")</x:f>
      </x:c>
      <x:c r="H75" s="82" t="str">
        <x:f>IF($B75&lt;&gt;"",1,"")</x:f>
      </x:c>
      <x:c r="I75" s="82" t="str">
        <x:f>IF($B75="","",IFERROR(XLOOKUP($C75,MakerWorld_Verileri!$A:$A,MakerWorld_Verileri!$D:$D,""),""))</x:f>
      </x:c>
      <x:c r="J75" s="82" t="str"/>
      <x:c r="K75" s="82" t="str">
        <x:f>IF($I75&lt;&gt;"",$I75,$J75)</x:f>
      </x:c>
      <x:c r="L75" s="82" t="str">
        <x:f>IF($B75="","",IFERROR(XLOOKUP($C75,MakerWorld_Verileri!$A:$A,MakerWorld_Verileri!$E:$E,""),""))</x:f>
      </x:c>
      <x:c r="M75" s="82" t="str"/>
      <x:c r="N75" s="82" t="str">
        <x:f>IF($L75&lt;&gt;"",$L75,$M75)</x:f>
      </x:c>
      <x:c r="O75" s="82" t="str">
        <x:f>IF($B75&lt;&gt;"",0,"")</x:f>
      </x:c>
      <x:c r="P75" s="75" t="str">
        <x:f>IF($B75&lt;&gt;"","Orta","")</x:f>
      </x:c>
      <x:c r="Q75" s="82" t="str">
        <x:f>IF($B75&lt;&gt;"",10,"")</x:f>
      </x:c>
      <x:c r="R75" s="83" t="str">
        <x:f>IF($B75&lt;&gt;"",Ayarlar!$B$10,"")</x:f>
      </x:c>
      <x:c r="S75" s="83" t="str">
        <x:f>IF($B75&lt;&gt;"",0,"")</x:f>
      </x:c>
      <x:c r="T75" s="83" t="n">
        <x:f>IFERROR(($K75+$O75)*XLOOKUP($G75,Ayarlar!$A$19:$A$28,Ayarlar!$C$19:$C$28,0)*(1+Ayarlar!$B$11),0)</x:f>
        <x:v>0</x:v>
      </x:c>
      <x:c r="U75" s="83" t="n">
        <x:f>IFERROR($N75/60*Ayarlar!$B$8,0)</x:f>
        <x:v>0</x:v>
      </x:c>
      <x:c r="V75" s="83" t="n">
        <x:f>IF($B75&lt;&gt;"",Ayarlar!$B$12+($Q75/60*Ayarlar!$B$9),0)</x:f>
        <x:v>0</x:v>
      </x:c>
      <x:c r="W75" s="83" t="n">
        <x:f>IF($B75&lt;&gt;"",SUM($T75:$V75,$R75:$S75),0)</x:f>
        <x:v>0</x:v>
      </x:c>
      <x:c r="X75" s="83" t="n">
        <x:f>IF($B75&lt;&gt;"",$W75*Ayarlar!$B$15,0)</x:f>
        <x:v>0</x:v>
      </x:c>
      <x:c r="Y75" s="83" t="n">
        <x:f>IF($B75&lt;&gt;"",($W75+$X75)*Ayarlar!$B$13,0)</x:f>
        <x:v>0</x:v>
      </x:c>
      <x:c r="Z75" s="83" t="n">
        <x:f>IF($B75&lt;&gt;"",($W75+$X75+$Y75)*Ayarlar!$B$14,0)</x:f>
        <x:v>0</x:v>
      </x:c>
      <x:c r="AA75" s="83" t="str">
        <x:f>IF($B75="","",IF(OR($K75="",$N75=""),"",CEILING($W75+$X75+$Y75+$Z75,Ayarlar!$B$16)))</x:f>
      </x:c>
      <x:c r="AB75" s="83" t="str">
        <x:f>IFERROR($AA75/$H75,"")</x:f>
      </x:c>
      <x:c r="AC75" s="75" t="str">
        <x:f>IF($B75="","",IF(OR($K75="",$N75=""),"Veri Eksik","Fiyat Hazır"))</x:f>
      </x:c>
      <x:c r="AD75" s="75" t="str">
        <x:f>IF($C75&lt;&gt;"","MW-"&amp;$C75,"")</x:f>
        <x:v>MW-80</x:v>
      </x:c>
      <x:c r="AE75" s="75" t="str">
        <x:f>IF($G75&lt;&gt;"","3D Baskı / "&amp;$G75,"3D Baskı")</x:f>
        <x:v>3D Baskı</x:v>
      </x:c>
      <x:c r="AF75" s="75" t="str">
        <x:f>IF($D75&lt;&gt;"",$D75&amp;" - "&amp;$G75,$AD75&amp;" - "&amp;$G75)</x:f>
        <x:v>MW-80 - </x:v>
      </x:c>
      <x:c r="AG75" s="75" t="str"/>
    </x:row>
    <x:row r="76">
      <x:c r="A76" s="75" t="str">
        <x:f>IF($B76&lt;&gt;"",ROW()-4,"")</x:f>
      </x:c>
      <x:c r="B76" s="75" t="str"/>
      <x:c r="C76" s="75" t="n">
        <x:f>IFERROR(LET(x,MID($B76,FIND("/models/",$B76)+8,80),y,LEFT(x,FIND("-",x&amp;"-")-1),LEFT(y,FIND("?",y&amp;"?")-1)),"")</x:f>
        <x:v>80</x:v>
      </x:c>
      <x:c r="D76" s="75" t="str">
        <x:f>IF($B76="","",IFERROR(XLOOKUP($C76,MakerWorld_Verileri!$A:$A,MakerWorld_Verileri!$B:$B,""),""))</x:f>
      </x:c>
      <x:c r="E76" s="75" t="str">
        <x:f>IF($B76="","",IFERROR(XLOOKUP($C76,MakerWorld_Verileri!$A:$A,MakerWorld_Verileri!$C:$C,""),""))</x:f>
      </x:c>
      <x:c r="F76" s="75" t="str"/>
      <x:c r="G76" s="75" t="str">
        <x:f>IF($B76&lt;&gt;"",Ayarlar!$B$7,"")</x:f>
      </x:c>
      <x:c r="H76" s="82" t="str">
        <x:f>IF($B76&lt;&gt;"",1,"")</x:f>
      </x:c>
      <x:c r="I76" s="82" t="str">
        <x:f>IF($B76="","",IFERROR(XLOOKUP($C76,MakerWorld_Verileri!$A:$A,MakerWorld_Verileri!$D:$D,""),""))</x:f>
      </x:c>
      <x:c r="J76" s="82" t="str"/>
      <x:c r="K76" s="82" t="str">
        <x:f>IF($I76&lt;&gt;"",$I76,$J76)</x:f>
      </x:c>
      <x:c r="L76" s="82" t="str">
        <x:f>IF($B76="","",IFERROR(XLOOKUP($C76,MakerWorld_Verileri!$A:$A,MakerWorld_Verileri!$E:$E,""),""))</x:f>
      </x:c>
      <x:c r="M76" s="82" t="str"/>
      <x:c r="N76" s="82" t="str">
        <x:f>IF($L76&lt;&gt;"",$L76,$M76)</x:f>
      </x:c>
      <x:c r="O76" s="82" t="str">
        <x:f>IF($B76&lt;&gt;"",0,"")</x:f>
      </x:c>
      <x:c r="P76" s="75" t="str">
        <x:f>IF($B76&lt;&gt;"","Orta","")</x:f>
      </x:c>
      <x:c r="Q76" s="82" t="str">
        <x:f>IF($B76&lt;&gt;"",10,"")</x:f>
      </x:c>
      <x:c r="R76" s="83" t="str">
        <x:f>IF($B76&lt;&gt;"",Ayarlar!$B$10,"")</x:f>
      </x:c>
      <x:c r="S76" s="83" t="str">
        <x:f>IF($B76&lt;&gt;"",0,"")</x:f>
      </x:c>
      <x:c r="T76" s="83" t="n">
        <x:f>IFERROR(($K76+$O76)*XLOOKUP($G76,Ayarlar!$A$19:$A$28,Ayarlar!$C$19:$C$28,0)*(1+Ayarlar!$B$11),0)</x:f>
        <x:v>0</x:v>
      </x:c>
      <x:c r="U76" s="83" t="n">
        <x:f>IFERROR($N76/60*Ayarlar!$B$8,0)</x:f>
        <x:v>0</x:v>
      </x:c>
      <x:c r="V76" s="83" t="n">
        <x:f>IF($B76&lt;&gt;"",Ayarlar!$B$12+($Q76/60*Ayarlar!$B$9),0)</x:f>
        <x:v>0</x:v>
      </x:c>
      <x:c r="W76" s="83" t="n">
        <x:f>IF($B76&lt;&gt;"",SUM($T76:$V76,$R76:$S76),0)</x:f>
        <x:v>0</x:v>
      </x:c>
      <x:c r="X76" s="83" t="n">
        <x:f>IF($B76&lt;&gt;"",$W76*Ayarlar!$B$15,0)</x:f>
        <x:v>0</x:v>
      </x:c>
      <x:c r="Y76" s="83" t="n">
        <x:f>IF($B76&lt;&gt;"",($W76+$X76)*Ayarlar!$B$13,0)</x:f>
        <x:v>0</x:v>
      </x:c>
      <x:c r="Z76" s="83" t="n">
        <x:f>IF($B76&lt;&gt;"",($W76+$X76+$Y76)*Ayarlar!$B$14,0)</x:f>
        <x:v>0</x:v>
      </x:c>
      <x:c r="AA76" s="83" t="str">
        <x:f>IF($B76="","",IF(OR($K76="",$N76=""),"",CEILING($W76+$X76+$Y76+$Z76,Ayarlar!$B$16)))</x:f>
      </x:c>
      <x:c r="AB76" s="83" t="str">
        <x:f>IFERROR($AA76/$H76,"")</x:f>
      </x:c>
      <x:c r="AC76" s="75" t="str">
        <x:f>IF($B76="","",IF(OR($K76="",$N76=""),"Veri Eksik","Fiyat Hazır"))</x:f>
      </x:c>
      <x:c r="AD76" s="75" t="str">
        <x:f>IF($C76&lt;&gt;"","MW-"&amp;$C76,"")</x:f>
        <x:v>MW-80</x:v>
      </x:c>
      <x:c r="AE76" s="75" t="str">
        <x:f>IF($G76&lt;&gt;"","3D Baskı / "&amp;$G76,"3D Baskı")</x:f>
        <x:v>3D Baskı</x:v>
      </x:c>
      <x:c r="AF76" s="75" t="str">
        <x:f>IF($D76&lt;&gt;"",$D76&amp;" - "&amp;$G76,$AD76&amp;" - "&amp;$G76)</x:f>
        <x:v>MW-80 - </x:v>
      </x:c>
      <x:c r="AG76" s="75" t="str"/>
    </x:row>
    <x:row r="77">
      <x:c r="A77" s="75" t="str">
        <x:f>IF($B77&lt;&gt;"",ROW()-4,"")</x:f>
      </x:c>
      <x:c r="B77" s="75" t="str"/>
      <x:c r="C77" s="75" t="n">
        <x:f>IFERROR(LET(x,MID($B77,FIND("/models/",$B77)+8,80),y,LEFT(x,FIND("-",x&amp;"-")-1),LEFT(y,FIND("?",y&amp;"?")-1)),"")</x:f>
        <x:v>80</x:v>
      </x:c>
      <x:c r="D77" s="75" t="str">
        <x:f>IF($B77="","",IFERROR(XLOOKUP($C77,MakerWorld_Verileri!$A:$A,MakerWorld_Verileri!$B:$B,""),""))</x:f>
      </x:c>
      <x:c r="E77" s="75" t="str">
        <x:f>IF($B77="","",IFERROR(XLOOKUP($C77,MakerWorld_Verileri!$A:$A,MakerWorld_Verileri!$C:$C,""),""))</x:f>
      </x:c>
      <x:c r="F77" s="75" t="str"/>
      <x:c r="G77" s="75" t="str">
        <x:f>IF($B77&lt;&gt;"",Ayarlar!$B$7,"")</x:f>
      </x:c>
      <x:c r="H77" s="82" t="str">
        <x:f>IF($B77&lt;&gt;"",1,"")</x:f>
      </x:c>
      <x:c r="I77" s="82" t="str">
        <x:f>IF($B77="","",IFERROR(XLOOKUP($C77,MakerWorld_Verileri!$A:$A,MakerWorld_Verileri!$D:$D,""),""))</x:f>
      </x:c>
      <x:c r="J77" s="82" t="str"/>
      <x:c r="K77" s="82" t="str">
        <x:f>IF($I77&lt;&gt;"",$I77,$J77)</x:f>
      </x:c>
      <x:c r="L77" s="82" t="str">
        <x:f>IF($B77="","",IFERROR(XLOOKUP($C77,MakerWorld_Verileri!$A:$A,MakerWorld_Verileri!$E:$E,""),""))</x:f>
      </x:c>
      <x:c r="M77" s="82" t="str"/>
      <x:c r="N77" s="82" t="str">
        <x:f>IF($L77&lt;&gt;"",$L77,$M77)</x:f>
      </x:c>
      <x:c r="O77" s="82" t="str">
        <x:f>IF($B77&lt;&gt;"",0,"")</x:f>
      </x:c>
      <x:c r="P77" s="75" t="str">
        <x:f>IF($B77&lt;&gt;"","Orta","")</x:f>
      </x:c>
      <x:c r="Q77" s="82" t="str">
        <x:f>IF($B77&lt;&gt;"",10,"")</x:f>
      </x:c>
      <x:c r="R77" s="83" t="str">
        <x:f>IF($B77&lt;&gt;"",Ayarlar!$B$10,"")</x:f>
      </x:c>
      <x:c r="S77" s="83" t="str">
        <x:f>IF($B77&lt;&gt;"",0,"")</x:f>
      </x:c>
      <x:c r="T77" s="83" t="n">
        <x:f>IFERROR(($K77+$O77)*XLOOKUP($G77,Ayarlar!$A$19:$A$28,Ayarlar!$C$19:$C$28,0)*(1+Ayarlar!$B$11),0)</x:f>
        <x:v>0</x:v>
      </x:c>
      <x:c r="U77" s="83" t="n">
        <x:f>IFERROR($N77/60*Ayarlar!$B$8,0)</x:f>
        <x:v>0</x:v>
      </x:c>
      <x:c r="V77" s="83" t="n">
        <x:f>IF($B77&lt;&gt;"",Ayarlar!$B$12+($Q77/60*Ayarlar!$B$9),0)</x:f>
        <x:v>0</x:v>
      </x:c>
      <x:c r="W77" s="83" t="n">
        <x:f>IF($B77&lt;&gt;"",SUM($T77:$V77,$R77:$S77),0)</x:f>
        <x:v>0</x:v>
      </x:c>
      <x:c r="X77" s="83" t="n">
        <x:f>IF($B77&lt;&gt;"",$W77*Ayarlar!$B$15,0)</x:f>
        <x:v>0</x:v>
      </x:c>
      <x:c r="Y77" s="83" t="n">
        <x:f>IF($B77&lt;&gt;"",($W77+$X77)*Ayarlar!$B$13,0)</x:f>
        <x:v>0</x:v>
      </x:c>
      <x:c r="Z77" s="83" t="n">
        <x:f>IF($B77&lt;&gt;"",($W77+$X77+$Y77)*Ayarlar!$B$14,0)</x:f>
        <x:v>0</x:v>
      </x:c>
      <x:c r="AA77" s="83" t="str">
        <x:f>IF($B77="","",IF(OR($K77="",$N77=""),"",CEILING($W77+$X77+$Y77+$Z77,Ayarlar!$B$16)))</x:f>
      </x:c>
      <x:c r="AB77" s="83" t="str">
        <x:f>IFERROR($AA77/$H77,"")</x:f>
      </x:c>
      <x:c r="AC77" s="75" t="str">
        <x:f>IF($B77="","",IF(OR($K77="",$N77=""),"Veri Eksik","Fiyat Hazır"))</x:f>
      </x:c>
      <x:c r="AD77" s="75" t="str">
        <x:f>IF($C77&lt;&gt;"","MW-"&amp;$C77,"")</x:f>
        <x:v>MW-80</x:v>
      </x:c>
      <x:c r="AE77" s="75" t="str">
        <x:f>IF($G77&lt;&gt;"","3D Baskı / "&amp;$G77,"3D Baskı")</x:f>
        <x:v>3D Baskı</x:v>
      </x:c>
      <x:c r="AF77" s="75" t="str">
        <x:f>IF($D77&lt;&gt;"",$D77&amp;" - "&amp;$G77,$AD77&amp;" - "&amp;$G77)</x:f>
        <x:v>MW-80 - </x:v>
      </x:c>
      <x:c r="AG77" s="75" t="str"/>
    </x:row>
    <x:row r="78">
      <x:c r="A78" s="75" t="str">
        <x:f>IF($B78&lt;&gt;"",ROW()-4,"")</x:f>
      </x:c>
      <x:c r="B78" s="75" t="str"/>
      <x:c r="C78" s="75" t="n">
        <x:f>IFERROR(LET(x,MID($B78,FIND("/models/",$B78)+8,80),y,LEFT(x,FIND("-",x&amp;"-")-1),LEFT(y,FIND("?",y&amp;"?")-1)),"")</x:f>
        <x:v>80</x:v>
      </x:c>
      <x:c r="D78" s="75" t="str">
        <x:f>IF($B78="","",IFERROR(XLOOKUP($C78,MakerWorld_Verileri!$A:$A,MakerWorld_Verileri!$B:$B,""),""))</x:f>
      </x:c>
      <x:c r="E78" s="75" t="str">
        <x:f>IF($B78="","",IFERROR(XLOOKUP($C78,MakerWorld_Verileri!$A:$A,MakerWorld_Verileri!$C:$C,""),""))</x:f>
      </x:c>
      <x:c r="F78" s="75" t="str"/>
      <x:c r="G78" s="75" t="str">
        <x:f>IF($B78&lt;&gt;"",Ayarlar!$B$7,"")</x:f>
      </x:c>
      <x:c r="H78" s="82" t="str">
        <x:f>IF($B78&lt;&gt;"",1,"")</x:f>
      </x:c>
      <x:c r="I78" s="82" t="str">
        <x:f>IF($B78="","",IFERROR(XLOOKUP($C78,MakerWorld_Verileri!$A:$A,MakerWorld_Verileri!$D:$D,""),""))</x:f>
      </x:c>
      <x:c r="J78" s="82" t="str"/>
      <x:c r="K78" s="82" t="str">
        <x:f>IF($I78&lt;&gt;"",$I78,$J78)</x:f>
      </x:c>
      <x:c r="L78" s="82" t="str">
        <x:f>IF($B78="","",IFERROR(XLOOKUP($C78,MakerWorld_Verileri!$A:$A,MakerWorld_Verileri!$E:$E,""),""))</x:f>
      </x:c>
      <x:c r="M78" s="82" t="str"/>
      <x:c r="N78" s="82" t="str">
        <x:f>IF($L78&lt;&gt;"",$L78,$M78)</x:f>
      </x:c>
      <x:c r="O78" s="82" t="str">
        <x:f>IF($B78&lt;&gt;"",0,"")</x:f>
      </x:c>
      <x:c r="P78" s="75" t="str">
        <x:f>IF($B78&lt;&gt;"","Orta","")</x:f>
      </x:c>
      <x:c r="Q78" s="82" t="str">
        <x:f>IF($B78&lt;&gt;"",10,"")</x:f>
      </x:c>
      <x:c r="R78" s="83" t="str">
        <x:f>IF($B78&lt;&gt;"",Ayarlar!$B$10,"")</x:f>
      </x:c>
      <x:c r="S78" s="83" t="str">
        <x:f>IF($B78&lt;&gt;"",0,"")</x:f>
      </x:c>
      <x:c r="T78" s="83" t="n">
        <x:f>IFERROR(($K78+$O78)*XLOOKUP($G78,Ayarlar!$A$19:$A$28,Ayarlar!$C$19:$C$28,0)*(1+Ayarlar!$B$11),0)</x:f>
        <x:v>0</x:v>
      </x:c>
      <x:c r="U78" s="83" t="n">
        <x:f>IFERROR($N78/60*Ayarlar!$B$8,0)</x:f>
        <x:v>0</x:v>
      </x:c>
      <x:c r="V78" s="83" t="n">
        <x:f>IF($B78&lt;&gt;"",Ayarlar!$B$12+($Q78/60*Ayarlar!$B$9),0)</x:f>
        <x:v>0</x:v>
      </x:c>
      <x:c r="W78" s="83" t="n">
        <x:f>IF($B78&lt;&gt;"",SUM($T78:$V78,$R78:$S78),0)</x:f>
        <x:v>0</x:v>
      </x:c>
      <x:c r="X78" s="83" t="n">
        <x:f>IF($B78&lt;&gt;"",$W78*Ayarlar!$B$15,0)</x:f>
        <x:v>0</x:v>
      </x:c>
      <x:c r="Y78" s="83" t="n">
        <x:f>IF($B78&lt;&gt;"",($W78+$X78)*Ayarlar!$B$13,0)</x:f>
        <x:v>0</x:v>
      </x:c>
      <x:c r="Z78" s="83" t="n">
        <x:f>IF($B78&lt;&gt;"",($W78+$X78+$Y78)*Ayarlar!$B$14,0)</x:f>
        <x:v>0</x:v>
      </x:c>
      <x:c r="AA78" s="83" t="str">
        <x:f>IF($B78="","",IF(OR($K78="",$N78=""),"",CEILING($W78+$X78+$Y78+$Z78,Ayarlar!$B$16)))</x:f>
      </x:c>
      <x:c r="AB78" s="83" t="str">
        <x:f>IFERROR($AA78/$H78,"")</x:f>
      </x:c>
      <x:c r="AC78" s="75" t="str">
        <x:f>IF($B78="","",IF(OR($K78="",$N78=""),"Veri Eksik","Fiyat Hazır"))</x:f>
      </x:c>
      <x:c r="AD78" s="75" t="str">
        <x:f>IF($C78&lt;&gt;"","MW-"&amp;$C78,"")</x:f>
        <x:v>MW-80</x:v>
      </x:c>
      <x:c r="AE78" s="75" t="str">
        <x:f>IF($G78&lt;&gt;"","3D Baskı / "&amp;$G78,"3D Baskı")</x:f>
        <x:v>3D Baskı</x:v>
      </x:c>
      <x:c r="AF78" s="75" t="str">
        <x:f>IF($D78&lt;&gt;"",$D78&amp;" - "&amp;$G78,$AD78&amp;" - "&amp;$G78)</x:f>
        <x:v>MW-80 - </x:v>
      </x:c>
      <x:c r="AG78" s="75" t="str"/>
    </x:row>
    <x:row r="79">
      <x:c r="A79" s="75" t="str">
        <x:f>IF($B79&lt;&gt;"",ROW()-4,"")</x:f>
      </x:c>
      <x:c r="B79" s="75" t="str"/>
      <x:c r="C79" s="75" t="n">
        <x:f>IFERROR(LET(x,MID($B79,FIND("/models/",$B79)+8,80),y,LEFT(x,FIND("-",x&amp;"-")-1),LEFT(y,FIND("?",y&amp;"?")-1)),"")</x:f>
        <x:v>80</x:v>
      </x:c>
      <x:c r="D79" s="75" t="str">
        <x:f>IF($B79="","",IFERROR(XLOOKUP($C79,MakerWorld_Verileri!$A:$A,MakerWorld_Verileri!$B:$B,""),""))</x:f>
      </x:c>
      <x:c r="E79" s="75" t="str">
        <x:f>IF($B79="","",IFERROR(XLOOKUP($C79,MakerWorld_Verileri!$A:$A,MakerWorld_Verileri!$C:$C,""),""))</x:f>
      </x:c>
      <x:c r="F79" s="75" t="str"/>
      <x:c r="G79" s="75" t="str">
        <x:f>IF($B79&lt;&gt;"",Ayarlar!$B$7,"")</x:f>
      </x:c>
      <x:c r="H79" s="82" t="str">
        <x:f>IF($B79&lt;&gt;"",1,"")</x:f>
      </x:c>
      <x:c r="I79" s="82" t="str">
        <x:f>IF($B79="","",IFERROR(XLOOKUP($C79,MakerWorld_Verileri!$A:$A,MakerWorld_Verileri!$D:$D,""),""))</x:f>
      </x:c>
      <x:c r="J79" s="82" t="str"/>
      <x:c r="K79" s="82" t="str">
        <x:f>IF($I79&lt;&gt;"",$I79,$J79)</x:f>
      </x:c>
      <x:c r="L79" s="82" t="str">
        <x:f>IF($B79="","",IFERROR(XLOOKUP($C79,MakerWorld_Verileri!$A:$A,MakerWorld_Verileri!$E:$E,""),""))</x:f>
      </x:c>
      <x:c r="M79" s="82" t="str"/>
      <x:c r="N79" s="82" t="str">
        <x:f>IF($L79&lt;&gt;"",$L79,$M79)</x:f>
      </x:c>
      <x:c r="O79" s="82" t="str">
        <x:f>IF($B79&lt;&gt;"",0,"")</x:f>
      </x:c>
      <x:c r="P79" s="75" t="str">
        <x:f>IF($B79&lt;&gt;"","Orta","")</x:f>
      </x:c>
      <x:c r="Q79" s="82" t="str">
        <x:f>IF($B79&lt;&gt;"",10,"")</x:f>
      </x:c>
      <x:c r="R79" s="83" t="str">
        <x:f>IF($B79&lt;&gt;"",Ayarlar!$B$10,"")</x:f>
      </x:c>
      <x:c r="S79" s="83" t="str">
        <x:f>IF($B79&lt;&gt;"",0,"")</x:f>
      </x:c>
      <x:c r="T79" s="83" t="n">
        <x:f>IFERROR(($K79+$O79)*XLOOKUP($G79,Ayarlar!$A$19:$A$28,Ayarlar!$C$19:$C$28,0)*(1+Ayarlar!$B$11),0)</x:f>
        <x:v>0</x:v>
      </x:c>
      <x:c r="U79" s="83" t="n">
        <x:f>IFERROR($N79/60*Ayarlar!$B$8,0)</x:f>
        <x:v>0</x:v>
      </x:c>
      <x:c r="V79" s="83" t="n">
        <x:f>IF($B79&lt;&gt;"",Ayarlar!$B$12+($Q79/60*Ayarlar!$B$9),0)</x:f>
        <x:v>0</x:v>
      </x:c>
      <x:c r="W79" s="83" t="n">
        <x:f>IF($B79&lt;&gt;"",SUM($T79:$V79,$R79:$S79),0)</x:f>
        <x:v>0</x:v>
      </x:c>
      <x:c r="X79" s="83" t="n">
        <x:f>IF($B79&lt;&gt;"",$W79*Ayarlar!$B$15,0)</x:f>
        <x:v>0</x:v>
      </x:c>
      <x:c r="Y79" s="83" t="n">
        <x:f>IF($B79&lt;&gt;"",($W79+$X79)*Ayarlar!$B$13,0)</x:f>
        <x:v>0</x:v>
      </x:c>
      <x:c r="Z79" s="83" t="n">
        <x:f>IF($B79&lt;&gt;"",($W79+$X79+$Y79)*Ayarlar!$B$14,0)</x:f>
        <x:v>0</x:v>
      </x:c>
      <x:c r="AA79" s="83" t="str">
        <x:f>IF($B79="","",IF(OR($K79="",$N79=""),"",CEILING($W79+$X79+$Y79+$Z79,Ayarlar!$B$16)))</x:f>
      </x:c>
      <x:c r="AB79" s="83" t="str">
        <x:f>IFERROR($AA79/$H79,"")</x:f>
      </x:c>
      <x:c r="AC79" s="75" t="str">
        <x:f>IF($B79="","",IF(OR($K79="",$N79=""),"Veri Eksik","Fiyat Hazır"))</x:f>
      </x:c>
      <x:c r="AD79" s="75" t="str">
        <x:f>IF($C79&lt;&gt;"","MW-"&amp;$C79,"")</x:f>
        <x:v>MW-80</x:v>
      </x:c>
      <x:c r="AE79" s="75" t="str">
        <x:f>IF($G79&lt;&gt;"","3D Baskı / "&amp;$G79,"3D Baskı")</x:f>
        <x:v>3D Baskı</x:v>
      </x:c>
      <x:c r="AF79" s="75" t="str">
        <x:f>IF($D79&lt;&gt;"",$D79&amp;" - "&amp;$G79,$AD79&amp;" - "&amp;$G79)</x:f>
        <x:v>MW-80 - </x:v>
      </x:c>
      <x:c r="AG79" s="75" t="str"/>
    </x:row>
    <x:row r="80">
      <x:c r="A80" s="75" t="str">
        <x:f>IF($B80&lt;&gt;"",ROW()-4,"")</x:f>
      </x:c>
      <x:c r="B80" s="75" t="str"/>
      <x:c r="C80" s="75" t="n">
        <x:f>IFERROR(LET(x,MID($B80,FIND("/models/",$B80)+8,80),y,LEFT(x,FIND("-",x&amp;"-")-1),LEFT(y,FIND("?",y&amp;"?")-1)),"")</x:f>
        <x:v>80</x:v>
      </x:c>
      <x:c r="D80" s="75" t="str">
        <x:f>IF($B80="","",IFERROR(XLOOKUP($C80,MakerWorld_Verileri!$A:$A,MakerWorld_Verileri!$B:$B,""),""))</x:f>
      </x:c>
      <x:c r="E80" s="75" t="str">
        <x:f>IF($B80="","",IFERROR(XLOOKUP($C80,MakerWorld_Verileri!$A:$A,MakerWorld_Verileri!$C:$C,""),""))</x:f>
      </x:c>
      <x:c r="F80" s="75" t="str"/>
      <x:c r="G80" s="75" t="str">
        <x:f>IF($B80&lt;&gt;"",Ayarlar!$B$7,"")</x:f>
      </x:c>
      <x:c r="H80" s="82" t="str">
        <x:f>IF($B80&lt;&gt;"",1,"")</x:f>
      </x:c>
      <x:c r="I80" s="82" t="str">
        <x:f>IF($B80="","",IFERROR(XLOOKUP($C80,MakerWorld_Verileri!$A:$A,MakerWorld_Verileri!$D:$D,""),""))</x:f>
      </x:c>
      <x:c r="J80" s="82" t="str"/>
      <x:c r="K80" s="82" t="str">
        <x:f>IF($I80&lt;&gt;"",$I80,$J80)</x:f>
      </x:c>
      <x:c r="L80" s="82" t="str">
        <x:f>IF($B80="","",IFERROR(XLOOKUP($C80,MakerWorld_Verileri!$A:$A,MakerWorld_Verileri!$E:$E,""),""))</x:f>
      </x:c>
      <x:c r="M80" s="82" t="str"/>
      <x:c r="N80" s="82" t="str">
        <x:f>IF($L80&lt;&gt;"",$L80,$M80)</x:f>
      </x:c>
      <x:c r="O80" s="82" t="str">
        <x:f>IF($B80&lt;&gt;"",0,"")</x:f>
      </x:c>
      <x:c r="P80" s="75" t="str">
        <x:f>IF($B80&lt;&gt;"","Orta","")</x:f>
      </x:c>
      <x:c r="Q80" s="82" t="str">
        <x:f>IF($B80&lt;&gt;"",10,"")</x:f>
      </x:c>
      <x:c r="R80" s="83" t="str">
        <x:f>IF($B80&lt;&gt;"",Ayarlar!$B$10,"")</x:f>
      </x:c>
      <x:c r="S80" s="83" t="str">
        <x:f>IF($B80&lt;&gt;"",0,"")</x:f>
      </x:c>
      <x:c r="T80" s="83" t="n">
        <x:f>IFERROR(($K80+$O80)*XLOOKUP($G80,Ayarlar!$A$19:$A$28,Ayarlar!$C$19:$C$28,0)*(1+Ayarlar!$B$11),0)</x:f>
        <x:v>0</x:v>
      </x:c>
      <x:c r="U80" s="83" t="n">
        <x:f>IFERROR($N80/60*Ayarlar!$B$8,0)</x:f>
        <x:v>0</x:v>
      </x:c>
      <x:c r="V80" s="83" t="n">
        <x:f>IF($B80&lt;&gt;"",Ayarlar!$B$12+($Q80/60*Ayarlar!$B$9),0)</x:f>
        <x:v>0</x:v>
      </x:c>
      <x:c r="W80" s="83" t="n">
        <x:f>IF($B80&lt;&gt;"",SUM($T80:$V80,$R80:$S80),0)</x:f>
        <x:v>0</x:v>
      </x:c>
      <x:c r="X80" s="83" t="n">
        <x:f>IF($B80&lt;&gt;"",$W80*Ayarlar!$B$15,0)</x:f>
        <x:v>0</x:v>
      </x:c>
      <x:c r="Y80" s="83" t="n">
        <x:f>IF($B80&lt;&gt;"",($W80+$X80)*Ayarlar!$B$13,0)</x:f>
        <x:v>0</x:v>
      </x:c>
      <x:c r="Z80" s="83" t="n">
        <x:f>IF($B80&lt;&gt;"",($W80+$X80+$Y80)*Ayarlar!$B$14,0)</x:f>
        <x:v>0</x:v>
      </x:c>
      <x:c r="AA80" s="83" t="str">
        <x:f>IF($B80="","",IF(OR($K80="",$N80=""),"",CEILING($W80+$X80+$Y80+$Z80,Ayarlar!$B$16)))</x:f>
      </x:c>
      <x:c r="AB80" s="83" t="str">
        <x:f>IFERROR($AA80/$H80,"")</x:f>
      </x:c>
      <x:c r="AC80" s="75" t="str">
        <x:f>IF($B80="","",IF(OR($K80="",$N80=""),"Veri Eksik","Fiyat Hazır"))</x:f>
      </x:c>
      <x:c r="AD80" s="75" t="str">
        <x:f>IF($C80&lt;&gt;"","MW-"&amp;$C80,"")</x:f>
        <x:v>MW-80</x:v>
      </x:c>
      <x:c r="AE80" s="75" t="str">
        <x:f>IF($G80&lt;&gt;"","3D Baskı / "&amp;$G80,"3D Baskı")</x:f>
        <x:v>3D Baskı</x:v>
      </x:c>
      <x:c r="AF80" s="75" t="str">
        <x:f>IF($D80&lt;&gt;"",$D80&amp;" - "&amp;$G80,$AD80&amp;" - "&amp;$G80)</x:f>
        <x:v>MW-80 - </x:v>
      </x:c>
      <x:c r="AG80" s="75" t="str"/>
    </x:row>
    <x:row r="81">
      <x:c r="A81" s="75" t="str">
        <x:f>IF($B81&lt;&gt;"",ROW()-4,"")</x:f>
      </x:c>
      <x:c r="B81" s="75" t="str"/>
      <x:c r="C81" s="75" t="n">
        <x:f>IFERROR(LET(x,MID($B81,FIND("/models/",$B81)+8,80),y,LEFT(x,FIND("-",x&amp;"-")-1),LEFT(y,FIND("?",y&amp;"?")-1)),"")</x:f>
        <x:v>80</x:v>
      </x:c>
      <x:c r="D81" s="75" t="str">
        <x:f>IF($B81="","",IFERROR(XLOOKUP($C81,MakerWorld_Verileri!$A:$A,MakerWorld_Verileri!$B:$B,""),""))</x:f>
      </x:c>
      <x:c r="E81" s="75" t="str">
        <x:f>IF($B81="","",IFERROR(XLOOKUP($C81,MakerWorld_Verileri!$A:$A,MakerWorld_Verileri!$C:$C,""),""))</x:f>
      </x:c>
      <x:c r="F81" s="75" t="str"/>
      <x:c r="G81" s="75" t="str">
        <x:f>IF($B81&lt;&gt;"",Ayarlar!$B$7,"")</x:f>
      </x:c>
      <x:c r="H81" s="82" t="str">
        <x:f>IF($B81&lt;&gt;"",1,"")</x:f>
      </x:c>
      <x:c r="I81" s="82" t="str">
        <x:f>IF($B81="","",IFERROR(XLOOKUP($C81,MakerWorld_Verileri!$A:$A,MakerWorld_Verileri!$D:$D,""),""))</x:f>
      </x:c>
      <x:c r="J81" s="82" t="str"/>
      <x:c r="K81" s="82" t="str">
        <x:f>IF($I81&lt;&gt;"",$I81,$J81)</x:f>
      </x:c>
      <x:c r="L81" s="82" t="str">
        <x:f>IF($B81="","",IFERROR(XLOOKUP($C81,MakerWorld_Verileri!$A:$A,MakerWorld_Verileri!$E:$E,""),""))</x:f>
      </x:c>
      <x:c r="M81" s="82" t="str"/>
      <x:c r="N81" s="82" t="str">
        <x:f>IF($L81&lt;&gt;"",$L81,$M81)</x:f>
      </x:c>
      <x:c r="O81" s="82" t="str">
        <x:f>IF($B81&lt;&gt;"",0,"")</x:f>
      </x:c>
      <x:c r="P81" s="75" t="str">
        <x:f>IF($B81&lt;&gt;"","Orta","")</x:f>
      </x:c>
      <x:c r="Q81" s="82" t="str">
        <x:f>IF($B81&lt;&gt;"",10,"")</x:f>
      </x:c>
      <x:c r="R81" s="83" t="str">
        <x:f>IF($B81&lt;&gt;"",Ayarlar!$B$10,"")</x:f>
      </x:c>
      <x:c r="S81" s="83" t="str">
        <x:f>IF($B81&lt;&gt;"",0,"")</x:f>
      </x:c>
      <x:c r="T81" s="83" t="n">
        <x:f>IFERROR(($K81+$O81)*XLOOKUP($G81,Ayarlar!$A$19:$A$28,Ayarlar!$C$19:$C$28,0)*(1+Ayarlar!$B$11),0)</x:f>
        <x:v>0</x:v>
      </x:c>
      <x:c r="U81" s="83" t="n">
        <x:f>IFERROR($N81/60*Ayarlar!$B$8,0)</x:f>
        <x:v>0</x:v>
      </x:c>
      <x:c r="V81" s="83" t="n">
        <x:f>IF($B81&lt;&gt;"",Ayarlar!$B$12+($Q81/60*Ayarlar!$B$9),0)</x:f>
        <x:v>0</x:v>
      </x:c>
      <x:c r="W81" s="83" t="n">
        <x:f>IF($B81&lt;&gt;"",SUM($T81:$V81,$R81:$S81),0)</x:f>
        <x:v>0</x:v>
      </x:c>
      <x:c r="X81" s="83" t="n">
        <x:f>IF($B81&lt;&gt;"",$W81*Ayarlar!$B$15,0)</x:f>
        <x:v>0</x:v>
      </x:c>
      <x:c r="Y81" s="83" t="n">
        <x:f>IF($B81&lt;&gt;"",($W81+$X81)*Ayarlar!$B$13,0)</x:f>
        <x:v>0</x:v>
      </x:c>
      <x:c r="Z81" s="83" t="n">
        <x:f>IF($B81&lt;&gt;"",($W81+$X81+$Y81)*Ayarlar!$B$14,0)</x:f>
        <x:v>0</x:v>
      </x:c>
      <x:c r="AA81" s="83" t="str">
        <x:f>IF($B81="","",IF(OR($K81="",$N81=""),"",CEILING($W81+$X81+$Y81+$Z81,Ayarlar!$B$16)))</x:f>
      </x:c>
      <x:c r="AB81" s="83" t="str">
        <x:f>IFERROR($AA81/$H81,"")</x:f>
      </x:c>
      <x:c r="AC81" s="75" t="str">
        <x:f>IF($B81="","",IF(OR($K81="",$N81=""),"Veri Eksik","Fiyat Hazır"))</x:f>
      </x:c>
      <x:c r="AD81" s="75" t="str">
        <x:f>IF($C81&lt;&gt;"","MW-"&amp;$C81,"")</x:f>
        <x:v>MW-80</x:v>
      </x:c>
      <x:c r="AE81" s="75" t="str">
        <x:f>IF($G81&lt;&gt;"","3D Baskı / "&amp;$G81,"3D Baskı")</x:f>
        <x:v>3D Baskı</x:v>
      </x:c>
      <x:c r="AF81" s="75" t="str">
        <x:f>IF($D81&lt;&gt;"",$D81&amp;" - "&amp;$G81,$AD81&amp;" - "&amp;$G81)</x:f>
        <x:v>MW-80 - </x:v>
      </x:c>
      <x:c r="AG81" s="75" t="str"/>
    </x:row>
    <x:row r="82">
      <x:c r="A82" s="75" t="str">
        <x:f>IF($B82&lt;&gt;"",ROW()-4,"")</x:f>
      </x:c>
      <x:c r="B82" s="75" t="str"/>
      <x:c r="C82" s="75" t="n">
        <x:f>IFERROR(LET(x,MID($B82,FIND("/models/",$B82)+8,80),y,LEFT(x,FIND("-",x&amp;"-")-1),LEFT(y,FIND("?",y&amp;"?")-1)),"")</x:f>
        <x:v>80</x:v>
      </x:c>
      <x:c r="D82" s="75" t="str">
        <x:f>IF($B82="","",IFERROR(XLOOKUP($C82,MakerWorld_Verileri!$A:$A,MakerWorld_Verileri!$B:$B,""),""))</x:f>
      </x:c>
      <x:c r="E82" s="75" t="str">
        <x:f>IF($B82="","",IFERROR(XLOOKUP($C82,MakerWorld_Verileri!$A:$A,MakerWorld_Verileri!$C:$C,""),""))</x:f>
      </x:c>
      <x:c r="F82" s="75" t="str"/>
      <x:c r="G82" s="75" t="str">
        <x:f>IF($B82&lt;&gt;"",Ayarlar!$B$7,"")</x:f>
      </x:c>
      <x:c r="H82" s="82" t="str">
        <x:f>IF($B82&lt;&gt;"",1,"")</x:f>
      </x:c>
      <x:c r="I82" s="82" t="str">
        <x:f>IF($B82="","",IFERROR(XLOOKUP($C82,MakerWorld_Verileri!$A:$A,MakerWorld_Verileri!$D:$D,""),""))</x:f>
      </x:c>
      <x:c r="J82" s="82" t="str"/>
      <x:c r="K82" s="82" t="str">
        <x:f>IF($I82&lt;&gt;"",$I82,$J82)</x:f>
      </x:c>
      <x:c r="L82" s="82" t="str">
        <x:f>IF($B82="","",IFERROR(XLOOKUP($C82,MakerWorld_Verileri!$A:$A,MakerWorld_Verileri!$E:$E,""),""))</x:f>
      </x:c>
      <x:c r="M82" s="82" t="str"/>
      <x:c r="N82" s="82" t="str">
        <x:f>IF($L82&lt;&gt;"",$L82,$M82)</x:f>
      </x:c>
      <x:c r="O82" s="82" t="str">
        <x:f>IF($B82&lt;&gt;"",0,"")</x:f>
      </x:c>
      <x:c r="P82" s="75" t="str">
        <x:f>IF($B82&lt;&gt;"","Orta","")</x:f>
      </x:c>
      <x:c r="Q82" s="82" t="str">
        <x:f>IF($B82&lt;&gt;"",10,"")</x:f>
      </x:c>
      <x:c r="R82" s="83" t="str">
        <x:f>IF($B82&lt;&gt;"",Ayarlar!$B$10,"")</x:f>
      </x:c>
      <x:c r="S82" s="83" t="str">
        <x:f>IF($B82&lt;&gt;"",0,"")</x:f>
      </x:c>
      <x:c r="T82" s="83" t="n">
        <x:f>IFERROR(($K82+$O82)*XLOOKUP($G82,Ayarlar!$A$19:$A$28,Ayarlar!$C$19:$C$28,0)*(1+Ayarlar!$B$11),0)</x:f>
        <x:v>0</x:v>
      </x:c>
      <x:c r="U82" s="83" t="n">
        <x:f>IFERROR($N82/60*Ayarlar!$B$8,0)</x:f>
        <x:v>0</x:v>
      </x:c>
      <x:c r="V82" s="83" t="n">
        <x:f>IF($B82&lt;&gt;"",Ayarlar!$B$12+($Q82/60*Ayarlar!$B$9),0)</x:f>
        <x:v>0</x:v>
      </x:c>
      <x:c r="W82" s="83" t="n">
        <x:f>IF($B82&lt;&gt;"",SUM($T82:$V82,$R82:$S82),0)</x:f>
        <x:v>0</x:v>
      </x:c>
      <x:c r="X82" s="83" t="n">
        <x:f>IF($B82&lt;&gt;"",$W82*Ayarlar!$B$15,0)</x:f>
        <x:v>0</x:v>
      </x:c>
      <x:c r="Y82" s="83" t="n">
        <x:f>IF($B82&lt;&gt;"",($W82+$X82)*Ayarlar!$B$13,0)</x:f>
        <x:v>0</x:v>
      </x:c>
      <x:c r="Z82" s="83" t="n">
        <x:f>IF($B82&lt;&gt;"",($W82+$X82+$Y82)*Ayarlar!$B$14,0)</x:f>
        <x:v>0</x:v>
      </x:c>
      <x:c r="AA82" s="83" t="str">
        <x:f>IF($B82="","",IF(OR($K82="",$N82=""),"",CEILING($W82+$X82+$Y82+$Z82,Ayarlar!$B$16)))</x:f>
      </x:c>
      <x:c r="AB82" s="83" t="str">
        <x:f>IFERROR($AA82/$H82,"")</x:f>
      </x:c>
      <x:c r="AC82" s="75" t="str">
        <x:f>IF($B82="","",IF(OR($K82="",$N82=""),"Veri Eksik","Fiyat Hazır"))</x:f>
      </x:c>
      <x:c r="AD82" s="75" t="str">
        <x:f>IF($C82&lt;&gt;"","MW-"&amp;$C82,"")</x:f>
        <x:v>MW-80</x:v>
      </x:c>
      <x:c r="AE82" s="75" t="str">
        <x:f>IF($G82&lt;&gt;"","3D Baskı / "&amp;$G82,"3D Baskı")</x:f>
        <x:v>3D Baskı</x:v>
      </x:c>
      <x:c r="AF82" s="75" t="str">
        <x:f>IF($D82&lt;&gt;"",$D82&amp;" - "&amp;$G82,$AD82&amp;" - "&amp;$G82)</x:f>
        <x:v>MW-80 - </x:v>
      </x:c>
      <x:c r="AG82" s="75" t="str"/>
    </x:row>
    <x:row r="83">
      <x:c r="A83" s="75" t="str">
        <x:f>IF($B83&lt;&gt;"",ROW()-4,"")</x:f>
      </x:c>
      <x:c r="B83" s="75" t="str"/>
      <x:c r="C83" s="75" t="n">
        <x:f>IFERROR(LET(x,MID($B83,FIND("/models/",$B83)+8,80),y,LEFT(x,FIND("-",x&amp;"-")-1),LEFT(y,FIND("?",y&amp;"?")-1)),"")</x:f>
        <x:v>80</x:v>
      </x:c>
      <x:c r="D83" s="75" t="str">
        <x:f>IF($B83="","",IFERROR(XLOOKUP($C83,MakerWorld_Verileri!$A:$A,MakerWorld_Verileri!$B:$B,""),""))</x:f>
      </x:c>
      <x:c r="E83" s="75" t="str">
        <x:f>IF($B83="","",IFERROR(XLOOKUP($C83,MakerWorld_Verileri!$A:$A,MakerWorld_Verileri!$C:$C,""),""))</x:f>
      </x:c>
      <x:c r="F83" s="75" t="str"/>
      <x:c r="G83" s="75" t="str">
        <x:f>IF($B83&lt;&gt;"",Ayarlar!$B$7,"")</x:f>
      </x:c>
      <x:c r="H83" s="82" t="str">
        <x:f>IF($B83&lt;&gt;"",1,"")</x:f>
      </x:c>
      <x:c r="I83" s="82" t="str">
        <x:f>IF($B83="","",IFERROR(XLOOKUP($C83,MakerWorld_Verileri!$A:$A,MakerWorld_Verileri!$D:$D,""),""))</x:f>
      </x:c>
      <x:c r="J83" s="82" t="str"/>
      <x:c r="K83" s="82" t="str">
        <x:f>IF($I83&lt;&gt;"",$I83,$J83)</x:f>
      </x:c>
      <x:c r="L83" s="82" t="str">
        <x:f>IF($B83="","",IFERROR(XLOOKUP($C83,MakerWorld_Verileri!$A:$A,MakerWorld_Verileri!$E:$E,""),""))</x:f>
      </x:c>
      <x:c r="M83" s="82" t="str"/>
      <x:c r="N83" s="82" t="str">
        <x:f>IF($L83&lt;&gt;"",$L83,$M83)</x:f>
      </x:c>
      <x:c r="O83" s="82" t="str">
        <x:f>IF($B83&lt;&gt;"",0,"")</x:f>
      </x:c>
      <x:c r="P83" s="75" t="str">
        <x:f>IF($B83&lt;&gt;"","Orta","")</x:f>
      </x:c>
      <x:c r="Q83" s="82" t="str">
        <x:f>IF($B83&lt;&gt;"",10,"")</x:f>
      </x:c>
      <x:c r="R83" s="83" t="str">
        <x:f>IF($B83&lt;&gt;"",Ayarlar!$B$10,"")</x:f>
      </x:c>
      <x:c r="S83" s="83" t="str">
        <x:f>IF($B83&lt;&gt;"",0,"")</x:f>
      </x:c>
      <x:c r="T83" s="83" t="n">
        <x:f>IFERROR(($K83+$O83)*XLOOKUP($G83,Ayarlar!$A$19:$A$28,Ayarlar!$C$19:$C$28,0)*(1+Ayarlar!$B$11),0)</x:f>
        <x:v>0</x:v>
      </x:c>
      <x:c r="U83" s="83" t="n">
        <x:f>IFERROR($N83/60*Ayarlar!$B$8,0)</x:f>
        <x:v>0</x:v>
      </x:c>
      <x:c r="V83" s="83" t="n">
        <x:f>IF($B83&lt;&gt;"",Ayarlar!$B$12+($Q83/60*Ayarlar!$B$9),0)</x:f>
        <x:v>0</x:v>
      </x:c>
      <x:c r="W83" s="83" t="n">
        <x:f>IF($B83&lt;&gt;"",SUM($T83:$V83,$R83:$S83),0)</x:f>
        <x:v>0</x:v>
      </x:c>
      <x:c r="X83" s="83" t="n">
        <x:f>IF($B83&lt;&gt;"",$W83*Ayarlar!$B$15,0)</x:f>
        <x:v>0</x:v>
      </x:c>
      <x:c r="Y83" s="83" t="n">
        <x:f>IF($B83&lt;&gt;"",($W83+$X83)*Ayarlar!$B$13,0)</x:f>
        <x:v>0</x:v>
      </x:c>
      <x:c r="Z83" s="83" t="n">
        <x:f>IF($B83&lt;&gt;"",($W83+$X83+$Y83)*Ayarlar!$B$14,0)</x:f>
        <x:v>0</x:v>
      </x:c>
      <x:c r="AA83" s="83" t="str">
        <x:f>IF($B83="","",IF(OR($K83="",$N83=""),"",CEILING($W83+$X83+$Y83+$Z83,Ayarlar!$B$16)))</x:f>
      </x:c>
      <x:c r="AB83" s="83" t="str">
        <x:f>IFERROR($AA83/$H83,"")</x:f>
      </x:c>
      <x:c r="AC83" s="75" t="str">
        <x:f>IF($B83="","",IF(OR($K83="",$N83=""),"Veri Eksik","Fiyat Hazır"))</x:f>
      </x:c>
      <x:c r="AD83" s="75" t="str">
        <x:f>IF($C83&lt;&gt;"","MW-"&amp;$C83,"")</x:f>
        <x:v>MW-80</x:v>
      </x:c>
      <x:c r="AE83" s="75" t="str">
        <x:f>IF($G83&lt;&gt;"","3D Baskı / "&amp;$G83,"3D Baskı")</x:f>
        <x:v>3D Baskı</x:v>
      </x:c>
      <x:c r="AF83" s="75" t="str">
        <x:f>IF($D83&lt;&gt;"",$D83&amp;" - "&amp;$G83,$AD83&amp;" - "&amp;$G83)</x:f>
        <x:v>MW-80 - </x:v>
      </x:c>
      <x:c r="AG83" s="75" t="str"/>
    </x:row>
    <x:row r="84">
      <x:c r="A84" s="75" t="str">
        <x:f>IF($B84&lt;&gt;"",ROW()-4,"")</x:f>
      </x:c>
      <x:c r="B84" s="75" t="str"/>
      <x:c r="C84" s="75" t="n">
        <x:f>IFERROR(LET(x,MID($B84,FIND("/models/",$B84)+8,80),y,LEFT(x,FIND("-",x&amp;"-")-1),LEFT(y,FIND("?",y&amp;"?")-1)),"")</x:f>
        <x:v>80</x:v>
      </x:c>
      <x:c r="D84" s="75" t="str">
        <x:f>IF($B84="","",IFERROR(XLOOKUP($C84,MakerWorld_Verileri!$A:$A,MakerWorld_Verileri!$B:$B,""),""))</x:f>
      </x:c>
      <x:c r="E84" s="75" t="str">
        <x:f>IF($B84="","",IFERROR(XLOOKUP($C84,MakerWorld_Verileri!$A:$A,MakerWorld_Verileri!$C:$C,""),""))</x:f>
      </x:c>
      <x:c r="F84" s="75" t="str"/>
      <x:c r="G84" s="75" t="str">
        <x:f>IF($B84&lt;&gt;"",Ayarlar!$B$7,"")</x:f>
      </x:c>
      <x:c r="H84" s="82" t="str">
        <x:f>IF($B84&lt;&gt;"",1,"")</x:f>
      </x:c>
      <x:c r="I84" s="82" t="str">
        <x:f>IF($B84="","",IFERROR(XLOOKUP($C84,MakerWorld_Verileri!$A:$A,MakerWorld_Verileri!$D:$D,""),""))</x:f>
      </x:c>
      <x:c r="J84" s="82" t="str"/>
      <x:c r="K84" s="82" t="str">
        <x:f>IF($I84&lt;&gt;"",$I84,$J84)</x:f>
      </x:c>
      <x:c r="L84" s="82" t="str">
        <x:f>IF($B84="","",IFERROR(XLOOKUP($C84,MakerWorld_Verileri!$A:$A,MakerWorld_Verileri!$E:$E,""),""))</x:f>
      </x:c>
      <x:c r="M84" s="82" t="str"/>
      <x:c r="N84" s="82" t="str">
        <x:f>IF($L84&lt;&gt;"",$L84,$M84)</x:f>
      </x:c>
      <x:c r="O84" s="82" t="str">
        <x:f>IF($B84&lt;&gt;"",0,"")</x:f>
      </x:c>
      <x:c r="P84" s="75" t="str">
        <x:f>IF($B84&lt;&gt;"","Orta","")</x:f>
      </x:c>
      <x:c r="Q84" s="82" t="str">
        <x:f>IF($B84&lt;&gt;"",10,"")</x:f>
      </x:c>
      <x:c r="R84" s="83" t="str">
        <x:f>IF($B84&lt;&gt;"",Ayarlar!$B$10,"")</x:f>
      </x:c>
      <x:c r="S84" s="83" t="str">
        <x:f>IF($B84&lt;&gt;"",0,"")</x:f>
      </x:c>
      <x:c r="T84" s="83" t="n">
        <x:f>IFERROR(($K84+$O84)*XLOOKUP($G84,Ayarlar!$A$19:$A$28,Ayarlar!$C$19:$C$28,0)*(1+Ayarlar!$B$11),0)</x:f>
        <x:v>0</x:v>
      </x:c>
      <x:c r="U84" s="83" t="n">
        <x:f>IFERROR($N84/60*Ayarlar!$B$8,0)</x:f>
        <x:v>0</x:v>
      </x:c>
      <x:c r="V84" s="83" t="n">
        <x:f>IF($B84&lt;&gt;"",Ayarlar!$B$12+($Q84/60*Ayarlar!$B$9),0)</x:f>
        <x:v>0</x:v>
      </x:c>
      <x:c r="W84" s="83" t="n">
        <x:f>IF($B84&lt;&gt;"",SUM($T84:$V84,$R84:$S84),0)</x:f>
        <x:v>0</x:v>
      </x:c>
      <x:c r="X84" s="83" t="n">
        <x:f>IF($B84&lt;&gt;"",$W84*Ayarlar!$B$15,0)</x:f>
        <x:v>0</x:v>
      </x:c>
      <x:c r="Y84" s="83" t="n">
        <x:f>IF($B84&lt;&gt;"",($W84+$X84)*Ayarlar!$B$13,0)</x:f>
        <x:v>0</x:v>
      </x:c>
      <x:c r="Z84" s="83" t="n">
        <x:f>IF($B84&lt;&gt;"",($W84+$X84+$Y84)*Ayarlar!$B$14,0)</x:f>
        <x:v>0</x:v>
      </x:c>
      <x:c r="AA84" s="83" t="str">
        <x:f>IF($B84="","",IF(OR($K84="",$N84=""),"",CEILING($W84+$X84+$Y84+$Z84,Ayarlar!$B$16)))</x:f>
      </x:c>
      <x:c r="AB84" s="83" t="str">
        <x:f>IFERROR($AA84/$H84,"")</x:f>
      </x:c>
      <x:c r="AC84" s="75" t="str">
        <x:f>IF($B84="","",IF(OR($K84="",$N84=""),"Veri Eksik","Fiyat Hazır"))</x:f>
      </x:c>
      <x:c r="AD84" s="75" t="str">
        <x:f>IF($C84&lt;&gt;"","MW-"&amp;$C84,"")</x:f>
        <x:v>MW-80</x:v>
      </x:c>
      <x:c r="AE84" s="75" t="str">
        <x:f>IF($G84&lt;&gt;"","3D Baskı / "&amp;$G84,"3D Baskı")</x:f>
        <x:v>3D Baskı</x:v>
      </x:c>
      <x:c r="AF84" s="75" t="str">
        <x:f>IF($D84&lt;&gt;"",$D84&amp;" - "&amp;$G84,$AD84&amp;" - "&amp;$G84)</x:f>
        <x:v>MW-80 - </x:v>
      </x:c>
      <x:c r="AG84" s="75" t="str"/>
    </x:row>
    <x:row r="85">
      <x:c r="A85" s="75" t="str">
        <x:f>IF($B85&lt;&gt;"",ROW()-4,"")</x:f>
      </x:c>
      <x:c r="B85" s="75" t="str"/>
      <x:c r="C85" s="75" t="n">
        <x:f>IFERROR(LET(x,MID($B85,FIND("/models/",$B85)+8,80),y,LEFT(x,FIND("-",x&amp;"-")-1),LEFT(y,FIND("?",y&amp;"?")-1)),"")</x:f>
        <x:v>80</x:v>
      </x:c>
      <x:c r="D85" s="75" t="str">
        <x:f>IF($B85="","",IFERROR(XLOOKUP($C85,MakerWorld_Verileri!$A:$A,MakerWorld_Verileri!$B:$B,""),""))</x:f>
      </x:c>
      <x:c r="E85" s="75" t="str">
        <x:f>IF($B85="","",IFERROR(XLOOKUP($C85,MakerWorld_Verileri!$A:$A,MakerWorld_Verileri!$C:$C,""),""))</x:f>
      </x:c>
      <x:c r="F85" s="75" t="str"/>
      <x:c r="G85" s="75" t="str">
        <x:f>IF($B85&lt;&gt;"",Ayarlar!$B$7,"")</x:f>
      </x:c>
      <x:c r="H85" s="82" t="str">
        <x:f>IF($B85&lt;&gt;"",1,"")</x:f>
      </x:c>
      <x:c r="I85" s="82" t="str">
        <x:f>IF($B85="","",IFERROR(XLOOKUP($C85,MakerWorld_Verileri!$A:$A,MakerWorld_Verileri!$D:$D,""),""))</x:f>
      </x:c>
      <x:c r="J85" s="82" t="str"/>
      <x:c r="K85" s="82" t="str">
        <x:f>IF($I85&lt;&gt;"",$I85,$J85)</x:f>
      </x:c>
      <x:c r="L85" s="82" t="str">
        <x:f>IF($B85="","",IFERROR(XLOOKUP($C85,MakerWorld_Verileri!$A:$A,MakerWorld_Verileri!$E:$E,""),""))</x:f>
      </x:c>
      <x:c r="M85" s="82" t="str"/>
      <x:c r="N85" s="82" t="str">
        <x:f>IF($L85&lt;&gt;"",$L85,$M85)</x:f>
      </x:c>
      <x:c r="O85" s="82" t="str">
        <x:f>IF($B85&lt;&gt;"",0,"")</x:f>
      </x:c>
      <x:c r="P85" s="75" t="str">
        <x:f>IF($B85&lt;&gt;"","Orta","")</x:f>
      </x:c>
      <x:c r="Q85" s="82" t="str">
        <x:f>IF($B85&lt;&gt;"",10,"")</x:f>
      </x:c>
      <x:c r="R85" s="83" t="str">
        <x:f>IF($B85&lt;&gt;"",Ayarlar!$B$10,"")</x:f>
      </x:c>
      <x:c r="S85" s="83" t="str">
        <x:f>IF($B85&lt;&gt;"",0,"")</x:f>
      </x:c>
      <x:c r="T85" s="83" t="n">
        <x:f>IFERROR(($K85+$O85)*XLOOKUP($G85,Ayarlar!$A$19:$A$28,Ayarlar!$C$19:$C$28,0)*(1+Ayarlar!$B$11),0)</x:f>
        <x:v>0</x:v>
      </x:c>
      <x:c r="U85" s="83" t="n">
        <x:f>IFERROR($N85/60*Ayarlar!$B$8,0)</x:f>
        <x:v>0</x:v>
      </x:c>
      <x:c r="V85" s="83" t="n">
        <x:f>IF($B85&lt;&gt;"",Ayarlar!$B$12+($Q85/60*Ayarlar!$B$9),0)</x:f>
        <x:v>0</x:v>
      </x:c>
      <x:c r="W85" s="83" t="n">
        <x:f>IF($B85&lt;&gt;"",SUM($T85:$V85,$R85:$S85),0)</x:f>
        <x:v>0</x:v>
      </x:c>
      <x:c r="X85" s="83" t="n">
        <x:f>IF($B85&lt;&gt;"",$W85*Ayarlar!$B$15,0)</x:f>
        <x:v>0</x:v>
      </x:c>
      <x:c r="Y85" s="83" t="n">
        <x:f>IF($B85&lt;&gt;"",($W85+$X85)*Ayarlar!$B$13,0)</x:f>
        <x:v>0</x:v>
      </x:c>
      <x:c r="Z85" s="83" t="n">
        <x:f>IF($B85&lt;&gt;"",($W85+$X85+$Y85)*Ayarlar!$B$14,0)</x:f>
        <x:v>0</x:v>
      </x:c>
      <x:c r="AA85" s="83" t="str">
        <x:f>IF($B85="","",IF(OR($K85="",$N85=""),"",CEILING($W85+$X85+$Y85+$Z85,Ayarlar!$B$16)))</x:f>
      </x:c>
      <x:c r="AB85" s="83" t="str">
        <x:f>IFERROR($AA85/$H85,"")</x:f>
      </x:c>
      <x:c r="AC85" s="75" t="str">
        <x:f>IF($B85="","",IF(OR($K85="",$N85=""),"Veri Eksik","Fiyat Hazır"))</x:f>
      </x:c>
      <x:c r="AD85" s="75" t="str">
        <x:f>IF($C85&lt;&gt;"","MW-"&amp;$C85,"")</x:f>
        <x:v>MW-80</x:v>
      </x:c>
      <x:c r="AE85" s="75" t="str">
        <x:f>IF($G85&lt;&gt;"","3D Baskı / "&amp;$G85,"3D Baskı")</x:f>
        <x:v>3D Baskı</x:v>
      </x:c>
      <x:c r="AF85" s="75" t="str">
        <x:f>IF($D85&lt;&gt;"",$D85&amp;" - "&amp;$G85,$AD85&amp;" - "&amp;$G85)</x:f>
        <x:v>MW-80 - </x:v>
      </x:c>
      <x:c r="AG85" s="75" t="str"/>
    </x:row>
    <x:row r="86">
      <x:c r="A86" s="75" t="str">
        <x:f>IF($B86&lt;&gt;"",ROW()-4,"")</x:f>
      </x:c>
      <x:c r="B86" s="75" t="str"/>
      <x:c r="C86" s="75" t="n">
        <x:f>IFERROR(LET(x,MID($B86,FIND("/models/",$B86)+8,80),y,LEFT(x,FIND("-",x&amp;"-")-1),LEFT(y,FIND("?",y&amp;"?")-1)),"")</x:f>
        <x:v>80</x:v>
      </x:c>
      <x:c r="D86" s="75" t="str">
        <x:f>IF($B86="","",IFERROR(XLOOKUP($C86,MakerWorld_Verileri!$A:$A,MakerWorld_Verileri!$B:$B,""),""))</x:f>
      </x:c>
      <x:c r="E86" s="75" t="str">
        <x:f>IF($B86="","",IFERROR(XLOOKUP($C86,MakerWorld_Verileri!$A:$A,MakerWorld_Verileri!$C:$C,""),""))</x:f>
      </x:c>
      <x:c r="F86" s="75" t="str"/>
      <x:c r="G86" s="75" t="str">
        <x:f>IF($B86&lt;&gt;"",Ayarlar!$B$7,"")</x:f>
      </x:c>
      <x:c r="H86" s="82" t="str">
        <x:f>IF($B86&lt;&gt;"",1,"")</x:f>
      </x:c>
      <x:c r="I86" s="82" t="str">
        <x:f>IF($B86="","",IFERROR(XLOOKUP($C86,MakerWorld_Verileri!$A:$A,MakerWorld_Verileri!$D:$D,""),""))</x:f>
      </x:c>
      <x:c r="J86" s="82" t="str"/>
      <x:c r="K86" s="82" t="str">
        <x:f>IF($I86&lt;&gt;"",$I86,$J86)</x:f>
      </x:c>
      <x:c r="L86" s="82" t="str">
        <x:f>IF($B86="","",IFERROR(XLOOKUP($C86,MakerWorld_Verileri!$A:$A,MakerWorld_Verileri!$E:$E,""),""))</x:f>
      </x:c>
      <x:c r="M86" s="82" t="str"/>
      <x:c r="N86" s="82" t="str">
        <x:f>IF($L86&lt;&gt;"",$L86,$M86)</x:f>
      </x:c>
      <x:c r="O86" s="82" t="str">
        <x:f>IF($B86&lt;&gt;"",0,"")</x:f>
      </x:c>
      <x:c r="P86" s="75" t="str">
        <x:f>IF($B86&lt;&gt;"","Orta","")</x:f>
      </x:c>
      <x:c r="Q86" s="82" t="str">
        <x:f>IF($B86&lt;&gt;"",10,"")</x:f>
      </x:c>
      <x:c r="R86" s="83" t="str">
        <x:f>IF($B86&lt;&gt;"",Ayarlar!$B$10,"")</x:f>
      </x:c>
      <x:c r="S86" s="83" t="str">
        <x:f>IF($B86&lt;&gt;"",0,"")</x:f>
      </x:c>
      <x:c r="T86" s="83" t="n">
        <x:f>IFERROR(($K86+$O86)*XLOOKUP($G86,Ayarlar!$A$19:$A$28,Ayarlar!$C$19:$C$28,0)*(1+Ayarlar!$B$11),0)</x:f>
        <x:v>0</x:v>
      </x:c>
      <x:c r="U86" s="83" t="n">
        <x:f>IFERROR($N86/60*Ayarlar!$B$8,0)</x:f>
        <x:v>0</x:v>
      </x:c>
      <x:c r="V86" s="83" t="n">
        <x:f>IF($B86&lt;&gt;"",Ayarlar!$B$12+($Q86/60*Ayarlar!$B$9),0)</x:f>
        <x:v>0</x:v>
      </x:c>
      <x:c r="W86" s="83" t="n">
        <x:f>IF($B86&lt;&gt;"",SUM($T86:$V86,$R86:$S86),0)</x:f>
        <x:v>0</x:v>
      </x:c>
      <x:c r="X86" s="83" t="n">
        <x:f>IF($B86&lt;&gt;"",$W86*Ayarlar!$B$15,0)</x:f>
        <x:v>0</x:v>
      </x:c>
      <x:c r="Y86" s="83" t="n">
        <x:f>IF($B86&lt;&gt;"",($W86+$X86)*Ayarlar!$B$13,0)</x:f>
        <x:v>0</x:v>
      </x:c>
      <x:c r="Z86" s="83" t="n">
        <x:f>IF($B86&lt;&gt;"",($W86+$X86+$Y86)*Ayarlar!$B$14,0)</x:f>
        <x:v>0</x:v>
      </x:c>
      <x:c r="AA86" s="83" t="str">
        <x:f>IF($B86="","",IF(OR($K86="",$N86=""),"",CEILING($W86+$X86+$Y86+$Z86,Ayarlar!$B$16)))</x:f>
      </x:c>
      <x:c r="AB86" s="83" t="str">
        <x:f>IFERROR($AA86/$H86,"")</x:f>
      </x:c>
      <x:c r="AC86" s="75" t="str">
        <x:f>IF($B86="","",IF(OR($K86="",$N86=""),"Veri Eksik","Fiyat Hazır"))</x:f>
      </x:c>
      <x:c r="AD86" s="75" t="str">
        <x:f>IF($C86&lt;&gt;"","MW-"&amp;$C86,"")</x:f>
        <x:v>MW-80</x:v>
      </x:c>
      <x:c r="AE86" s="75" t="str">
        <x:f>IF($G86&lt;&gt;"","3D Baskı / "&amp;$G86,"3D Baskı")</x:f>
        <x:v>3D Baskı</x:v>
      </x:c>
      <x:c r="AF86" s="75" t="str">
        <x:f>IF($D86&lt;&gt;"",$D86&amp;" - "&amp;$G86,$AD86&amp;" - "&amp;$G86)</x:f>
        <x:v>MW-80 - </x:v>
      </x:c>
      <x:c r="AG86" s="75" t="str"/>
    </x:row>
    <x:row r="87">
      <x:c r="A87" s="75" t="str">
        <x:f>IF($B87&lt;&gt;"",ROW()-4,"")</x:f>
      </x:c>
      <x:c r="B87" s="75" t="str"/>
      <x:c r="C87" s="75" t="n">
        <x:f>IFERROR(LET(x,MID($B87,FIND("/models/",$B87)+8,80),y,LEFT(x,FIND("-",x&amp;"-")-1),LEFT(y,FIND("?",y&amp;"?")-1)),"")</x:f>
        <x:v>80</x:v>
      </x:c>
      <x:c r="D87" s="75" t="str">
        <x:f>IF($B87="","",IFERROR(XLOOKUP($C87,MakerWorld_Verileri!$A:$A,MakerWorld_Verileri!$B:$B,""),""))</x:f>
      </x:c>
      <x:c r="E87" s="75" t="str">
        <x:f>IF($B87="","",IFERROR(XLOOKUP($C87,MakerWorld_Verileri!$A:$A,MakerWorld_Verileri!$C:$C,""),""))</x:f>
      </x:c>
      <x:c r="F87" s="75" t="str"/>
      <x:c r="G87" s="75" t="str">
        <x:f>IF($B87&lt;&gt;"",Ayarlar!$B$7,"")</x:f>
      </x:c>
      <x:c r="H87" s="82" t="str">
        <x:f>IF($B87&lt;&gt;"",1,"")</x:f>
      </x:c>
      <x:c r="I87" s="82" t="str">
        <x:f>IF($B87="","",IFERROR(XLOOKUP($C87,MakerWorld_Verileri!$A:$A,MakerWorld_Verileri!$D:$D,""),""))</x:f>
      </x:c>
      <x:c r="J87" s="82" t="str"/>
      <x:c r="K87" s="82" t="str">
        <x:f>IF($I87&lt;&gt;"",$I87,$J87)</x:f>
      </x:c>
      <x:c r="L87" s="82" t="str">
        <x:f>IF($B87="","",IFERROR(XLOOKUP($C87,MakerWorld_Verileri!$A:$A,MakerWorld_Verileri!$E:$E,""),""))</x:f>
      </x:c>
      <x:c r="M87" s="82" t="str"/>
      <x:c r="N87" s="82" t="str">
        <x:f>IF($L87&lt;&gt;"",$L87,$M87)</x:f>
      </x:c>
      <x:c r="O87" s="82" t="str">
        <x:f>IF($B87&lt;&gt;"",0,"")</x:f>
      </x:c>
      <x:c r="P87" s="75" t="str">
        <x:f>IF($B87&lt;&gt;"","Orta","")</x:f>
      </x:c>
      <x:c r="Q87" s="82" t="str">
        <x:f>IF($B87&lt;&gt;"",10,"")</x:f>
      </x:c>
      <x:c r="R87" s="83" t="str">
        <x:f>IF($B87&lt;&gt;"",Ayarlar!$B$10,"")</x:f>
      </x:c>
      <x:c r="S87" s="83" t="str">
        <x:f>IF($B87&lt;&gt;"",0,"")</x:f>
      </x:c>
      <x:c r="T87" s="83" t="n">
        <x:f>IFERROR(($K87+$O87)*XLOOKUP($G87,Ayarlar!$A$19:$A$28,Ayarlar!$C$19:$C$28,0)*(1+Ayarlar!$B$11),0)</x:f>
        <x:v>0</x:v>
      </x:c>
      <x:c r="U87" s="83" t="n">
        <x:f>IFERROR($N87/60*Ayarlar!$B$8,0)</x:f>
        <x:v>0</x:v>
      </x:c>
      <x:c r="V87" s="83" t="n">
        <x:f>IF($B87&lt;&gt;"",Ayarlar!$B$12+($Q87/60*Ayarlar!$B$9),0)</x:f>
        <x:v>0</x:v>
      </x:c>
      <x:c r="W87" s="83" t="n">
        <x:f>IF($B87&lt;&gt;"",SUM($T87:$V87,$R87:$S87),0)</x:f>
        <x:v>0</x:v>
      </x:c>
      <x:c r="X87" s="83" t="n">
        <x:f>IF($B87&lt;&gt;"",$W87*Ayarlar!$B$15,0)</x:f>
        <x:v>0</x:v>
      </x:c>
      <x:c r="Y87" s="83" t="n">
        <x:f>IF($B87&lt;&gt;"",($W87+$X87)*Ayarlar!$B$13,0)</x:f>
        <x:v>0</x:v>
      </x:c>
      <x:c r="Z87" s="83" t="n">
        <x:f>IF($B87&lt;&gt;"",($W87+$X87+$Y87)*Ayarlar!$B$14,0)</x:f>
        <x:v>0</x:v>
      </x:c>
      <x:c r="AA87" s="83" t="str">
        <x:f>IF($B87="","",IF(OR($K87="",$N87=""),"",CEILING($W87+$X87+$Y87+$Z87,Ayarlar!$B$16)))</x:f>
      </x:c>
      <x:c r="AB87" s="83" t="str">
        <x:f>IFERROR($AA87/$H87,"")</x:f>
      </x:c>
      <x:c r="AC87" s="75" t="str">
        <x:f>IF($B87="","",IF(OR($K87="",$N87=""),"Veri Eksik","Fiyat Hazır"))</x:f>
      </x:c>
      <x:c r="AD87" s="75" t="str">
        <x:f>IF($C87&lt;&gt;"","MW-"&amp;$C87,"")</x:f>
        <x:v>MW-80</x:v>
      </x:c>
      <x:c r="AE87" s="75" t="str">
        <x:f>IF($G87&lt;&gt;"","3D Baskı / "&amp;$G87,"3D Baskı")</x:f>
        <x:v>3D Baskı</x:v>
      </x:c>
      <x:c r="AF87" s="75" t="str">
        <x:f>IF($D87&lt;&gt;"",$D87&amp;" - "&amp;$G87,$AD87&amp;" - "&amp;$G87)</x:f>
        <x:v>MW-80 - </x:v>
      </x:c>
      <x:c r="AG87" s="75" t="str"/>
    </x:row>
    <x:row r="88">
      <x:c r="A88" s="75" t="str">
        <x:f>IF($B88&lt;&gt;"",ROW()-4,"")</x:f>
      </x:c>
      <x:c r="B88" s="75" t="str"/>
      <x:c r="C88" s="75" t="n">
        <x:f>IFERROR(LET(x,MID($B88,FIND("/models/",$B88)+8,80),y,LEFT(x,FIND("-",x&amp;"-")-1),LEFT(y,FIND("?",y&amp;"?")-1)),"")</x:f>
        <x:v>80</x:v>
      </x:c>
      <x:c r="D88" s="75" t="str">
        <x:f>IF($B88="","",IFERROR(XLOOKUP($C88,MakerWorld_Verileri!$A:$A,MakerWorld_Verileri!$B:$B,""),""))</x:f>
      </x:c>
      <x:c r="E88" s="75" t="str">
        <x:f>IF($B88="","",IFERROR(XLOOKUP($C88,MakerWorld_Verileri!$A:$A,MakerWorld_Verileri!$C:$C,""),""))</x:f>
      </x:c>
      <x:c r="F88" s="75" t="str"/>
      <x:c r="G88" s="75" t="str">
        <x:f>IF($B88&lt;&gt;"",Ayarlar!$B$7,"")</x:f>
      </x:c>
      <x:c r="H88" s="82" t="str">
        <x:f>IF($B88&lt;&gt;"",1,"")</x:f>
      </x:c>
      <x:c r="I88" s="82" t="str">
        <x:f>IF($B88="","",IFERROR(XLOOKUP($C88,MakerWorld_Verileri!$A:$A,MakerWorld_Verileri!$D:$D,""),""))</x:f>
      </x:c>
      <x:c r="J88" s="82" t="str"/>
      <x:c r="K88" s="82" t="str">
        <x:f>IF($I88&lt;&gt;"",$I88,$J88)</x:f>
      </x:c>
      <x:c r="L88" s="82" t="str">
        <x:f>IF($B88="","",IFERROR(XLOOKUP($C88,MakerWorld_Verileri!$A:$A,MakerWorld_Verileri!$E:$E,""),""))</x:f>
      </x:c>
      <x:c r="M88" s="82" t="str"/>
      <x:c r="N88" s="82" t="str">
        <x:f>IF($L88&lt;&gt;"",$L88,$M88)</x:f>
      </x:c>
      <x:c r="O88" s="82" t="str">
        <x:f>IF($B88&lt;&gt;"",0,"")</x:f>
      </x:c>
      <x:c r="P88" s="75" t="str">
        <x:f>IF($B88&lt;&gt;"","Orta","")</x:f>
      </x:c>
      <x:c r="Q88" s="82" t="str">
        <x:f>IF($B88&lt;&gt;"",10,"")</x:f>
      </x:c>
      <x:c r="R88" s="83" t="str">
        <x:f>IF($B88&lt;&gt;"",Ayarlar!$B$10,"")</x:f>
      </x:c>
      <x:c r="S88" s="83" t="str">
        <x:f>IF($B88&lt;&gt;"",0,"")</x:f>
      </x:c>
      <x:c r="T88" s="83" t="n">
        <x:f>IFERROR(($K88+$O88)*XLOOKUP($G88,Ayarlar!$A$19:$A$28,Ayarlar!$C$19:$C$28,0)*(1+Ayarlar!$B$11),0)</x:f>
        <x:v>0</x:v>
      </x:c>
      <x:c r="U88" s="83" t="n">
        <x:f>IFERROR($N88/60*Ayarlar!$B$8,0)</x:f>
        <x:v>0</x:v>
      </x:c>
      <x:c r="V88" s="83" t="n">
        <x:f>IF($B88&lt;&gt;"",Ayarlar!$B$12+($Q88/60*Ayarlar!$B$9),0)</x:f>
        <x:v>0</x:v>
      </x:c>
      <x:c r="W88" s="83" t="n">
        <x:f>IF($B88&lt;&gt;"",SUM($T88:$V88,$R88:$S88),0)</x:f>
        <x:v>0</x:v>
      </x:c>
      <x:c r="X88" s="83" t="n">
        <x:f>IF($B88&lt;&gt;"",$W88*Ayarlar!$B$15,0)</x:f>
        <x:v>0</x:v>
      </x:c>
      <x:c r="Y88" s="83" t="n">
        <x:f>IF($B88&lt;&gt;"",($W88+$X88)*Ayarlar!$B$13,0)</x:f>
        <x:v>0</x:v>
      </x:c>
      <x:c r="Z88" s="83" t="n">
        <x:f>IF($B88&lt;&gt;"",($W88+$X88+$Y88)*Ayarlar!$B$14,0)</x:f>
        <x:v>0</x:v>
      </x:c>
      <x:c r="AA88" s="83" t="str">
        <x:f>IF($B88="","",IF(OR($K88="",$N88=""),"",CEILING($W88+$X88+$Y88+$Z88,Ayarlar!$B$16)))</x:f>
      </x:c>
      <x:c r="AB88" s="83" t="str">
        <x:f>IFERROR($AA88/$H88,"")</x:f>
      </x:c>
      <x:c r="AC88" s="75" t="str">
        <x:f>IF($B88="","",IF(OR($K88="",$N88=""),"Veri Eksik","Fiyat Hazır"))</x:f>
      </x:c>
      <x:c r="AD88" s="75" t="str">
        <x:f>IF($C88&lt;&gt;"","MW-"&amp;$C88,"")</x:f>
        <x:v>MW-80</x:v>
      </x:c>
      <x:c r="AE88" s="75" t="str">
        <x:f>IF($G88&lt;&gt;"","3D Baskı / "&amp;$G88,"3D Baskı")</x:f>
        <x:v>3D Baskı</x:v>
      </x:c>
      <x:c r="AF88" s="75" t="str">
        <x:f>IF($D88&lt;&gt;"",$D88&amp;" - "&amp;$G88,$AD88&amp;" - "&amp;$G88)</x:f>
        <x:v>MW-80 - </x:v>
      </x:c>
      <x:c r="AG88" s="75" t="str"/>
    </x:row>
    <x:row r="89">
      <x:c r="A89" s="75" t="str">
        <x:f>IF($B89&lt;&gt;"",ROW()-4,"")</x:f>
      </x:c>
      <x:c r="B89" s="75" t="str"/>
      <x:c r="C89" s="75" t="n">
        <x:f>IFERROR(LET(x,MID($B89,FIND("/models/",$B89)+8,80),y,LEFT(x,FIND("-",x&amp;"-")-1),LEFT(y,FIND("?",y&amp;"?")-1)),"")</x:f>
        <x:v>80</x:v>
      </x:c>
      <x:c r="D89" s="75" t="str">
        <x:f>IF($B89="","",IFERROR(XLOOKUP($C89,MakerWorld_Verileri!$A:$A,MakerWorld_Verileri!$B:$B,""),""))</x:f>
      </x:c>
      <x:c r="E89" s="75" t="str">
        <x:f>IF($B89="","",IFERROR(XLOOKUP($C89,MakerWorld_Verileri!$A:$A,MakerWorld_Verileri!$C:$C,""),""))</x:f>
      </x:c>
      <x:c r="F89" s="75" t="str"/>
      <x:c r="G89" s="75" t="str">
        <x:f>IF($B89&lt;&gt;"",Ayarlar!$B$7,"")</x:f>
      </x:c>
      <x:c r="H89" s="82" t="str">
        <x:f>IF($B89&lt;&gt;"",1,"")</x:f>
      </x:c>
      <x:c r="I89" s="82" t="str">
        <x:f>IF($B89="","",IFERROR(XLOOKUP($C89,MakerWorld_Verileri!$A:$A,MakerWorld_Verileri!$D:$D,""),""))</x:f>
      </x:c>
      <x:c r="J89" s="82" t="str"/>
      <x:c r="K89" s="82" t="str">
        <x:f>IF($I89&lt;&gt;"",$I89,$J89)</x:f>
      </x:c>
      <x:c r="L89" s="82" t="str">
        <x:f>IF($B89="","",IFERROR(XLOOKUP($C89,MakerWorld_Verileri!$A:$A,MakerWorld_Verileri!$E:$E,""),""))</x:f>
      </x:c>
      <x:c r="M89" s="82" t="str"/>
      <x:c r="N89" s="82" t="str">
        <x:f>IF($L89&lt;&gt;"",$L89,$M89)</x:f>
      </x:c>
      <x:c r="O89" s="82" t="str">
        <x:f>IF($B89&lt;&gt;"",0,"")</x:f>
      </x:c>
      <x:c r="P89" s="75" t="str">
        <x:f>IF($B89&lt;&gt;"","Orta","")</x:f>
      </x:c>
      <x:c r="Q89" s="82" t="str">
        <x:f>IF($B89&lt;&gt;"",10,"")</x:f>
      </x:c>
      <x:c r="R89" s="83" t="str">
        <x:f>IF($B89&lt;&gt;"",Ayarlar!$B$10,"")</x:f>
      </x:c>
      <x:c r="S89" s="83" t="str">
        <x:f>IF($B89&lt;&gt;"",0,"")</x:f>
      </x:c>
      <x:c r="T89" s="83" t="n">
        <x:f>IFERROR(($K89+$O89)*XLOOKUP($G89,Ayarlar!$A$19:$A$28,Ayarlar!$C$19:$C$28,0)*(1+Ayarlar!$B$11),0)</x:f>
        <x:v>0</x:v>
      </x:c>
      <x:c r="U89" s="83" t="n">
        <x:f>IFERROR($N89/60*Ayarlar!$B$8,0)</x:f>
        <x:v>0</x:v>
      </x:c>
      <x:c r="V89" s="83" t="n">
        <x:f>IF($B89&lt;&gt;"",Ayarlar!$B$12+($Q89/60*Ayarlar!$B$9),0)</x:f>
        <x:v>0</x:v>
      </x:c>
      <x:c r="W89" s="83" t="n">
        <x:f>IF($B89&lt;&gt;"",SUM($T89:$V89,$R89:$S89),0)</x:f>
        <x:v>0</x:v>
      </x:c>
      <x:c r="X89" s="83" t="n">
        <x:f>IF($B89&lt;&gt;"",$W89*Ayarlar!$B$15,0)</x:f>
        <x:v>0</x:v>
      </x:c>
      <x:c r="Y89" s="83" t="n">
        <x:f>IF($B89&lt;&gt;"",($W89+$X89)*Ayarlar!$B$13,0)</x:f>
        <x:v>0</x:v>
      </x:c>
      <x:c r="Z89" s="83" t="n">
        <x:f>IF($B89&lt;&gt;"",($W89+$X89+$Y89)*Ayarlar!$B$14,0)</x:f>
        <x:v>0</x:v>
      </x:c>
      <x:c r="AA89" s="83" t="str">
        <x:f>IF($B89="","",IF(OR($K89="",$N89=""),"",CEILING($W89+$X89+$Y89+$Z89,Ayarlar!$B$16)))</x:f>
      </x:c>
      <x:c r="AB89" s="83" t="str">
        <x:f>IFERROR($AA89/$H89,"")</x:f>
      </x:c>
      <x:c r="AC89" s="75" t="str">
        <x:f>IF($B89="","",IF(OR($K89="",$N89=""),"Veri Eksik","Fiyat Hazır"))</x:f>
      </x:c>
      <x:c r="AD89" s="75" t="str">
        <x:f>IF($C89&lt;&gt;"","MW-"&amp;$C89,"")</x:f>
        <x:v>MW-80</x:v>
      </x:c>
      <x:c r="AE89" s="75" t="str">
        <x:f>IF($G89&lt;&gt;"","3D Baskı / "&amp;$G89,"3D Baskı")</x:f>
        <x:v>3D Baskı</x:v>
      </x:c>
      <x:c r="AF89" s="75" t="str">
        <x:f>IF($D89&lt;&gt;"",$D89&amp;" - "&amp;$G89,$AD89&amp;" - "&amp;$G89)</x:f>
        <x:v>MW-80 - </x:v>
      </x:c>
      <x:c r="AG89" s="75" t="str"/>
    </x:row>
    <x:row r="90">
      <x:c r="A90" s="75" t="str">
        <x:f>IF($B90&lt;&gt;"",ROW()-4,"")</x:f>
      </x:c>
      <x:c r="B90" s="75" t="str"/>
      <x:c r="C90" s="75" t="n">
        <x:f>IFERROR(LET(x,MID($B90,FIND("/models/",$B90)+8,80),y,LEFT(x,FIND("-",x&amp;"-")-1),LEFT(y,FIND("?",y&amp;"?")-1)),"")</x:f>
        <x:v>80</x:v>
      </x:c>
      <x:c r="D90" s="75" t="str">
        <x:f>IF($B90="","",IFERROR(XLOOKUP($C90,MakerWorld_Verileri!$A:$A,MakerWorld_Verileri!$B:$B,""),""))</x:f>
      </x:c>
      <x:c r="E90" s="75" t="str">
        <x:f>IF($B90="","",IFERROR(XLOOKUP($C90,MakerWorld_Verileri!$A:$A,MakerWorld_Verileri!$C:$C,""),""))</x:f>
      </x:c>
      <x:c r="F90" s="75" t="str"/>
      <x:c r="G90" s="75" t="str">
        <x:f>IF($B90&lt;&gt;"",Ayarlar!$B$7,"")</x:f>
      </x:c>
      <x:c r="H90" s="82" t="str">
        <x:f>IF($B90&lt;&gt;"",1,"")</x:f>
      </x:c>
      <x:c r="I90" s="82" t="str">
        <x:f>IF($B90="","",IFERROR(XLOOKUP($C90,MakerWorld_Verileri!$A:$A,MakerWorld_Verileri!$D:$D,""),""))</x:f>
      </x:c>
      <x:c r="J90" s="82" t="str"/>
      <x:c r="K90" s="82" t="str">
        <x:f>IF($I90&lt;&gt;"",$I90,$J90)</x:f>
      </x:c>
      <x:c r="L90" s="82" t="str">
        <x:f>IF($B90="","",IFERROR(XLOOKUP($C90,MakerWorld_Verileri!$A:$A,MakerWorld_Verileri!$E:$E,""),""))</x:f>
      </x:c>
      <x:c r="M90" s="82" t="str"/>
      <x:c r="N90" s="82" t="str">
        <x:f>IF($L90&lt;&gt;"",$L90,$M90)</x:f>
      </x:c>
      <x:c r="O90" s="82" t="str">
        <x:f>IF($B90&lt;&gt;"",0,"")</x:f>
      </x:c>
      <x:c r="P90" s="75" t="str">
        <x:f>IF($B90&lt;&gt;"","Orta","")</x:f>
      </x:c>
      <x:c r="Q90" s="82" t="str">
        <x:f>IF($B90&lt;&gt;"",10,"")</x:f>
      </x:c>
      <x:c r="R90" s="83" t="str">
        <x:f>IF($B90&lt;&gt;"",Ayarlar!$B$10,"")</x:f>
      </x:c>
      <x:c r="S90" s="83" t="str">
        <x:f>IF($B90&lt;&gt;"",0,"")</x:f>
      </x:c>
      <x:c r="T90" s="83" t="n">
        <x:f>IFERROR(($K90+$O90)*XLOOKUP($G90,Ayarlar!$A$19:$A$28,Ayarlar!$C$19:$C$28,0)*(1+Ayarlar!$B$11),0)</x:f>
        <x:v>0</x:v>
      </x:c>
      <x:c r="U90" s="83" t="n">
        <x:f>IFERROR($N90/60*Ayarlar!$B$8,0)</x:f>
        <x:v>0</x:v>
      </x:c>
      <x:c r="V90" s="83" t="n">
        <x:f>IF($B90&lt;&gt;"",Ayarlar!$B$12+($Q90/60*Ayarlar!$B$9),0)</x:f>
        <x:v>0</x:v>
      </x:c>
      <x:c r="W90" s="83" t="n">
        <x:f>IF($B90&lt;&gt;"",SUM($T90:$V90,$R90:$S90),0)</x:f>
        <x:v>0</x:v>
      </x:c>
      <x:c r="X90" s="83" t="n">
        <x:f>IF($B90&lt;&gt;"",$W90*Ayarlar!$B$15,0)</x:f>
        <x:v>0</x:v>
      </x:c>
      <x:c r="Y90" s="83" t="n">
        <x:f>IF($B90&lt;&gt;"",($W90+$X90)*Ayarlar!$B$13,0)</x:f>
        <x:v>0</x:v>
      </x:c>
      <x:c r="Z90" s="83" t="n">
        <x:f>IF($B90&lt;&gt;"",($W90+$X90+$Y90)*Ayarlar!$B$14,0)</x:f>
        <x:v>0</x:v>
      </x:c>
      <x:c r="AA90" s="83" t="str">
        <x:f>IF($B90="","",IF(OR($K90="",$N90=""),"",CEILING($W90+$X90+$Y90+$Z90,Ayarlar!$B$16)))</x:f>
      </x:c>
      <x:c r="AB90" s="83" t="str">
        <x:f>IFERROR($AA90/$H90,"")</x:f>
      </x:c>
      <x:c r="AC90" s="75" t="str">
        <x:f>IF($B90="","",IF(OR($K90="",$N90=""),"Veri Eksik","Fiyat Hazır"))</x:f>
      </x:c>
      <x:c r="AD90" s="75" t="str">
        <x:f>IF($C90&lt;&gt;"","MW-"&amp;$C90,"")</x:f>
        <x:v>MW-80</x:v>
      </x:c>
      <x:c r="AE90" s="75" t="str">
        <x:f>IF($G90&lt;&gt;"","3D Baskı / "&amp;$G90,"3D Baskı")</x:f>
        <x:v>3D Baskı</x:v>
      </x:c>
      <x:c r="AF90" s="75" t="str">
        <x:f>IF($D90&lt;&gt;"",$D90&amp;" - "&amp;$G90,$AD90&amp;" - "&amp;$G90)</x:f>
        <x:v>MW-80 - </x:v>
      </x:c>
      <x:c r="AG90" s="75" t="str"/>
    </x:row>
    <x:row r="91">
      <x:c r="A91" s="75" t="str">
        <x:f>IF($B91&lt;&gt;"",ROW()-4,"")</x:f>
      </x:c>
      <x:c r="B91" s="75" t="str"/>
      <x:c r="C91" s="75" t="n">
        <x:f>IFERROR(LET(x,MID($B91,FIND("/models/",$B91)+8,80),y,LEFT(x,FIND("-",x&amp;"-")-1),LEFT(y,FIND("?",y&amp;"?")-1)),"")</x:f>
        <x:v>80</x:v>
      </x:c>
      <x:c r="D91" s="75" t="str">
        <x:f>IF($B91="","",IFERROR(XLOOKUP($C91,MakerWorld_Verileri!$A:$A,MakerWorld_Verileri!$B:$B,""),""))</x:f>
      </x:c>
      <x:c r="E91" s="75" t="str">
        <x:f>IF($B91="","",IFERROR(XLOOKUP($C91,MakerWorld_Verileri!$A:$A,MakerWorld_Verileri!$C:$C,""),""))</x:f>
      </x:c>
      <x:c r="F91" s="75" t="str"/>
      <x:c r="G91" s="75" t="str">
        <x:f>IF($B91&lt;&gt;"",Ayarlar!$B$7,"")</x:f>
      </x:c>
      <x:c r="H91" s="82" t="str">
        <x:f>IF($B91&lt;&gt;"",1,"")</x:f>
      </x:c>
      <x:c r="I91" s="82" t="str">
        <x:f>IF($B91="","",IFERROR(XLOOKUP($C91,MakerWorld_Verileri!$A:$A,MakerWorld_Verileri!$D:$D,""),""))</x:f>
      </x:c>
      <x:c r="J91" s="82" t="str"/>
      <x:c r="K91" s="82" t="str">
        <x:f>IF($I91&lt;&gt;"",$I91,$J91)</x:f>
      </x:c>
      <x:c r="L91" s="82" t="str">
        <x:f>IF($B91="","",IFERROR(XLOOKUP($C91,MakerWorld_Verileri!$A:$A,MakerWorld_Verileri!$E:$E,""),""))</x:f>
      </x:c>
      <x:c r="M91" s="82" t="str"/>
      <x:c r="N91" s="82" t="str">
        <x:f>IF($L91&lt;&gt;"",$L91,$M91)</x:f>
      </x:c>
      <x:c r="O91" s="82" t="str">
        <x:f>IF($B91&lt;&gt;"",0,"")</x:f>
      </x:c>
      <x:c r="P91" s="75" t="str">
        <x:f>IF($B91&lt;&gt;"","Orta","")</x:f>
      </x:c>
      <x:c r="Q91" s="82" t="str">
        <x:f>IF($B91&lt;&gt;"",10,"")</x:f>
      </x:c>
      <x:c r="R91" s="83" t="str">
        <x:f>IF($B91&lt;&gt;"",Ayarlar!$B$10,"")</x:f>
      </x:c>
      <x:c r="S91" s="83" t="str">
        <x:f>IF($B91&lt;&gt;"",0,"")</x:f>
      </x:c>
      <x:c r="T91" s="83" t="n">
        <x:f>IFERROR(($K91+$O91)*XLOOKUP($G91,Ayarlar!$A$19:$A$28,Ayarlar!$C$19:$C$28,0)*(1+Ayarlar!$B$11),0)</x:f>
        <x:v>0</x:v>
      </x:c>
      <x:c r="U91" s="83" t="n">
        <x:f>IFERROR($N91/60*Ayarlar!$B$8,0)</x:f>
        <x:v>0</x:v>
      </x:c>
      <x:c r="V91" s="83" t="n">
        <x:f>IF($B91&lt;&gt;"",Ayarlar!$B$12+($Q91/60*Ayarlar!$B$9),0)</x:f>
        <x:v>0</x:v>
      </x:c>
      <x:c r="W91" s="83" t="n">
        <x:f>IF($B91&lt;&gt;"",SUM($T91:$V91,$R91:$S91),0)</x:f>
        <x:v>0</x:v>
      </x:c>
      <x:c r="X91" s="83" t="n">
        <x:f>IF($B91&lt;&gt;"",$W91*Ayarlar!$B$15,0)</x:f>
        <x:v>0</x:v>
      </x:c>
      <x:c r="Y91" s="83" t="n">
        <x:f>IF($B91&lt;&gt;"",($W91+$X91)*Ayarlar!$B$13,0)</x:f>
        <x:v>0</x:v>
      </x:c>
      <x:c r="Z91" s="83" t="n">
        <x:f>IF($B91&lt;&gt;"",($W91+$X91+$Y91)*Ayarlar!$B$14,0)</x:f>
        <x:v>0</x:v>
      </x:c>
      <x:c r="AA91" s="83" t="str">
        <x:f>IF($B91="","",IF(OR($K91="",$N91=""),"",CEILING($W91+$X91+$Y91+$Z91,Ayarlar!$B$16)))</x:f>
      </x:c>
      <x:c r="AB91" s="83" t="str">
        <x:f>IFERROR($AA91/$H91,"")</x:f>
      </x:c>
      <x:c r="AC91" s="75" t="str">
        <x:f>IF($B91="","",IF(OR($K91="",$N91=""),"Veri Eksik","Fiyat Hazır"))</x:f>
      </x:c>
      <x:c r="AD91" s="75" t="str">
        <x:f>IF($C91&lt;&gt;"","MW-"&amp;$C91,"")</x:f>
        <x:v>MW-80</x:v>
      </x:c>
      <x:c r="AE91" s="75" t="str">
        <x:f>IF($G91&lt;&gt;"","3D Baskı / "&amp;$G91,"3D Baskı")</x:f>
        <x:v>3D Baskı</x:v>
      </x:c>
      <x:c r="AF91" s="75" t="str">
        <x:f>IF($D91&lt;&gt;"",$D91&amp;" - "&amp;$G91,$AD91&amp;" - "&amp;$G91)</x:f>
        <x:v>MW-80 - </x:v>
      </x:c>
      <x:c r="AG91" s="75" t="str"/>
    </x:row>
    <x:row r="92">
      <x:c r="A92" s="75" t="str">
        <x:f>IF($B92&lt;&gt;"",ROW()-4,"")</x:f>
      </x:c>
      <x:c r="B92" s="75" t="str"/>
      <x:c r="C92" s="75" t="n">
        <x:f>IFERROR(LET(x,MID($B92,FIND("/models/",$B92)+8,80),y,LEFT(x,FIND("-",x&amp;"-")-1),LEFT(y,FIND("?",y&amp;"?")-1)),"")</x:f>
        <x:v>80</x:v>
      </x:c>
      <x:c r="D92" s="75" t="str">
        <x:f>IF($B92="","",IFERROR(XLOOKUP($C92,MakerWorld_Verileri!$A:$A,MakerWorld_Verileri!$B:$B,""),""))</x:f>
      </x:c>
      <x:c r="E92" s="75" t="str">
        <x:f>IF($B92="","",IFERROR(XLOOKUP($C92,MakerWorld_Verileri!$A:$A,MakerWorld_Verileri!$C:$C,""),""))</x:f>
      </x:c>
      <x:c r="F92" s="75" t="str"/>
      <x:c r="G92" s="75" t="str">
        <x:f>IF($B92&lt;&gt;"",Ayarlar!$B$7,"")</x:f>
      </x:c>
      <x:c r="H92" s="82" t="str">
        <x:f>IF($B92&lt;&gt;"",1,"")</x:f>
      </x:c>
      <x:c r="I92" s="82" t="str">
        <x:f>IF($B92="","",IFERROR(XLOOKUP($C92,MakerWorld_Verileri!$A:$A,MakerWorld_Verileri!$D:$D,""),""))</x:f>
      </x:c>
      <x:c r="J92" s="82" t="str"/>
      <x:c r="K92" s="82" t="str">
        <x:f>IF($I92&lt;&gt;"",$I92,$J92)</x:f>
      </x:c>
      <x:c r="L92" s="82" t="str">
        <x:f>IF($B92="","",IFERROR(XLOOKUP($C92,MakerWorld_Verileri!$A:$A,MakerWorld_Verileri!$E:$E,""),""))</x:f>
      </x:c>
      <x:c r="M92" s="82" t="str"/>
      <x:c r="N92" s="82" t="str">
        <x:f>IF($L92&lt;&gt;"",$L92,$M92)</x:f>
      </x:c>
      <x:c r="O92" s="82" t="str">
        <x:f>IF($B92&lt;&gt;"",0,"")</x:f>
      </x:c>
      <x:c r="P92" s="75" t="str">
        <x:f>IF($B92&lt;&gt;"","Orta","")</x:f>
      </x:c>
      <x:c r="Q92" s="82" t="str">
        <x:f>IF($B92&lt;&gt;"",10,"")</x:f>
      </x:c>
      <x:c r="R92" s="83" t="str">
        <x:f>IF($B92&lt;&gt;"",Ayarlar!$B$10,"")</x:f>
      </x:c>
      <x:c r="S92" s="83" t="str">
        <x:f>IF($B92&lt;&gt;"",0,"")</x:f>
      </x:c>
      <x:c r="T92" s="83" t="n">
        <x:f>IFERROR(($K92+$O92)*XLOOKUP($G92,Ayarlar!$A$19:$A$28,Ayarlar!$C$19:$C$28,0)*(1+Ayarlar!$B$11),0)</x:f>
        <x:v>0</x:v>
      </x:c>
      <x:c r="U92" s="83" t="n">
        <x:f>IFERROR($N92/60*Ayarlar!$B$8,0)</x:f>
        <x:v>0</x:v>
      </x:c>
      <x:c r="V92" s="83" t="n">
        <x:f>IF($B92&lt;&gt;"",Ayarlar!$B$12+($Q92/60*Ayarlar!$B$9),0)</x:f>
        <x:v>0</x:v>
      </x:c>
      <x:c r="W92" s="83" t="n">
        <x:f>IF($B92&lt;&gt;"",SUM($T92:$V92,$R92:$S92),0)</x:f>
        <x:v>0</x:v>
      </x:c>
      <x:c r="X92" s="83" t="n">
        <x:f>IF($B92&lt;&gt;"",$W92*Ayarlar!$B$15,0)</x:f>
        <x:v>0</x:v>
      </x:c>
      <x:c r="Y92" s="83" t="n">
        <x:f>IF($B92&lt;&gt;"",($W92+$X92)*Ayarlar!$B$13,0)</x:f>
        <x:v>0</x:v>
      </x:c>
      <x:c r="Z92" s="83" t="n">
        <x:f>IF($B92&lt;&gt;"",($W92+$X92+$Y92)*Ayarlar!$B$14,0)</x:f>
        <x:v>0</x:v>
      </x:c>
      <x:c r="AA92" s="83" t="str">
        <x:f>IF($B92="","",IF(OR($K92="",$N92=""),"",CEILING($W92+$X92+$Y92+$Z92,Ayarlar!$B$16)))</x:f>
      </x:c>
      <x:c r="AB92" s="83" t="str">
        <x:f>IFERROR($AA92/$H92,"")</x:f>
      </x:c>
      <x:c r="AC92" s="75" t="str">
        <x:f>IF($B92="","",IF(OR($K92="",$N92=""),"Veri Eksik","Fiyat Hazır"))</x:f>
      </x:c>
      <x:c r="AD92" s="75" t="str">
        <x:f>IF($C92&lt;&gt;"","MW-"&amp;$C92,"")</x:f>
        <x:v>MW-80</x:v>
      </x:c>
      <x:c r="AE92" s="75" t="str">
        <x:f>IF($G92&lt;&gt;"","3D Baskı / "&amp;$G92,"3D Baskı")</x:f>
        <x:v>3D Baskı</x:v>
      </x:c>
      <x:c r="AF92" s="75" t="str">
        <x:f>IF($D92&lt;&gt;"",$D92&amp;" - "&amp;$G92,$AD92&amp;" - "&amp;$G92)</x:f>
        <x:v>MW-80 - </x:v>
      </x:c>
      <x:c r="AG92" s="75" t="str"/>
    </x:row>
    <x:row r="93">
      <x:c r="A93" s="75" t="str">
        <x:f>IF($B93&lt;&gt;"",ROW()-4,"")</x:f>
      </x:c>
      <x:c r="B93" s="75" t="str"/>
      <x:c r="C93" s="75" t="n">
        <x:f>IFERROR(LET(x,MID($B93,FIND("/models/",$B93)+8,80),y,LEFT(x,FIND("-",x&amp;"-")-1),LEFT(y,FIND("?",y&amp;"?")-1)),"")</x:f>
        <x:v>80</x:v>
      </x:c>
      <x:c r="D93" s="75" t="str">
        <x:f>IF($B93="","",IFERROR(XLOOKUP($C93,MakerWorld_Verileri!$A:$A,MakerWorld_Verileri!$B:$B,""),""))</x:f>
      </x:c>
      <x:c r="E93" s="75" t="str">
        <x:f>IF($B93="","",IFERROR(XLOOKUP($C93,MakerWorld_Verileri!$A:$A,MakerWorld_Verileri!$C:$C,""),""))</x:f>
      </x:c>
      <x:c r="F93" s="75" t="str"/>
      <x:c r="G93" s="75" t="str">
        <x:f>IF($B93&lt;&gt;"",Ayarlar!$B$7,"")</x:f>
      </x:c>
      <x:c r="H93" s="82" t="str">
        <x:f>IF($B93&lt;&gt;"",1,"")</x:f>
      </x:c>
      <x:c r="I93" s="82" t="str">
        <x:f>IF($B93="","",IFERROR(XLOOKUP($C93,MakerWorld_Verileri!$A:$A,MakerWorld_Verileri!$D:$D,""),""))</x:f>
      </x:c>
      <x:c r="J93" s="82" t="str"/>
      <x:c r="K93" s="82" t="str">
        <x:f>IF($I93&lt;&gt;"",$I93,$J93)</x:f>
      </x:c>
      <x:c r="L93" s="82" t="str">
        <x:f>IF($B93="","",IFERROR(XLOOKUP($C93,MakerWorld_Verileri!$A:$A,MakerWorld_Verileri!$E:$E,""),""))</x:f>
      </x:c>
      <x:c r="M93" s="82" t="str"/>
      <x:c r="N93" s="82" t="str">
        <x:f>IF($L93&lt;&gt;"",$L93,$M93)</x:f>
      </x:c>
      <x:c r="O93" s="82" t="str">
        <x:f>IF($B93&lt;&gt;"",0,"")</x:f>
      </x:c>
      <x:c r="P93" s="75" t="str">
        <x:f>IF($B93&lt;&gt;"","Orta","")</x:f>
      </x:c>
      <x:c r="Q93" s="82" t="str">
        <x:f>IF($B93&lt;&gt;"",10,"")</x:f>
      </x:c>
      <x:c r="R93" s="83" t="str">
        <x:f>IF($B93&lt;&gt;"",Ayarlar!$B$10,"")</x:f>
      </x:c>
      <x:c r="S93" s="83" t="str">
        <x:f>IF($B93&lt;&gt;"",0,"")</x:f>
      </x:c>
      <x:c r="T93" s="83" t="n">
        <x:f>IFERROR(($K93+$O93)*XLOOKUP($G93,Ayarlar!$A$19:$A$28,Ayarlar!$C$19:$C$28,0)*(1+Ayarlar!$B$11),0)</x:f>
        <x:v>0</x:v>
      </x:c>
      <x:c r="U93" s="83" t="n">
        <x:f>IFERROR($N93/60*Ayarlar!$B$8,0)</x:f>
        <x:v>0</x:v>
      </x:c>
      <x:c r="V93" s="83" t="n">
        <x:f>IF($B93&lt;&gt;"",Ayarlar!$B$12+($Q93/60*Ayarlar!$B$9),0)</x:f>
        <x:v>0</x:v>
      </x:c>
      <x:c r="W93" s="83" t="n">
        <x:f>IF($B93&lt;&gt;"",SUM($T93:$V93,$R93:$S93),0)</x:f>
        <x:v>0</x:v>
      </x:c>
      <x:c r="X93" s="83" t="n">
        <x:f>IF($B93&lt;&gt;"",$W93*Ayarlar!$B$15,0)</x:f>
        <x:v>0</x:v>
      </x:c>
      <x:c r="Y93" s="83" t="n">
        <x:f>IF($B93&lt;&gt;"",($W93+$X93)*Ayarlar!$B$13,0)</x:f>
        <x:v>0</x:v>
      </x:c>
      <x:c r="Z93" s="83" t="n">
        <x:f>IF($B93&lt;&gt;"",($W93+$X93+$Y93)*Ayarlar!$B$14,0)</x:f>
        <x:v>0</x:v>
      </x:c>
      <x:c r="AA93" s="83" t="str">
        <x:f>IF($B93="","",IF(OR($K93="",$N93=""),"",CEILING($W93+$X93+$Y93+$Z93,Ayarlar!$B$16)))</x:f>
      </x:c>
      <x:c r="AB93" s="83" t="str">
        <x:f>IFERROR($AA93/$H93,"")</x:f>
      </x:c>
      <x:c r="AC93" s="75" t="str">
        <x:f>IF($B93="","",IF(OR($K93="",$N93=""),"Veri Eksik","Fiyat Hazır"))</x:f>
      </x:c>
      <x:c r="AD93" s="75" t="str">
        <x:f>IF($C93&lt;&gt;"","MW-"&amp;$C93,"")</x:f>
        <x:v>MW-80</x:v>
      </x:c>
      <x:c r="AE93" s="75" t="str">
        <x:f>IF($G93&lt;&gt;"","3D Baskı / "&amp;$G93,"3D Baskı")</x:f>
        <x:v>3D Baskı</x:v>
      </x:c>
      <x:c r="AF93" s="75" t="str">
        <x:f>IF($D93&lt;&gt;"",$D93&amp;" - "&amp;$G93,$AD93&amp;" - "&amp;$G93)</x:f>
        <x:v>MW-80 - </x:v>
      </x:c>
      <x:c r="AG93" s="75" t="str"/>
    </x:row>
    <x:row r="94">
      <x:c r="A94" s="75" t="str">
        <x:f>IF($B94&lt;&gt;"",ROW()-4,"")</x:f>
      </x:c>
      <x:c r="B94" s="75" t="str"/>
      <x:c r="C94" s="75" t="n">
        <x:f>IFERROR(LET(x,MID($B94,FIND("/models/",$B94)+8,80),y,LEFT(x,FIND("-",x&amp;"-")-1),LEFT(y,FIND("?",y&amp;"?")-1)),"")</x:f>
        <x:v>80</x:v>
      </x:c>
      <x:c r="D94" s="75" t="str">
        <x:f>IF($B94="","",IFERROR(XLOOKUP($C94,MakerWorld_Verileri!$A:$A,MakerWorld_Verileri!$B:$B,""),""))</x:f>
      </x:c>
      <x:c r="E94" s="75" t="str">
        <x:f>IF($B94="","",IFERROR(XLOOKUP($C94,MakerWorld_Verileri!$A:$A,MakerWorld_Verileri!$C:$C,""),""))</x:f>
      </x:c>
      <x:c r="F94" s="75" t="str"/>
      <x:c r="G94" s="75" t="str">
        <x:f>IF($B94&lt;&gt;"",Ayarlar!$B$7,"")</x:f>
      </x:c>
      <x:c r="H94" s="82" t="str">
        <x:f>IF($B94&lt;&gt;"",1,"")</x:f>
      </x:c>
      <x:c r="I94" s="82" t="str">
        <x:f>IF($B94="","",IFERROR(XLOOKUP($C94,MakerWorld_Verileri!$A:$A,MakerWorld_Verileri!$D:$D,""),""))</x:f>
      </x:c>
      <x:c r="J94" s="82" t="str"/>
      <x:c r="K94" s="82" t="str">
        <x:f>IF($I94&lt;&gt;"",$I94,$J94)</x:f>
      </x:c>
      <x:c r="L94" s="82" t="str">
        <x:f>IF($B94="","",IFERROR(XLOOKUP($C94,MakerWorld_Verileri!$A:$A,MakerWorld_Verileri!$E:$E,""),""))</x:f>
      </x:c>
      <x:c r="M94" s="82" t="str"/>
      <x:c r="N94" s="82" t="str">
        <x:f>IF($L94&lt;&gt;"",$L94,$M94)</x:f>
      </x:c>
      <x:c r="O94" s="82" t="str">
        <x:f>IF($B94&lt;&gt;"",0,"")</x:f>
      </x:c>
      <x:c r="P94" s="75" t="str">
        <x:f>IF($B94&lt;&gt;"","Orta","")</x:f>
      </x:c>
      <x:c r="Q94" s="82" t="str">
        <x:f>IF($B94&lt;&gt;"",10,"")</x:f>
      </x:c>
      <x:c r="R94" s="83" t="str">
        <x:f>IF($B94&lt;&gt;"",Ayarlar!$B$10,"")</x:f>
      </x:c>
      <x:c r="S94" s="83" t="str">
        <x:f>IF($B94&lt;&gt;"",0,"")</x:f>
      </x:c>
      <x:c r="T94" s="83" t="n">
        <x:f>IFERROR(($K94+$O94)*XLOOKUP($G94,Ayarlar!$A$19:$A$28,Ayarlar!$C$19:$C$28,0)*(1+Ayarlar!$B$11),0)</x:f>
        <x:v>0</x:v>
      </x:c>
      <x:c r="U94" s="83" t="n">
        <x:f>IFERROR($N94/60*Ayarlar!$B$8,0)</x:f>
        <x:v>0</x:v>
      </x:c>
      <x:c r="V94" s="83" t="n">
        <x:f>IF($B94&lt;&gt;"",Ayarlar!$B$12+($Q94/60*Ayarlar!$B$9),0)</x:f>
        <x:v>0</x:v>
      </x:c>
      <x:c r="W94" s="83" t="n">
        <x:f>IF($B94&lt;&gt;"",SUM($T94:$V94,$R94:$S94),0)</x:f>
        <x:v>0</x:v>
      </x:c>
      <x:c r="X94" s="83" t="n">
        <x:f>IF($B94&lt;&gt;"",$W94*Ayarlar!$B$15,0)</x:f>
        <x:v>0</x:v>
      </x:c>
      <x:c r="Y94" s="83" t="n">
        <x:f>IF($B94&lt;&gt;"",($W94+$X94)*Ayarlar!$B$13,0)</x:f>
        <x:v>0</x:v>
      </x:c>
      <x:c r="Z94" s="83" t="n">
        <x:f>IF($B94&lt;&gt;"",($W94+$X94+$Y94)*Ayarlar!$B$14,0)</x:f>
        <x:v>0</x:v>
      </x:c>
      <x:c r="AA94" s="83" t="str">
        <x:f>IF($B94="","",IF(OR($K94="",$N94=""),"",CEILING($W94+$X94+$Y94+$Z94,Ayarlar!$B$16)))</x:f>
      </x:c>
      <x:c r="AB94" s="83" t="str">
        <x:f>IFERROR($AA94/$H94,"")</x:f>
      </x:c>
      <x:c r="AC94" s="75" t="str">
        <x:f>IF($B94="","",IF(OR($K94="",$N94=""),"Veri Eksik","Fiyat Hazır"))</x:f>
      </x:c>
      <x:c r="AD94" s="75" t="str">
        <x:f>IF($C94&lt;&gt;"","MW-"&amp;$C94,"")</x:f>
        <x:v>MW-80</x:v>
      </x:c>
      <x:c r="AE94" s="75" t="str">
        <x:f>IF($G94&lt;&gt;"","3D Baskı / "&amp;$G94,"3D Baskı")</x:f>
        <x:v>3D Baskı</x:v>
      </x:c>
      <x:c r="AF94" s="75" t="str">
        <x:f>IF($D94&lt;&gt;"",$D94&amp;" - "&amp;$G94,$AD94&amp;" - "&amp;$G94)</x:f>
        <x:v>MW-80 - </x:v>
      </x:c>
      <x:c r="AG94" s="75" t="str"/>
    </x:row>
    <x:row r="95">
      <x:c r="A95" s="75" t="str">
        <x:f>IF($B95&lt;&gt;"",ROW()-4,"")</x:f>
      </x:c>
      <x:c r="B95" s="75" t="str"/>
      <x:c r="C95" s="75" t="n">
        <x:f>IFERROR(LET(x,MID($B95,FIND("/models/",$B95)+8,80),y,LEFT(x,FIND("-",x&amp;"-")-1),LEFT(y,FIND("?",y&amp;"?")-1)),"")</x:f>
        <x:v>80</x:v>
      </x:c>
      <x:c r="D95" s="75" t="str">
        <x:f>IF($B95="","",IFERROR(XLOOKUP($C95,MakerWorld_Verileri!$A:$A,MakerWorld_Verileri!$B:$B,""),""))</x:f>
      </x:c>
      <x:c r="E95" s="75" t="str">
        <x:f>IF($B95="","",IFERROR(XLOOKUP($C95,MakerWorld_Verileri!$A:$A,MakerWorld_Verileri!$C:$C,""),""))</x:f>
      </x:c>
      <x:c r="F95" s="75" t="str"/>
      <x:c r="G95" s="75" t="str">
        <x:f>IF($B95&lt;&gt;"",Ayarlar!$B$7,"")</x:f>
      </x:c>
      <x:c r="H95" s="82" t="str">
        <x:f>IF($B95&lt;&gt;"",1,"")</x:f>
      </x:c>
      <x:c r="I95" s="82" t="str">
        <x:f>IF($B95="","",IFERROR(XLOOKUP($C95,MakerWorld_Verileri!$A:$A,MakerWorld_Verileri!$D:$D,""),""))</x:f>
      </x:c>
      <x:c r="J95" s="82" t="str"/>
      <x:c r="K95" s="82" t="str">
        <x:f>IF($I95&lt;&gt;"",$I95,$J95)</x:f>
      </x:c>
      <x:c r="L95" s="82" t="str">
        <x:f>IF($B95="","",IFERROR(XLOOKUP($C95,MakerWorld_Verileri!$A:$A,MakerWorld_Verileri!$E:$E,""),""))</x:f>
      </x:c>
      <x:c r="M95" s="82" t="str"/>
      <x:c r="N95" s="82" t="str">
        <x:f>IF($L95&lt;&gt;"",$L95,$M95)</x:f>
      </x:c>
      <x:c r="O95" s="82" t="str">
        <x:f>IF($B95&lt;&gt;"",0,"")</x:f>
      </x:c>
      <x:c r="P95" s="75" t="str">
        <x:f>IF($B95&lt;&gt;"","Orta","")</x:f>
      </x:c>
      <x:c r="Q95" s="82" t="str">
        <x:f>IF($B95&lt;&gt;"",10,"")</x:f>
      </x:c>
      <x:c r="R95" s="83" t="str">
        <x:f>IF($B95&lt;&gt;"",Ayarlar!$B$10,"")</x:f>
      </x:c>
      <x:c r="S95" s="83" t="str">
        <x:f>IF($B95&lt;&gt;"",0,"")</x:f>
      </x:c>
      <x:c r="T95" s="83" t="n">
        <x:f>IFERROR(($K95+$O95)*XLOOKUP($G95,Ayarlar!$A$19:$A$28,Ayarlar!$C$19:$C$28,0)*(1+Ayarlar!$B$11),0)</x:f>
        <x:v>0</x:v>
      </x:c>
      <x:c r="U95" s="83" t="n">
        <x:f>IFERROR($N95/60*Ayarlar!$B$8,0)</x:f>
        <x:v>0</x:v>
      </x:c>
      <x:c r="V95" s="83" t="n">
        <x:f>IF($B95&lt;&gt;"",Ayarlar!$B$12+($Q95/60*Ayarlar!$B$9),0)</x:f>
        <x:v>0</x:v>
      </x:c>
      <x:c r="W95" s="83" t="n">
        <x:f>IF($B95&lt;&gt;"",SUM($T95:$V95,$R95:$S95),0)</x:f>
        <x:v>0</x:v>
      </x:c>
      <x:c r="X95" s="83" t="n">
        <x:f>IF($B95&lt;&gt;"",$W95*Ayarlar!$B$15,0)</x:f>
        <x:v>0</x:v>
      </x:c>
      <x:c r="Y95" s="83" t="n">
        <x:f>IF($B95&lt;&gt;"",($W95+$X95)*Ayarlar!$B$13,0)</x:f>
        <x:v>0</x:v>
      </x:c>
      <x:c r="Z95" s="83" t="n">
        <x:f>IF($B95&lt;&gt;"",($W95+$X95+$Y95)*Ayarlar!$B$14,0)</x:f>
        <x:v>0</x:v>
      </x:c>
      <x:c r="AA95" s="83" t="str">
        <x:f>IF($B95="","",IF(OR($K95="",$N95=""),"",CEILING($W95+$X95+$Y95+$Z95,Ayarlar!$B$16)))</x:f>
      </x:c>
      <x:c r="AB95" s="83" t="str">
        <x:f>IFERROR($AA95/$H95,"")</x:f>
      </x:c>
      <x:c r="AC95" s="75" t="str">
        <x:f>IF($B95="","",IF(OR($K95="",$N95=""),"Veri Eksik","Fiyat Hazır"))</x:f>
      </x:c>
      <x:c r="AD95" s="75" t="str">
        <x:f>IF($C95&lt;&gt;"","MW-"&amp;$C95,"")</x:f>
        <x:v>MW-80</x:v>
      </x:c>
      <x:c r="AE95" s="75" t="str">
        <x:f>IF($G95&lt;&gt;"","3D Baskı / "&amp;$G95,"3D Baskı")</x:f>
        <x:v>3D Baskı</x:v>
      </x:c>
      <x:c r="AF95" s="75" t="str">
        <x:f>IF($D95&lt;&gt;"",$D95&amp;" - "&amp;$G95,$AD95&amp;" - "&amp;$G95)</x:f>
        <x:v>MW-80 - </x:v>
      </x:c>
      <x:c r="AG95" s="75" t="str"/>
    </x:row>
    <x:row r="96">
      <x:c r="A96" s="75" t="str">
        <x:f>IF($B96&lt;&gt;"",ROW()-4,"")</x:f>
      </x:c>
      <x:c r="B96" s="75" t="str"/>
      <x:c r="C96" s="75" t="n">
        <x:f>IFERROR(LET(x,MID($B96,FIND("/models/",$B96)+8,80),y,LEFT(x,FIND("-",x&amp;"-")-1),LEFT(y,FIND("?",y&amp;"?")-1)),"")</x:f>
        <x:v>80</x:v>
      </x:c>
      <x:c r="D96" s="75" t="str">
        <x:f>IF($B96="","",IFERROR(XLOOKUP($C96,MakerWorld_Verileri!$A:$A,MakerWorld_Verileri!$B:$B,""),""))</x:f>
      </x:c>
      <x:c r="E96" s="75" t="str">
        <x:f>IF($B96="","",IFERROR(XLOOKUP($C96,MakerWorld_Verileri!$A:$A,MakerWorld_Verileri!$C:$C,""),""))</x:f>
      </x:c>
      <x:c r="F96" s="75" t="str"/>
      <x:c r="G96" s="75" t="str">
        <x:f>IF($B96&lt;&gt;"",Ayarlar!$B$7,"")</x:f>
      </x:c>
      <x:c r="H96" s="82" t="str">
        <x:f>IF($B96&lt;&gt;"",1,"")</x:f>
      </x:c>
      <x:c r="I96" s="82" t="str">
        <x:f>IF($B96="","",IFERROR(XLOOKUP($C96,MakerWorld_Verileri!$A:$A,MakerWorld_Verileri!$D:$D,""),""))</x:f>
      </x:c>
      <x:c r="J96" s="82" t="str"/>
      <x:c r="K96" s="82" t="str">
        <x:f>IF($I96&lt;&gt;"",$I96,$J96)</x:f>
      </x:c>
      <x:c r="L96" s="82" t="str">
        <x:f>IF($B96="","",IFERROR(XLOOKUP($C96,MakerWorld_Verileri!$A:$A,MakerWorld_Verileri!$E:$E,""),""))</x:f>
      </x:c>
      <x:c r="M96" s="82" t="str"/>
      <x:c r="N96" s="82" t="str">
        <x:f>IF($L96&lt;&gt;"",$L96,$M96)</x:f>
      </x:c>
      <x:c r="O96" s="82" t="str">
        <x:f>IF($B96&lt;&gt;"",0,"")</x:f>
      </x:c>
      <x:c r="P96" s="75" t="str">
        <x:f>IF($B96&lt;&gt;"","Orta","")</x:f>
      </x:c>
      <x:c r="Q96" s="82" t="str">
        <x:f>IF($B96&lt;&gt;"",10,"")</x:f>
      </x:c>
      <x:c r="R96" s="83" t="str">
        <x:f>IF($B96&lt;&gt;"",Ayarlar!$B$10,"")</x:f>
      </x:c>
      <x:c r="S96" s="83" t="str">
        <x:f>IF($B96&lt;&gt;"",0,"")</x:f>
      </x:c>
      <x:c r="T96" s="83" t="n">
        <x:f>IFERROR(($K96+$O96)*XLOOKUP($G96,Ayarlar!$A$19:$A$28,Ayarlar!$C$19:$C$28,0)*(1+Ayarlar!$B$11),0)</x:f>
        <x:v>0</x:v>
      </x:c>
      <x:c r="U96" s="83" t="n">
        <x:f>IFERROR($N96/60*Ayarlar!$B$8,0)</x:f>
        <x:v>0</x:v>
      </x:c>
      <x:c r="V96" s="83" t="n">
        <x:f>IF($B96&lt;&gt;"",Ayarlar!$B$12+($Q96/60*Ayarlar!$B$9),0)</x:f>
        <x:v>0</x:v>
      </x:c>
      <x:c r="W96" s="83" t="n">
        <x:f>IF($B96&lt;&gt;"",SUM($T96:$V96,$R96:$S96),0)</x:f>
        <x:v>0</x:v>
      </x:c>
      <x:c r="X96" s="83" t="n">
        <x:f>IF($B96&lt;&gt;"",$W96*Ayarlar!$B$15,0)</x:f>
        <x:v>0</x:v>
      </x:c>
      <x:c r="Y96" s="83" t="n">
        <x:f>IF($B96&lt;&gt;"",($W96+$X96)*Ayarlar!$B$13,0)</x:f>
        <x:v>0</x:v>
      </x:c>
      <x:c r="Z96" s="83" t="n">
        <x:f>IF($B96&lt;&gt;"",($W96+$X96+$Y96)*Ayarlar!$B$14,0)</x:f>
        <x:v>0</x:v>
      </x:c>
      <x:c r="AA96" s="83" t="str">
        <x:f>IF($B96="","",IF(OR($K96="",$N96=""),"",CEILING($W96+$X96+$Y96+$Z96,Ayarlar!$B$16)))</x:f>
      </x:c>
      <x:c r="AB96" s="83" t="str">
        <x:f>IFERROR($AA96/$H96,"")</x:f>
      </x:c>
      <x:c r="AC96" s="75" t="str">
        <x:f>IF($B96="","",IF(OR($K96="",$N96=""),"Veri Eksik","Fiyat Hazır"))</x:f>
      </x:c>
      <x:c r="AD96" s="75" t="str">
        <x:f>IF($C96&lt;&gt;"","MW-"&amp;$C96,"")</x:f>
        <x:v>MW-80</x:v>
      </x:c>
      <x:c r="AE96" s="75" t="str">
        <x:f>IF($G96&lt;&gt;"","3D Baskı / "&amp;$G96,"3D Baskı")</x:f>
        <x:v>3D Baskı</x:v>
      </x:c>
      <x:c r="AF96" s="75" t="str">
        <x:f>IF($D96&lt;&gt;"",$D96&amp;" - "&amp;$G96,$AD96&amp;" - "&amp;$G96)</x:f>
        <x:v>MW-80 - </x:v>
      </x:c>
      <x:c r="AG96" s="75" t="str"/>
    </x:row>
    <x:row r="97">
      <x:c r="A97" s="75" t="str">
        <x:f>IF($B97&lt;&gt;"",ROW()-4,"")</x:f>
      </x:c>
      <x:c r="B97" s="75" t="str"/>
      <x:c r="C97" s="75" t="n">
        <x:f>IFERROR(LET(x,MID($B97,FIND("/models/",$B97)+8,80),y,LEFT(x,FIND("-",x&amp;"-")-1),LEFT(y,FIND("?",y&amp;"?")-1)),"")</x:f>
        <x:v>80</x:v>
      </x:c>
      <x:c r="D97" s="75" t="str">
        <x:f>IF($B97="","",IFERROR(XLOOKUP($C97,MakerWorld_Verileri!$A:$A,MakerWorld_Verileri!$B:$B,""),""))</x:f>
      </x:c>
      <x:c r="E97" s="75" t="str">
        <x:f>IF($B97="","",IFERROR(XLOOKUP($C97,MakerWorld_Verileri!$A:$A,MakerWorld_Verileri!$C:$C,""),""))</x:f>
      </x:c>
      <x:c r="F97" s="75" t="str"/>
      <x:c r="G97" s="75" t="str">
        <x:f>IF($B97&lt;&gt;"",Ayarlar!$B$7,"")</x:f>
      </x:c>
      <x:c r="H97" s="82" t="str">
        <x:f>IF($B97&lt;&gt;"",1,"")</x:f>
      </x:c>
      <x:c r="I97" s="82" t="str">
        <x:f>IF($B97="","",IFERROR(XLOOKUP($C97,MakerWorld_Verileri!$A:$A,MakerWorld_Verileri!$D:$D,""),""))</x:f>
      </x:c>
      <x:c r="J97" s="82" t="str"/>
      <x:c r="K97" s="82" t="str">
        <x:f>IF($I97&lt;&gt;"",$I97,$J97)</x:f>
      </x:c>
      <x:c r="L97" s="82" t="str">
        <x:f>IF($B97="","",IFERROR(XLOOKUP($C97,MakerWorld_Verileri!$A:$A,MakerWorld_Verileri!$E:$E,""),""))</x:f>
      </x:c>
      <x:c r="M97" s="82" t="str"/>
      <x:c r="N97" s="82" t="str">
        <x:f>IF($L97&lt;&gt;"",$L97,$M97)</x:f>
      </x:c>
      <x:c r="O97" s="82" t="str">
        <x:f>IF($B97&lt;&gt;"",0,"")</x:f>
      </x:c>
      <x:c r="P97" s="75" t="str">
        <x:f>IF($B97&lt;&gt;"","Orta","")</x:f>
      </x:c>
      <x:c r="Q97" s="82" t="str">
        <x:f>IF($B97&lt;&gt;"",10,"")</x:f>
      </x:c>
      <x:c r="R97" s="83" t="str">
        <x:f>IF($B97&lt;&gt;"",Ayarlar!$B$10,"")</x:f>
      </x:c>
      <x:c r="S97" s="83" t="str">
        <x:f>IF($B97&lt;&gt;"",0,"")</x:f>
      </x:c>
      <x:c r="T97" s="83" t="n">
        <x:f>IFERROR(($K97+$O97)*XLOOKUP($G97,Ayarlar!$A$19:$A$28,Ayarlar!$C$19:$C$28,0)*(1+Ayarlar!$B$11),0)</x:f>
        <x:v>0</x:v>
      </x:c>
      <x:c r="U97" s="83" t="n">
        <x:f>IFERROR($N97/60*Ayarlar!$B$8,0)</x:f>
        <x:v>0</x:v>
      </x:c>
      <x:c r="V97" s="83" t="n">
        <x:f>IF($B97&lt;&gt;"",Ayarlar!$B$12+($Q97/60*Ayarlar!$B$9),0)</x:f>
        <x:v>0</x:v>
      </x:c>
      <x:c r="W97" s="83" t="n">
        <x:f>IF($B97&lt;&gt;"",SUM($T97:$V97,$R97:$S97),0)</x:f>
        <x:v>0</x:v>
      </x:c>
      <x:c r="X97" s="83" t="n">
        <x:f>IF($B97&lt;&gt;"",$W97*Ayarlar!$B$15,0)</x:f>
        <x:v>0</x:v>
      </x:c>
      <x:c r="Y97" s="83" t="n">
        <x:f>IF($B97&lt;&gt;"",($W97+$X97)*Ayarlar!$B$13,0)</x:f>
        <x:v>0</x:v>
      </x:c>
      <x:c r="Z97" s="83" t="n">
        <x:f>IF($B97&lt;&gt;"",($W97+$X97+$Y97)*Ayarlar!$B$14,0)</x:f>
        <x:v>0</x:v>
      </x:c>
      <x:c r="AA97" s="83" t="str">
        <x:f>IF($B97="","",IF(OR($K97="",$N97=""),"",CEILING($W97+$X97+$Y97+$Z97,Ayarlar!$B$16)))</x:f>
      </x:c>
      <x:c r="AB97" s="83" t="str">
        <x:f>IFERROR($AA97/$H97,"")</x:f>
      </x:c>
      <x:c r="AC97" s="75" t="str">
        <x:f>IF($B97="","",IF(OR($K97="",$N97=""),"Veri Eksik","Fiyat Hazır"))</x:f>
      </x:c>
      <x:c r="AD97" s="75" t="str">
        <x:f>IF($C97&lt;&gt;"","MW-"&amp;$C97,"")</x:f>
        <x:v>MW-80</x:v>
      </x:c>
      <x:c r="AE97" s="75" t="str">
        <x:f>IF($G97&lt;&gt;"","3D Baskı / "&amp;$G97,"3D Baskı")</x:f>
        <x:v>3D Baskı</x:v>
      </x:c>
      <x:c r="AF97" s="75" t="str">
        <x:f>IF($D97&lt;&gt;"",$D97&amp;" - "&amp;$G97,$AD97&amp;" - "&amp;$G97)</x:f>
        <x:v>MW-80 - </x:v>
      </x:c>
      <x:c r="AG97" s="75" t="str"/>
    </x:row>
    <x:row r="98">
      <x:c r="A98" s="75" t="str">
        <x:f>IF($B98&lt;&gt;"",ROW()-4,"")</x:f>
      </x:c>
      <x:c r="B98" s="75" t="str"/>
      <x:c r="C98" s="75" t="n">
        <x:f>IFERROR(LET(x,MID($B98,FIND("/models/",$B98)+8,80),y,LEFT(x,FIND("-",x&amp;"-")-1),LEFT(y,FIND("?",y&amp;"?")-1)),"")</x:f>
        <x:v>80</x:v>
      </x:c>
      <x:c r="D98" s="75" t="str">
        <x:f>IF($B98="","",IFERROR(XLOOKUP($C98,MakerWorld_Verileri!$A:$A,MakerWorld_Verileri!$B:$B,""),""))</x:f>
      </x:c>
      <x:c r="E98" s="75" t="str">
        <x:f>IF($B98="","",IFERROR(XLOOKUP($C98,MakerWorld_Verileri!$A:$A,MakerWorld_Verileri!$C:$C,""),""))</x:f>
      </x:c>
      <x:c r="F98" s="75" t="str"/>
      <x:c r="G98" s="75" t="str">
        <x:f>IF($B98&lt;&gt;"",Ayarlar!$B$7,"")</x:f>
      </x:c>
      <x:c r="H98" s="82" t="str">
        <x:f>IF($B98&lt;&gt;"",1,"")</x:f>
      </x:c>
      <x:c r="I98" s="82" t="str">
        <x:f>IF($B98="","",IFERROR(XLOOKUP($C98,MakerWorld_Verileri!$A:$A,MakerWorld_Verileri!$D:$D,""),""))</x:f>
      </x:c>
      <x:c r="J98" s="82" t="str"/>
      <x:c r="K98" s="82" t="str">
        <x:f>IF($I98&lt;&gt;"",$I98,$J98)</x:f>
      </x:c>
      <x:c r="L98" s="82" t="str">
        <x:f>IF($B98="","",IFERROR(XLOOKUP($C98,MakerWorld_Verileri!$A:$A,MakerWorld_Verileri!$E:$E,""),""))</x:f>
      </x:c>
      <x:c r="M98" s="82" t="str"/>
      <x:c r="N98" s="82" t="str">
        <x:f>IF($L98&lt;&gt;"",$L98,$M98)</x:f>
      </x:c>
      <x:c r="O98" s="82" t="str">
        <x:f>IF($B98&lt;&gt;"",0,"")</x:f>
      </x:c>
      <x:c r="P98" s="75" t="str">
        <x:f>IF($B98&lt;&gt;"","Orta","")</x:f>
      </x:c>
      <x:c r="Q98" s="82" t="str">
        <x:f>IF($B98&lt;&gt;"",10,"")</x:f>
      </x:c>
      <x:c r="R98" s="83" t="str">
        <x:f>IF($B98&lt;&gt;"",Ayarlar!$B$10,"")</x:f>
      </x:c>
      <x:c r="S98" s="83" t="str">
        <x:f>IF($B98&lt;&gt;"",0,"")</x:f>
      </x:c>
      <x:c r="T98" s="83" t="n">
        <x:f>IFERROR(($K98+$O98)*XLOOKUP($G98,Ayarlar!$A$19:$A$28,Ayarlar!$C$19:$C$28,0)*(1+Ayarlar!$B$11),0)</x:f>
        <x:v>0</x:v>
      </x:c>
      <x:c r="U98" s="83" t="n">
        <x:f>IFERROR($N98/60*Ayarlar!$B$8,0)</x:f>
        <x:v>0</x:v>
      </x:c>
      <x:c r="V98" s="83" t="n">
        <x:f>IF($B98&lt;&gt;"",Ayarlar!$B$12+($Q98/60*Ayarlar!$B$9),0)</x:f>
        <x:v>0</x:v>
      </x:c>
      <x:c r="W98" s="83" t="n">
        <x:f>IF($B98&lt;&gt;"",SUM($T98:$V98,$R98:$S98),0)</x:f>
        <x:v>0</x:v>
      </x:c>
      <x:c r="X98" s="83" t="n">
        <x:f>IF($B98&lt;&gt;"",$W98*Ayarlar!$B$15,0)</x:f>
        <x:v>0</x:v>
      </x:c>
      <x:c r="Y98" s="83" t="n">
        <x:f>IF($B98&lt;&gt;"",($W98+$X98)*Ayarlar!$B$13,0)</x:f>
        <x:v>0</x:v>
      </x:c>
      <x:c r="Z98" s="83" t="n">
        <x:f>IF($B98&lt;&gt;"",($W98+$X98+$Y98)*Ayarlar!$B$14,0)</x:f>
        <x:v>0</x:v>
      </x:c>
      <x:c r="AA98" s="83" t="str">
        <x:f>IF($B98="","",IF(OR($K98="",$N98=""),"",CEILING($W98+$X98+$Y98+$Z98,Ayarlar!$B$16)))</x:f>
      </x:c>
      <x:c r="AB98" s="83" t="str">
        <x:f>IFERROR($AA98/$H98,"")</x:f>
      </x:c>
      <x:c r="AC98" s="75" t="str">
        <x:f>IF($B98="","",IF(OR($K98="",$N98=""),"Veri Eksik","Fiyat Hazır"))</x:f>
      </x:c>
      <x:c r="AD98" s="75" t="str">
        <x:f>IF($C98&lt;&gt;"","MW-"&amp;$C98,"")</x:f>
        <x:v>MW-80</x:v>
      </x:c>
      <x:c r="AE98" s="75" t="str">
        <x:f>IF($G98&lt;&gt;"","3D Baskı / "&amp;$G98,"3D Baskı")</x:f>
        <x:v>3D Baskı</x:v>
      </x:c>
      <x:c r="AF98" s="75" t="str">
        <x:f>IF($D98&lt;&gt;"",$D98&amp;" - "&amp;$G98,$AD98&amp;" - "&amp;$G98)</x:f>
        <x:v>MW-80 - </x:v>
      </x:c>
      <x:c r="AG98" s="75" t="str"/>
    </x:row>
    <x:row r="99">
      <x:c r="A99" s="75" t="str">
        <x:f>IF($B99&lt;&gt;"",ROW()-4,"")</x:f>
      </x:c>
      <x:c r="B99" s="75" t="str"/>
      <x:c r="C99" s="75" t="n">
        <x:f>IFERROR(LET(x,MID($B99,FIND("/models/",$B99)+8,80),y,LEFT(x,FIND("-",x&amp;"-")-1),LEFT(y,FIND("?",y&amp;"?")-1)),"")</x:f>
        <x:v>80</x:v>
      </x:c>
      <x:c r="D99" s="75" t="str">
        <x:f>IF($B99="","",IFERROR(XLOOKUP($C99,MakerWorld_Verileri!$A:$A,MakerWorld_Verileri!$B:$B,""),""))</x:f>
      </x:c>
      <x:c r="E99" s="75" t="str">
        <x:f>IF($B99="","",IFERROR(XLOOKUP($C99,MakerWorld_Verileri!$A:$A,MakerWorld_Verileri!$C:$C,""),""))</x:f>
      </x:c>
      <x:c r="F99" s="75" t="str"/>
      <x:c r="G99" s="75" t="str">
        <x:f>IF($B99&lt;&gt;"",Ayarlar!$B$7,"")</x:f>
      </x:c>
      <x:c r="H99" s="82" t="str">
        <x:f>IF($B99&lt;&gt;"",1,"")</x:f>
      </x:c>
      <x:c r="I99" s="82" t="str">
        <x:f>IF($B99="","",IFERROR(XLOOKUP($C99,MakerWorld_Verileri!$A:$A,MakerWorld_Verileri!$D:$D,""),""))</x:f>
      </x:c>
      <x:c r="J99" s="82" t="str"/>
      <x:c r="K99" s="82" t="str">
        <x:f>IF($I99&lt;&gt;"",$I99,$J99)</x:f>
      </x:c>
      <x:c r="L99" s="82" t="str">
        <x:f>IF($B99="","",IFERROR(XLOOKUP($C99,MakerWorld_Verileri!$A:$A,MakerWorld_Verileri!$E:$E,""),""))</x:f>
      </x:c>
      <x:c r="M99" s="82" t="str"/>
      <x:c r="N99" s="82" t="str">
        <x:f>IF($L99&lt;&gt;"",$L99,$M99)</x:f>
      </x:c>
      <x:c r="O99" s="82" t="str">
        <x:f>IF($B99&lt;&gt;"",0,"")</x:f>
      </x:c>
      <x:c r="P99" s="75" t="str">
        <x:f>IF($B99&lt;&gt;"","Orta","")</x:f>
      </x:c>
      <x:c r="Q99" s="82" t="str">
        <x:f>IF($B99&lt;&gt;"",10,"")</x:f>
      </x:c>
      <x:c r="R99" s="83" t="str">
        <x:f>IF($B99&lt;&gt;"",Ayarlar!$B$10,"")</x:f>
      </x:c>
      <x:c r="S99" s="83" t="str">
        <x:f>IF($B99&lt;&gt;"",0,"")</x:f>
      </x:c>
      <x:c r="T99" s="83" t="n">
        <x:f>IFERROR(($K99+$O99)*XLOOKUP($G99,Ayarlar!$A$19:$A$28,Ayarlar!$C$19:$C$28,0)*(1+Ayarlar!$B$11),0)</x:f>
        <x:v>0</x:v>
      </x:c>
      <x:c r="U99" s="83" t="n">
        <x:f>IFERROR($N99/60*Ayarlar!$B$8,0)</x:f>
        <x:v>0</x:v>
      </x:c>
      <x:c r="V99" s="83" t="n">
        <x:f>IF($B99&lt;&gt;"",Ayarlar!$B$12+($Q99/60*Ayarlar!$B$9),0)</x:f>
        <x:v>0</x:v>
      </x:c>
      <x:c r="W99" s="83" t="n">
        <x:f>IF($B99&lt;&gt;"",SUM($T99:$V99,$R99:$S99),0)</x:f>
        <x:v>0</x:v>
      </x:c>
      <x:c r="X99" s="83" t="n">
        <x:f>IF($B99&lt;&gt;"",$W99*Ayarlar!$B$15,0)</x:f>
        <x:v>0</x:v>
      </x:c>
      <x:c r="Y99" s="83" t="n">
        <x:f>IF($B99&lt;&gt;"",($W99+$X99)*Ayarlar!$B$13,0)</x:f>
        <x:v>0</x:v>
      </x:c>
      <x:c r="Z99" s="83" t="n">
        <x:f>IF($B99&lt;&gt;"",($W99+$X99+$Y99)*Ayarlar!$B$14,0)</x:f>
        <x:v>0</x:v>
      </x:c>
      <x:c r="AA99" s="83" t="str">
        <x:f>IF($B99="","",IF(OR($K99="",$N99=""),"",CEILING($W99+$X99+$Y99+$Z99,Ayarlar!$B$16)))</x:f>
      </x:c>
      <x:c r="AB99" s="83" t="str">
        <x:f>IFERROR($AA99/$H99,"")</x:f>
      </x:c>
      <x:c r="AC99" s="75" t="str">
        <x:f>IF($B99="","",IF(OR($K99="",$N99=""),"Veri Eksik","Fiyat Hazır"))</x:f>
      </x:c>
      <x:c r="AD99" s="75" t="str">
        <x:f>IF($C99&lt;&gt;"","MW-"&amp;$C99,"")</x:f>
        <x:v>MW-80</x:v>
      </x:c>
      <x:c r="AE99" s="75" t="str">
        <x:f>IF($G99&lt;&gt;"","3D Baskı / "&amp;$G99,"3D Baskı")</x:f>
        <x:v>3D Baskı</x:v>
      </x:c>
      <x:c r="AF99" s="75" t="str">
        <x:f>IF($D99&lt;&gt;"",$D99&amp;" - "&amp;$G99,$AD99&amp;" - "&amp;$G99)</x:f>
        <x:v>MW-80 - </x:v>
      </x:c>
      <x:c r="AG99" s="75" t="str"/>
    </x:row>
    <x:row r="100">
      <x:c r="A100" s="75" t="str">
        <x:f>IF($B100&lt;&gt;"",ROW()-4,"")</x:f>
      </x:c>
      <x:c r="B100" s="75" t="str"/>
      <x:c r="C100" s="75" t="n">
        <x:f>IFERROR(LET(x,MID($B100,FIND("/models/",$B100)+8,80),y,LEFT(x,FIND("-",x&amp;"-")-1),LEFT(y,FIND("?",y&amp;"?")-1)),"")</x:f>
        <x:v>80</x:v>
      </x:c>
      <x:c r="D100" s="75" t="str">
        <x:f>IF($B100="","",IFERROR(XLOOKUP($C100,MakerWorld_Verileri!$A:$A,MakerWorld_Verileri!$B:$B,""),""))</x:f>
      </x:c>
      <x:c r="E100" s="75" t="str">
        <x:f>IF($B100="","",IFERROR(XLOOKUP($C100,MakerWorld_Verileri!$A:$A,MakerWorld_Verileri!$C:$C,""),""))</x:f>
      </x:c>
      <x:c r="F100" s="75" t="str"/>
      <x:c r="G100" s="75" t="str">
        <x:f>IF($B100&lt;&gt;"",Ayarlar!$B$7,"")</x:f>
      </x:c>
      <x:c r="H100" s="82" t="str">
        <x:f>IF($B100&lt;&gt;"",1,"")</x:f>
      </x:c>
      <x:c r="I100" s="82" t="str">
        <x:f>IF($B100="","",IFERROR(XLOOKUP($C100,MakerWorld_Verileri!$A:$A,MakerWorld_Verileri!$D:$D,""),""))</x:f>
      </x:c>
      <x:c r="J100" s="82" t="str"/>
      <x:c r="K100" s="82" t="str">
        <x:f>IF($I100&lt;&gt;"",$I100,$J100)</x:f>
      </x:c>
      <x:c r="L100" s="82" t="str">
        <x:f>IF($B100="","",IFERROR(XLOOKUP($C100,MakerWorld_Verileri!$A:$A,MakerWorld_Verileri!$E:$E,""),""))</x:f>
      </x:c>
      <x:c r="M100" s="82" t="str"/>
      <x:c r="N100" s="82" t="str">
        <x:f>IF($L100&lt;&gt;"",$L100,$M100)</x:f>
      </x:c>
      <x:c r="O100" s="82" t="str">
        <x:f>IF($B100&lt;&gt;"",0,"")</x:f>
      </x:c>
      <x:c r="P100" s="75" t="str">
        <x:f>IF($B100&lt;&gt;"","Orta","")</x:f>
      </x:c>
      <x:c r="Q100" s="82" t="str">
        <x:f>IF($B100&lt;&gt;"",10,"")</x:f>
      </x:c>
      <x:c r="R100" s="83" t="str">
        <x:f>IF($B100&lt;&gt;"",Ayarlar!$B$10,"")</x:f>
      </x:c>
      <x:c r="S100" s="83" t="str">
        <x:f>IF($B100&lt;&gt;"",0,"")</x:f>
      </x:c>
      <x:c r="T100" s="83" t="n">
        <x:f>IFERROR(($K100+$O100)*XLOOKUP($G100,Ayarlar!$A$19:$A$28,Ayarlar!$C$19:$C$28,0)*(1+Ayarlar!$B$11),0)</x:f>
        <x:v>0</x:v>
      </x:c>
      <x:c r="U100" s="83" t="n">
        <x:f>IFERROR($N100/60*Ayarlar!$B$8,0)</x:f>
        <x:v>0</x:v>
      </x:c>
      <x:c r="V100" s="83" t="n">
        <x:f>IF($B100&lt;&gt;"",Ayarlar!$B$12+($Q100/60*Ayarlar!$B$9),0)</x:f>
        <x:v>0</x:v>
      </x:c>
      <x:c r="W100" s="83" t="n">
        <x:f>IF($B100&lt;&gt;"",SUM($T100:$V100,$R100:$S100),0)</x:f>
        <x:v>0</x:v>
      </x:c>
      <x:c r="X100" s="83" t="n">
        <x:f>IF($B100&lt;&gt;"",$W100*Ayarlar!$B$15,0)</x:f>
        <x:v>0</x:v>
      </x:c>
      <x:c r="Y100" s="83" t="n">
        <x:f>IF($B100&lt;&gt;"",($W100+$X100)*Ayarlar!$B$13,0)</x:f>
        <x:v>0</x:v>
      </x:c>
      <x:c r="Z100" s="83" t="n">
        <x:f>IF($B100&lt;&gt;"",($W100+$X100+$Y100)*Ayarlar!$B$14,0)</x:f>
        <x:v>0</x:v>
      </x:c>
      <x:c r="AA100" s="83" t="str">
        <x:f>IF($B100="","",IF(OR($K100="",$N100=""),"",CEILING($W100+$X100+$Y100+$Z100,Ayarlar!$B$16)))</x:f>
      </x:c>
      <x:c r="AB100" s="83" t="str">
        <x:f>IFERROR($AA100/$H100,"")</x:f>
      </x:c>
      <x:c r="AC100" s="75" t="str">
        <x:f>IF($B100="","",IF(OR($K100="",$N100=""),"Veri Eksik","Fiyat Hazır"))</x:f>
      </x:c>
      <x:c r="AD100" s="75" t="str">
        <x:f>IF($C100&lt;&gt;"","MW-"&amp;$C100,"")</x:f>
        <x:v>MW-80</x:v>
      </x:c>
      <x:c r="AE100" s="75" t="str">
        <x:f>IF($G100&lt;&gt;"","3D Baskı / "&amp;$G100,"3D Baskı")</x:f>
        <x:v>3D Baskı</x:v>
      </x:c>
      <x:c r="AF100" s="75" t="str">
        <x:f>IF($D100&lt;&gt;"",$D100&amp;" - "&amp;$G100,$AD100&amp;" - "&amp;$G100)</x:f>
        <x:v>MW-80 - </x:v>
      </x:c>
      <x:c r="AG100" s="75" t="str"/>
    </x:row>
    <x:row r="101">
      <x:c r="A101" s="75" t="str">
        <x:f>IF($B101&lt;&gt;"",ROW()-4,"")</x:f>
      </x:c>
      <x:c r="B101" s="75" t="str"/>
      <x:c r="C101" s="75" t="n">
        <x:f>IFERROR(LET(x,MID($B101,FIND("/models/",$B101)+8,80),y,LEFT(x,FIND("-",x&amp;"-")-1),LEFT(y,FIND("?",y&amp;"?")-1)),"")</x:f>
        <x:v>80</x:v>
      </x:c>
      <x:c r="D101" s="75" t="str">
        <x:f>IF($B101="","",IFERROR(XLOOKUP($C101,MakerWorld_Verileri!$A:$A,MakerWorld_Verileri!$B:$B,""),""))</x:f>
      </x:c>
      <x:c r="E101" s="75" t="str">
        <x:f>IF($B101="","",IFERROR(XLOOKUP($C101,MakerWorld_Verileri!$A:$A,MakerWorld_Verileri!$C:$C,""),""))</x:f>
      </x:c>
      <x:c r="F101" s="75" t="str"/>
      <x:c r="G101" s="75" t="str">
        <x:f>IF($B101&lt;&gt;"",Ayarlar!$B$7,"")</x:f>
      </x:c>
      <x:c r="H101" s="82" t="str">
        <x:f>IF($B101&lt;&gt;"",1,"")</x:f>
      </x:c>
      <x:c r="I101" s="82" t="str">
        <x:f>IF($B101="","",IFERROR(XLOOKUP($C101,MakerWorld_Verileri!$A:$A,MakerWorld_Verileri!$D:$D,""),""))</x:f>
      </x:c>
      <x:c r="J101" s="82" t="str"/>
      <x:c r="K101" s="82" t="str">
        <x:f>IF($I101&lt;&gt;"",$I101,$J101)</x:f>
      </x:c>
      <x:c r="L101" s="82" t="str">
        <x:f>IF($B101="","",IFERROR(XLOOKUP($C101,MakerWorld_Verileri!$A:$A,MakerWorld_Verileri!$E:$E,""),""))</x:f>
      </x:c>
      <x:c r="M101" s="82" t="str"/>
      <x:c r="N101" s="82" t="str">
        <x:f>IF($L101&lt;&gt;"",$L101,$M101)</x:f>
      </x:c>
      <x:c r="O101" s="82" t="str">
        <x:f>IF($B101&lt;&gt;"",0,"")</x:f>
      </x:c>
      <x:c r="P101" s="75" t="str">
        <x:f>IF($B101&lt;&gt;"","Orta","")</x:f>
      </x:c>
      <x:c r="Q101" s="82" t="str">
        <x:f>IF($B101&lt;&gt;"",10,"")</x:f>
      </x:c>
      <x:c r="R101" s="83" t="str">
        <x:f>IF($B101&lt;&gt;"",Ayarlar!$B$10,"")</x:f>
      </x:c>
      <x:c r="S101" s="83" t="str">
        <x:f>IF($B101&lt;&gt;"",0,"")</x:f>
      </x:c>
      <x:c r="T101" s="83" t="n">
        <x:f>IFERROR(($K101+$O101)*XLOOKUP($G101,Ayarlar!$A$19:$A$28,Ayarlar!$C$19:$C$28,0)*(1+Ayarlar!$B$11),0)</x:f>
        <x:v>0</x:v>
      </x:c>
      <x:c r="U101" s="83" t="n">
        <x:f>IFERROR($N101/60*Ayarlar!$B$8,0)</x:f>
        <x:v>0</x:v>
      </x:c>
      <x:c r="V101" s="83" t="n">
        <x:f>IF($B101&lt;&gt;"",Ayarlar!$B$12+($Q101/60*Ayarlar!$B$9),0)</x:f>
        <x:v>0</x:v>
      </x:c>
      <x:c r="W101" s="83" t="n">
        <x:f>IF($B101&lt;&gt;"",SUM($T101:$V101,$R101:$S101),0)</x:f>
        <x:v>0</x:v>
      </x:c>
      <x:c r="X101" s="83" t="n">
        <x:f>IF($B101&lt;&gt;"",$W101*Ayarlar!$B$15,0)</x:f>
        <x:v>0</x:v>
      </x:c>
      <x:c r="Y101" s="83" t="n">
        <x:f>IF($B101&lt;&gt;"",($W101+$X101)*Ayarlar!$B$13,0)</x:f>
        <x:v>0</x:v>
      </x:c>
      <x:c r="Z101" s="83" t="n">
        <x:f>IF($B101&lt;&gt;"",($W101+$X101+$Y101)*Ayarlar!$B$14,0)</x:f>
        <x:v>0</x:v>
      </x:c>
      <x:c r="AA101" s="83" t="str">
        <x:f>IF($B101="","",IF(OR($K101="",$N101=""),"",CEILING($W101+$X101+$Y101+$Z101,Ayarlar!$B$16)))</x:f>
      </x:c>
      <x:c r="AB101" s="83" t="str">
        <x:f>IFERROR($AA101/$H101,"")</x:f>
      </x:c>
      <x:c r="AC101" s="75" t="str">
        <x:f>IF($B101="","",IF(OR($K101="",$N101=""),"Veri Eksik","Fiyat Hazır"))</x:f>
      </x:c>
      <x:c r="AD101" s="75" t="str">
        <x:f>IF($C101&lt;&gt;"","MW-"&amp;$C101,"")</x:f>
        <x:v>MW-80</x:v>
      </x:c>
      <x:c r="AE101" s="75" t="str">
        <x:f>IF($G101&lt;&gt;"","3D Baskı / "&amp;$G101,"3D Baskı")</x:f>
        <x:v>3D Baskı</x:v>
      </x:c>
      <x:c r="AF101" s="75" t="str">
        <x:f>IF($D101&lt;&gt;"",$D101&amp;" - "&amp;$G101,$AD101&amp;" - "&amp;$G101)</x:f>
        <x:v>MW-80 - </x:v>
      </x:c>
      <x:c r="AG101" s="75" t="str"/>
    </x:row>
    <x:row r="102">
      <x:c r="A102" s="75" t="str">
        <x:f>IF($B102&lt;&gt;"",ROW()-4,"")</x:f>
      </x:c>
      <x:c r="B102" s="75" t="str"/>
      <x:c r="C102" s="75" t="n">
        <x:f>IFERROR(LET(x,MID($B102,FIND("/models/",$B102)+8,80),y,LEFT(x,FIND("-",x&amp;"-")-1),LEFT(y,FIND("?",y&amp;"?")-1)),"")</x:f>
        <x:v>80</x:v>
      </x:c>
      <x:c r="D102" s="75" t="str">
        <x:f>IF($B102="","",IFERROR(XLOOKUP($C102,MakerWorld_Verileri!$A:$A,MakerWorld_Verileri!$B:$B,""),""))</x:f>
      </x:c>
      <x:c r="E102" s="75" t="str">
        <x:f>IF($B102="","",IFERROR(XLOOKUP($C102,MakerWorld_Verileri!$A:$A,MakerWorld_Verileri!$C:$C,""),""))</x:f>
      </x:c>
      <x:c r="F102" s="75" t="str"/>
      <x:c r="G102" s="75" t="str">
        <x:f>IF($B102&lt;&gt;"",Ayarlar!$B$7,"")</x:f>
      </x:c>
      <x:c r="H102" s="82" t="str">
        <x:f>IF($B102&lt;&gt;"",1,"")</x:f>
      </x:c>
      <x:c r="I102" s="82" t="str">
        <x:f>IF($B102="","",IFERROR(XLOOKUP($C102,MakerWorld_Verileri!$A:$A,MakerWorld_Verileri!$D:$D,""),""))</x:f>
      </x:c>
      <x:c r="J102" s="82" t="str"/>
      <x:c r="K102" s="82" t="str">
        <x:f>IF($I102&lt;&gt;"",$I102,$J102)</x:f>
      </x:c>
      <x:c r="L102" s="82" t="str">
        <x:f>IF($B102="","",IFERROR(XLOOKUP($C102,MakerWorld_Verileri!$A:$A,MakerWorld_Verileri!$E:$E,""),""))</x:f>
      </x:c>
      <x:c r="M102" s="82" t="str"/>
      <x:c r="N102" s="82" t="str">
        <x:f>IF($L102&lt;&gt;"",$L102,$M102)</x:f>
      </x:c>
      <x:c r="O102" s="82" t="str">
        <x:f>IF($B102&lt;&gt;"",0,"")</x:f>
      </x:c>
      <x:c r="P102" s="75" t="str">
        <x:f>IF($B102&lt;&gt;"","Orta","")</x:f>
      </x:c>
      <x:c r="Q102" s="82" t="str">
        <x:f>IF($B102&lt;&gt;"",10,"")</x:f>
      </x:c>
      <x:c r="R102" s="83" t="str">
        <x:f>IF($B102&lt;&gt;"",Ayarlar!$B$10,"")</x:f>
      </x:c>
      <x:c r="S102" s="83" t="str">
        <x:f>IF($B102&lt;&gt;"",0,"")</x:f>
      </x:c>
      <x:c r="T102" s="83" t="n">
        <x:f>IFERROR(($K102+$O102)*XLOOKUP($G102,Ayarlar!$A$19:$A$28,Ayarlar!$C$19:$C$28,0)*(1+Ayarlar!$B$11),0)</x:f>
        <x:v>0</x:v>
      </x:c>
      <x:c r="U102" s="83" t="n">
        <x:f>IFERROR($N102/60*Ayarlar!$B$8,0)</x:f>
        <x:v>0</x:v>
      </x:c>
      <x:c r="V102" s="83" t="n">
        <x:f>IF($B102&lt;&gt;"",Ayarlar!$B$12+($Q102/60*Ayarlar!$B$9),0)</x:f>
        <x:v>0</x:v>
      </x:c>
      <x:c r="W102" s="83" t="n">
        <x:f>IF($B102&lt;&gt;"",SUM($T102:$V102,$R102:$S102),0)</x:f>
        <x:v>0</x:v>
      </x:c>
      <x:c r="X102" s="83" t="n">
        <x:f>IF($B102&lt;&gt;"",$W102*Ayarlar!$B$15,0)</x:f>
        <x:v>0</x:v>
      </x:c>
      <x:c r="Y102" s="83" t="n">
        <x:f>IF($B102&lt;&gt;"",($W102+$X102)*Ayarlar!$B$13,0)</x:f>
        <x:v>0</x:v>
      </x:c>
      <x:c r="Z102" s="83" t="n">
        <x:f>IF($B102&lt;&gt;"",($W102+$X102+$Y102)*Ayarlar!$B$14,0)</x:f>
        <x:v>0</x:v>
      </x:c>
      <x:c r="AA102" s="83" t="str">
        <x:f>IF($B102="","",IF(OR($K102="",$N102=""),"",CEILING($W102+$X102+$Y102+$Z102,Ayarlar!$B$16)))</x:f>
      </x:c>
      <x:c r="AB102" s="83" t="str">
        <x:f>IFERROR($AA102/$H102,"")</x:f>
      </x:c>
      <x:c r="AC102" s="75" t="str">
        <x:f>IF($B102="","",IF(OR($K102="",$N102=""),"Veri Eksik","Fiyat Hazır"))</x:f>
      </x:c>
      <x:c r="AD102" s="75" t="str">
        <x:f>IF($C102&lt;&gt;"","MW-"&amp;$C102,"")</x:f>
        <x:v>MW-80</x:v>
      </x:c>
      <x:c r="AE102" s="75" t="str">
        <x:f>IF($G102&lt;&gt;"","3D Baskı / "&amp;$G102,"3D Baskı")</x:f>
        <x:v>3D Baskı</x:v>
      </x:c>
      <x:c r="AF102" s="75" t="str">
        <x:f>IF($D102&lt;&gt;"",$D102&amp;" - "&amp;$G102,$AD102&amp;" - "&amp;$G102)</x:f>
        <x:v>MW-80 - </x:v>
      </x:c>
      <x:c r="AG102" s="75" t="str"/>
    </x:row>
    <x:row r="103">
      <x:c r="A103" s="75" t="str">
        <x:f>IF($B103&lt;&gt;"",ROW()-4,"")</x:f>
      </x:c>
      <x:c r="B103" s="75" t="str"/>
      <x:c r="C103" s="75" t="n">
        <x:f>IFERROR(LET(x,MID($B103,FIND("/models/",$B103)+8,80),y,LEFT(x,FIND("-",x&amp;"-")-1),LEFT(y,FIND("?",y&amp;"?")-1)),"")</x:f>
        <x:v>80</x:v>
      </x:c>
      <x:c r="D103" s="75" t="str">
        <x:f>IF($B103="","",IFERROR(XLOOKUP($C103,MakerWorld_Verileri!$A:$A,MakerWorld_Verileri!$B:$B,""),""))</x:f>
      </x:c>
      <x:c r="E103" s="75" t="str">
        <x:f>IF($B103="","",IFERROR(XLOOKUP($C103,MakerWorld_Verileri!$A:$A,MakerWorld_Verileri!$C:$C,""),""))</x:f>
      </x:c>
      <x:c r="F103" s="75" t="str"/>
      <x:c r="G103" s="75" t="str">
        <x:f>IF($B103&lt;&gt;"",Ayarlar!$B$7,"")</x:f>
      </x:c>
      <x:c r="H103" s="82" t="str">
        <x:f>IF($B103&lt;&gt;"",1,"")</x:f>
      </x:c>
      <x:c r="I103" s="82" t="str">
        <x:f>IF($B103="","",IFERROR(XLOOKUP($C103,MakerWorld_Verileri!$A:$A,MakerWorld_Verileri!$D:$D,""),""))</x:f>
      </x:c>
      <x:c r="J103" s="82" t="str"/>
      <x:c r="K103" s="82" t="str">
        <x:f>IF($I103&lt;&gt;"",$I103,$J103)</x:f>
      </x:c>
      <x:c r="L103" s="82" t="str">
        <x:f>IF($B103="","",IFERROR(XLOOKUP($C103,MakerWorld_Verileri!$A:$A,MakerWorld_Verileri!$E:$E,""),""))</x:f>
      </x:c>
      <x:c r="M103" s="82" t="str"/>
      <x:c r="N103" s="82" t="str">
        <x:f>IF($L103&lt;&gt;"",$L103,$M103)</x:f>
      </x:c>
      <x:c r="O103" s="82" t="str">
        <x:f>IF($B103&lt;&gt;"",0,"")</x:f>
      </x:c>
      <x:c r="P103" s="75" t="str">
        <x:f>IF($B103&lt;&gt;"","Orta","")</x:f>
      </x:c>
      <x:c r="Q103" s="82" t="str">
        <x:f>IF($B103&lt;&gt;"",10,"")</x:f>
      </x:c>
      <x:c r="R103" s="83" t="str">
        <x:f>IF($B103&lt;&gt;"",Ayarlar!$B$10,"")</x:f>
      </x:c>
      <x:c r="S103" s="83" t="str">
        <x:f>IF($B103&lt;&gt;"",0,"")</x:f>
      </x:c>
      <x:c r="T103" s="83" t="n">
        <x:f>IFERROR(($K103+$O103)*XLOOKUP($G103,Ayarlar!$A$19:$A$28,Ayarlar!$C$19:$C$28,0)*(1+Ayarlar!$B$11),0)</x:f>
        <x:v>0</x:v>
      </x:c>
      <x:c r="U103" s="83" t="n">
        <x:f>IFERROR($N103/60*Ayarlar!$B$8,0)</x:f>
        <x:v>0</x:v>
      </x:c>
      <x:c r="V103" s="83" t="n">
        <x:f>IF($B103&lt;&gt;"",Ayarlar!$B$12+($Q103/60*Ayarlar!$B$9),0)</x:f>
        <x:v>0</x:v>
      </x:c>
      <x:c r="W103" s="83" t="n">
        <x:f>IF($B103&lt;&gt;"",SUM($T103:$V103,$R103:$S103),0)</x:f>
        <x:v>0</x:v>
      </x:c>
      <x:c r="X103" s="83" t="n">
        <x:f>IF($B103&lt;&gt;"",$W103*Ayarlar!$B$15,0)</x:f>
        <x:v>0</x:v>
      </x:c>
      <x:c r="Y103" s="83" t="n">
        <x:f>IF($B103&lt;&gt;"",($W103+$X103)*Ayarlar!$B$13,0)</x:f>
        <x:v>0</x:v>
      </x:c>
      <x:c r="Z103" s="83" t="n">
        <x:f>IF($B103&lt;&gt;"",($W103+$X103+$Y103)*Ayarlar!$B$14,0)</x:f>
        <x:v>0</x:v>
      </x:c>
      <x:c r="AA103" s="83" t="str">
        <x:f>IF($B103="","",IF(OR($K103="",$N103=""),"",CEILING($W103+$X103+$Y103+$Z103,Ayarlar!$B$16)))</x:f>
      </x:c>
      <x:c r="AB103" s="83" t="str">
        <x:f>IFERROR($AA103/$H103,"")</x:f>
      </x:c>
      <x:c r="AC103" s="75" t="str">
        <x:f>IF($B103="","",IF(OR($K103="",$N103=""),"Veri Eksik","Fiyat Hazır"))</x:f>
      </x:c>
      <x:c r="AD103" s="75" t="str">
        <x:f>IF($C103&lt;&gt;"","MW-"&amp;$C103,"")</x:f>
        <x:v>MW-80</x:v>
      </x:c>
      <x:c r="AE103" s="75" t="str">
        <x:f>IF($G103&lt;&gt;"","3D Baskı / "&amp;$G103,"3D Baskı")</x:f>
        <x:v>3D Baskı</x:v>
      </x:c>
      <x:c r="AF103" s="75" t="str">
        <x:f>IF($D103&lt;&gt;"",$D103&amp;" - "&amp;$G103,$AD103&amp;" - "&amp;$G103)</x:f>
        <x:v>MW-80 - </x:v>
      </x:c>
      <x:c r="AG103" s="75" t="str"/>
    </x:row>
    <x:row r="104">
      <x:c r="A104" s="75" t="str">
        <x:f>IF($B104&lt;&gt;"",ROW()-4,"")</x:f>
      </x:c>
      <x:c r="B104" s="75" t="str"/>
      <x:c r="C104" s="75" t="n">
        <x:f>IFERROR(LET(x,MID($B104,FIND("/models/",$B104)+8,80),y,LEFT(x,FIND("-",x&amp;"-")-1),LEFT(y,FIND("?",y&amp;"?")-1)),"")</x:f>
        <x:v>80</x:v>
      </x:c>
      <x:c r="D104" s="75" t="str">
        <x:f>IF($B104="","",IFERROR(XLOOKUP($C104,MakerWorld_Verileri!$A:$A,MakerWorld_Verileri!$B:$B,""),""))</x:f>
      </x:c>
      <x:c r="E104" s="75" t="str">
        <x:f>IF($B104="","",IFERROR(XLOOKUP($C104,MakerWorld_Verileri!$A:$A,MakerWorld_Verileri!$C:$C,""),""))</x:f>
      </x:c>
      <x:c r="F104" s="75" t="str"/>
      <x:c r="G104" s="75" t="str">
        <x:f>IF($B104&lt;&gt;"",Ayarlar!$B$7,"")</x:f>
      </x:c>
      <x:c r="H104" s="82" t="str">
        <x:f>IF($B104&lt;&gt;"",1,"")</x:f>
      </x:c>
      <x:c r="I104" s="82" t="str">
        <x:f>IF($B104="","",IFERROR(XLOOKUP($C104,MakerWorld_Verileri!$A:$A,MakerWorld_Verileri!$D:$D,""),""))</x:f>
      </x:c>
      <x:c r="J104" s="82" t="str"/>
      <x:c r="K104" s="82" t="str">
        <x:f>IF($I104&lt;&gt;"",$I104,$J104)</x:f>
      </x:c>
      <x:c r="L104" s="82" t="str">
        <x:f>IF($B104="","",IFERROR(XLOOKUP($C104,MakerWorld_Verileri!$A:$A,MakerWorld_Verileri!$E:$E,""),""))</x:f>
      </x:c>
      <x:c r="M104" s="82" t="str"/>
      <x:c r="N104" s="82" t="str">
        <x:f>IF($L104&lt;&gt;"",$L104,$M104)</x:f>
      </x:c>
      <x:c r="O104" s="82" t="str">
        <x:f>IF($B104&lt;&gt;"",0,"")</x:f>
      </x:c>
      <x:c r="P104" s="75" t="str">
        <x:f>IF($B104&lt;&gt;"","Orta","")</x:f>
      </x:c>
      <x:c r="Q104" s="82" t="str">
        <x:f>IF($B104&lt;&gt;"",10,"")</x:f>
      </x:c>
      <x:c r="R104" s="83" t="str">
        <x:f>IF($B104&lt;&gt;"",Ayarlar!$B$10,"")</x:f>
      </x:c>
      <x:c r="S104" s="83" t="str">
        <x:f>IF($B104&lt;&gt;"",0,"")</x:f>
      </x:c>
      <x:c r="T104" s="83" t="n">
        <x:f>IFERROR(($K104+$O104)*XLOOKUP($G104,Ayarlar!$A$19:$A$28,Ayarlar!$C$19:$C$28,0)*(1+Ayarlar!$B$11),0)</x:f>
        <x:v>0</x:v>
      </x:c>
      <x:c r="U104" s="83" t="n">
        <x:f>IFERROR($N104/60*Ayarlar!$B$8,0)</x:f>
        <x:v>0</x:v>
      </x:c>
      <x:c r="V104" s="83" t="n">
        <x:f>IF($B104&lt;&gt;"",Ayarlar!$B$12+($Q104/60*Ayarlar!$B$9),0)</x:f>
        <x:v>0</x:v>
      </x:c>
      <x:c r="W104" s="83" t="n">
        <x:f>IF($B104&lt;&gt;"",SUM($T104:$V104,$R104:$S104),0)</x:f>
        <x:v>0</x:v>
      </x:c>
      <x:c r="X104" s="83" t="n">
        <x:f>IF($B104&lt;&gt;"",$W104*Ayarlar!$B$15,0)</x:f>
        <x:v>0</x:v>
      </x:c>
      <x:c r="Y104" s="83" t="n">
        <x:f>IF($B104&lt;&gt;"",($W104+$X104)*Ayarlar!$B$13,0)</x:f>
        <x:v>0</x:v>
      </x:c>
      <x:c r="Z104" s="83" t="n">
        <x:f>IF($B104&lt;&gt;"",($W104+$X104+$Y104)*Ayarlar!$B$14,0)</x:f>
        <x:v>0</x:v>
      </x:c>
      <x:c r="AA104" s="83" t="str">
        <x:f>IF($B104="","",IF(OR($K104="",$N104=""),"",CEILING($W104+$X104+$Y104+$Z104,Ayarlar!$B$16)))</x:f>
      </x:c>
      <x:c r="AB104" s="83" t="str">
        <x:f>IFERROR($AA104/$H104,"")</x:f>
      </x:c>
      <x:c r="AC104" s="75" t="str">
        <x:f>IF($B104="","",IF(OR($K104="",$N104=""),"Veri Eksik","Fiyat Hazır"))</x:f>
      </x:c>
      <x:c r="AD104" s="75" t="str">
        <x:f>IF($C104&lt;&gt;"","MW-"&amp;$C104,"")</x:f>
        <x:v>MW-80</x:v>
      </x:c>
      <x:c r="AE104" s="75" t="str">
        <x:f>IF($G104&lt;&gt;"","3D Baskı / "&amp;$G104,"3D Baskı")</x:f>
        <x:v>3D Baskı</x:v>
      </x:c>
      <x:c r="AF104" s="75" t="str">
        <x:f>IF($D104&lt;&gt;"",$D104&amp;" - "&amp;$G104,$AD104&amp;" - "&amp;$G104)</x:f>
        <x:v>MW-80 - </x:v>
      </x:c>
      <x:c r="AG104" s="75" t="str"/>
    </x:row>
    <x:row r="105">
      <x:c r="A105" s="75" t="str">
        <x:f>IF($B105&lt;&gt;"",ROW()-4,"")</x:f>
      </x:c>
      <x:c r="B105" s="75" t="str"/>
      <x:c r="C105" s="75" t="n">
        <x:f>IFERROR(LET(x,MID($B105,FIND("/models/",$B105)+8,80),y,LEFT(x,FIND("-",x&amp;"-")-1),LEFT(y,FIND("?",y&amp;"?")-1)),"")</x:f>
        <x:v>80</x:v>
      </x:c>
      <x:c r="D105" s="75" t="str">
        <x:f>IF($B105="","",IFERROR(XLOOKUP($C105,MakerWorld_Verileri!$A:$A,MakerWorld_Verileri!$B:$B,""),""))</x:f>
      </x:c>
      <x:c r="E105" s="75" t="str">
        <x:f>IF($B105="","",IFERROR(XLOOKUP($C105,MakerWorld_Verileri!$A:$A,MakerWorld_Verileri!$C:$C,""),""))</x:f>
      </x:c>
      <x:c r="F105" s="75" t="str"/>
      <x:c r="G105" s="75" t="str">
        <x:f>IF($B105&lt;&gt;"",Ayarlar!$B$7,"")</x:f>
      </x:c>
      <x:c r="H105" s="82" t="str">
        <x:f>IF($B105&lt;&gt;"",1,"")</x:f>
      </x:c>
      <x:c r="I105" s="82" t="str">
        <x:f>IF($B105="","",IFERROR(XLOOKUP($C105,MakerWorld_Verileri!$A:$A,MakerWorld_Verileri!$D:$D,""),""))</x:f>
      </x:c>
      <x:c r="J105" s="82" t="str"/>
      <x:c r="K105" s="82" t="str">
        <x:f>IF($I105&lt;&gt;"",$I105,$J105)</x:f>
      </x:c>
      <x:c r="L105" s="82" t="str">
        <x:f>IF($B105="","",IFERROR(XLOOKUP($C105,MakerWorld_Verileri!$A:$A,MakerWorld_Verileri!$E:$E,""),""))</x:f>
      </x:c>
      <x:c r="M105" s="82" t="str"/>
      <x:c r="N105" s="82" t="str">
        <x:f>IF($L105&lt;&gt;"",$L105,$M105)</x:f>
      </x:c>
      <x:c r="O105" s="82" t="str">
        <x:f>IF($B105&lt;&gt;"",0,"")</x:f>
      </x:c>
      <x:c r="P105" s="75" t="str">
        <x:f>IF($B105&lt;&gt;"","Orta","")</x:f>
      </x:c>
      <x:c r="Q105" s="82" t="str">
        <x:f>IF($B105&lt;&gt;"",10,"")</x:f>
      </x:c>
      <x:c r="R105" s="83" t="str">
        <x:f>IF($B105&lt;&gt;"",Ayarlar!$B$10,"")</x:f>
      </x:c>
      <x:c r="S105" s="83" t="str">
        <x:f>IF($B105&lt;&gt;"",0,"")</x:f>
      </x:c>
      <x:c r="T105" s="83" t="n">
        <x:f>IFERROR(($K105+$O105)*XLOOKUP($G105,Ayarlar!$A$19:$A$28,Ayarlar!$C$19:$C$28,0)*(1+Ayarlar!$B$11),0)</x:f>
        <x:v>0</x:v>
      </x:c>
      <x:c r="U105" s="83" t="n">
        <x:f>IFERROR($N105/60*Ayarlar!$B$8,0)</x:f>
        <x:v>0</x:v>
      </x:c>
      <x:c r="V105" s="83" t="n">
        <x:f>IF($B105&lt;&gt;"",Ayarlar!$B$12+($Q105/60*Ayarlar!$B$9),0)</x:f>
        <x:v>0</x:v>
      </x:c>
      <x:c r="W105" s="83" t="n">
        <x:f>IF($B105&lt;&gt;"",SUM($T105:$V105,$R105:$S105),0)</x:f>
        <x:v>0</x:v>
      </x:c>
      <x:c r="X105" s="83" t="n">
        <x:f>IF($B105&lt;&gt;"",$W105*Ayarlar!$B$15,0)</x:f>
        <x:v>0</x:v>
      </x:c>
      <x:c r="Y105" s="83" t="n">
        <x:f>IF($B105&lt;&gt;"",($W105+$X105)*Ayarlar!$B$13,0)</x:f>
        <x:v>0</x:v>
      </x:c>
      <x:c r="Z105" s="83" t="n">
        <x:f>IF($B105&lt;&gt;"",($W105+$X105+$Y105)*Ayarlar!$B$14,0)</x:f>
        <x:v>0</x:v>
      </x:c>
      <x:c r="AA105" s="83" t="str">
        <x:f>IF($B105="","",IF(OR($K105="",$N105=""),"",CEILING($W105+$X105+$Y105+$Z105,Ayarlar!$B$16)))</x:f>
      </x:c>
      <x:c r="AB105" s="83" t="str">
        <x:f>IFERROR($AA105/$H105,"")</x:f>
      </x:c>
      <x:c r="AC105" s="75" t="str">
        <x:f>IF($B105="","",IF(OR($K105="",$N105=""),"Veri Eksik","Fiyat Hazır"))</x:f>
      </x:c>
      <x:c r="AD105" s="75" t="str">
        <x:f>IF($C105&lt;&gt;"","MW-"&amp;$C105,"")</x:f>
        <x:v>MW-80</x:v>
      </x:c>
      <x:c r="AE105" s="75" t="str">
        <x:f>IF($G105&lt;&gt;"","3D Baskı / "&amp;$G105,"3D Baskı")</x:f>
        <x:v>3D Baskı</x:v>
      </x:c>
      <x:c r="AF105" s="75" t="str">
        <x:f>IF($D105&lt;&gt;"",$D105&amp;" - "&amp;$G105,$AD105&amp;" - "&amp;$G105)</x:f>
        <x:v>MW-80 - </x:v>
      </x:c>
      <x:c r="AG105" s="75" t="str"/>
    </x:row>
    <x:row r="106">
      <x:c r="A106" s="75" t="str">
        <x:f>IF($B106&lt;&gt;"",ROW()-4,"")</x:f>
      </x:c>
      <x:c r="B106" s="75" t="str"/>
      <x:c r="C106" s="75" t="n">
        <x:f>IFERROR(LET(x,MID($B106,FIND("/models/",$B106)+8,80),y,LEFT(x,FIND("-",x&amp;"-")-1),LEFT(y,FIND("?",y&amp;"?")-1)),"")</x:f>
        <x:v>80</x:v>
      </x:c>
      <x:c r="D106" s="75" t="str">
        <x:f>IF($B106="","",IFERROR(XLOOKUP($C106,MakerWorld_Verileri!$A:$A,MakerWorld_Verileri!$B:$B,""),""))</x:f>
      </x:c>
      <x:c r="E106" s="75" t="str">
        <x:f>IF($B106="","",IFERROR(XLOOKUP($C106,MakerWorld_Verileri!$A:$A,MakerWorld_Verileri!$C:$C,""),""))</x:f>
      </x:c>
      <x:c r="F106" s="75" t="str"/>
      <x:c r="G106" s="75" t="str">
        <x:f>IF($B106&lt;&gt;"",Ayarlar!$B$7,"")</x:f>
      </x:c>
      <x:c r="H106" s="82" t="str">
        <x:f>IF($B106&lt;&gt;"",1,"")</x:f>
      </x:c>
      <x:c r="I106" s="82" t="str">
        <x:f>IF($B106="","",IFERROR(XLOOKUP($C106,MakerWorld_Verileri!$A:$A,MakerWorld_Verileri!$D:$D,""),""))</x:f>
      </x:c>
      <x:c r="J106" s="82" t="str"/>
      <x:c r="K106" s="82" t="str">
        <x:f>IF($I106&lt;&gt;"",$I106,$J106)</x:f>
      </x:c>
      <x:c r="L106" s="82" t="str">
        <x:f>IF($B106="","",IFERROR(XLOOKUP($C106,MakerWorld_Verileri!$A:$A,MakerWorld_Verileri!$E:$E,""),""))</x:f>
      </x:c>
      <x:c r="M106" s="82" t="str"/>
      <x:c r="N106" s="82" t="str">
        <x:f>IF($L106&lt;&gt;"",$L106,$M106)</x:f>
      </x:c>
      <x:c r="O106" s="82" t="str">
        <x:f>IF($B106&lt;&gt;"",0,"")</x:f>
      </x:c>
      <x:c r="P106" s="75" t="str">
        <x:f>IF($B106&lt;&gt;"","Orta","")</x:f>
      </x:c>
      <x:c r="Q106" s="82" t="str">
        <x:f>IF($B106&lt;&gt;"",10,"")</x:f>
      </x:c>
      <x:c r="R106" s="83" t="str">
        <x:f>IF($B106&lt;&gt;"",Ayarlar!$B$10,"")</x:f>
      </x:c>
      <x:c r="S106" s="83" t="str">
        <x:f>IF($B106&lt;&gt;"",0,"")</x:f>
      </x:c>
      <x:c r="T106" s="83" t="n">
        <x:f>IFERROR(($K106+$O106)*XLOOKUP($G106,Ayarlar!$A$19:$A$28,Ayarlar!$C$19:$C$28,0)*(1+Ayarlar!$B$11),0)</x:f>
        <x:v>0</x:v>
      </x:c>
      <x:c r="U106" s="83" t="n">
        <x:f>IFERROR($N106/60*Ayarlar!$B$8,0)</x:f>
        <x:v>0</x:v>
      </x:c>
      <x:c r="V106" s="83" t="n">
        <x:f>IF($B106&lt;&gt;"",Ayarlar!$B$12+($Q106/60*Ayarlar!$B$9),0)</x:f>
        <x:v>0</x:v>
      </x:c>
      <x:c r="W106" s="83" t="n">
        <x:f>IF($B106&lt;&gt;"",SUM($T106:$V106,$R106:$S106),0)</x:f>
        <x:v>0</x:v>
      </x:c>
      <x:c r="X106" s="83" t="n">
        <x:f>IF($B106&lt;&gt;"",$W106*Ayarlar!$B$15,0)</x:f>
        <x:v>0</x:v>
      </x:c>
      <x:c r="Y106" s="83" t="n">
        <x:f>IF($B106&lt;&gt;"",($W106+$X106)*Ayarlar!$B$13,0)</x:f>
        <x:v>0</x:v>
      </x:c>
      <x:c r="Z106" s="83" t="n">
        <x:f>IF($B106&lt;&gt;"",($W106+$X106+$Y106)*Ayarlar!$B$14,0)</x:f>
        <x:v>0</x:v>
      </x:c>
      <x:c r="AA106" s="83" t="str">
        <x:f>IF($B106="","",IF(OR($K106="",$N106=""),"",CEILING($W106+$X106+$Y106+$Z106,Ayarlar!$B$16)))</x:f>
      </x:c>
      <x:c r="AB106" s="83" t="str">
        <x:f>IFERROR($AA106/$H106,"")</x:f>
      </x:c>
      <x:c r="AC106" s="75" t="str">
        <x:f>IF($B106="","",IF(OR($K106="",$N106=""),"Veri Eksik","Fiyat Hazır"))</x:f>
      </x:c>
      <x:c r="AD106" s="75" t="str">
        <x:f>IF($C106&lt;&gt;"","MW-"&amp;$C106,"")</x:f>
        <x:v>MW-80</x:v>
      </x:c>
      <x:c r="AE106" s="75" t="str">
        <x:f>IF($G106&lt;&gt;"","3D Baskı / "&amp;$G106,"3D Baskı")</x:f>
        <x:v>3D Baskı</x:v>
      </x:c>
      <x:c r="AF106" s="75" t="str">
        <x:f>IF($D106&lt;&gt;"",$D106&amp;" - "&amp;$G106,$AD106&amp;" - "&amp;$G106)</x:f>
        <x:v>MW-80 - </x:v>
      </x:c>
      <x:c r="AG106" s="75" t="str"/>
    </x:row>
    <x:row r="107">
      <x:c r="A107" s="75" t="str">
        <x:f>IF($B107&lt;&gt;"",ROW()-4,"")</x:f>
      </x:c>
      <x:c r="B107" s="75" t="str"/>
      <x:c r="C107" s="75" t="n">
        <x:f>IFERROR(LET(x,MID($B107,FIND("/models/",$B107)+8,80),y,LEFT(x,FIND("-",x&amp;"-")-1),LEFT(y,FIND("?",y&amp;"?")-1)),"")</x:f>
        <x:v>80</x:v>
      </x:c>
      <x:c r="D107" s="75" t="str">
        <x:f>IF($B107="","",IFERROR(XLOOKUP($C107,MakerWorld_Verileri!$A:$A,MakerWorld_Verileri!$B:$B,""),""))</x:f>
      </x:c>
      <x:c r="E107" s="75" t="str">
        <x:f>IF($B107="","",IFERROR(XLOOKUP($C107,MakerWorld_Verileri!$A:$A,MakerWorld_Verileri!$C:$C,""),""))</x:f>
      </x:c>
      <x:c r="F107" s="75" t="str"/>
      <x:c r="G107" s="75" t="str">
        <x:f>IF($B107&lt;&gt;"",Ayarlar!$B$7,"")</x:f>
      </x:c>
      <x:c r="H107" s="82" t="str">
        <x:f>IF($B107&lt;&gt;"",1,"")</x:f>
      </x:c>
      <x:c r="I107" s="82" t="str">
        <x:f>IF($B107="","",IFERROR(XLOOKUP($C107,MakerWorld_Verileri!$A:$A,MakerWorld_Verileri!$D:$D,""),""))</x:f>
      </x:c>
      <x:c r="J107" s="82" t="str"/>
      <x:c r="K107" s="82" t="str">
        <x:f>IF($I107&lt;&gt;"",$I107,$J107)</x:f>
      </x:c>
      <x:c r="L107" s="82" t="str">
        <x:f>IF($B107="","",IFERROR(XLOOKUP($C107,MakerWorld_Verileri!$A:$A,MakerWorld_Verileri!$E:$E,""),""))</x:f>
      </x:c>
      <x:c r="M107" s="82" t="str"/>
      <x:c r="N107" s="82" t="str">
        <x:f>IF($L107&lt;&gt;"",$L107,$M107)</x:f>
      </x:c>
      <x:c r="O107" s="82" t="str">
        <x:f>IF($B107&lt;&gt;"",0,"")</x:f>
      </x:c>
      <x:c r="P107" s="75" t="str">
        <x:f>IF($B107&lt;&gt;"","Orta","")</x:f>
      </x:c>
      <x:c r="Q107" s="82" t="str">
        <x:f>IF($B107&lt;&gt;"",10,"")</x:f>
      </x:c>
      <x:c r="R107" s="83" t="str">
        <x:f>IF($B107&lt;&gt;"",Ayarlar!$B$10,"")</x:f>
      </x:c>
      <x:c r="S107" s="83" t="str">
        <x:f>IF($B107&lt;&gt;"",0,"")</x:f>
      </x:c>
      <x:c r="T107" s="83" t="n">
        <x:f>IFERROR(($K107+$O107)*XLOOKUP($G107,Ayarlar!$A$19:$A$28,Ayarlar!$C$19:$C$28,0)*(1+Ayarlar!$B$11),0)</x:f>
        <x:v>0</x:v>
      </x:c>
      <x:c r="U107" s="83" t="n">
        <x:f>IFERROR($N107/60*Ayarlar!$B$8,0)</x:f>
        <x:v>0</x:v>
      </x:c>
      <x:c r="V107" s="83" t="n">
        <x:f>IF($B107&lt;&gt;"",Ayarlar!$B$12+($Q107/60*Ayarlar!$B$9),0)</x:f>
        <x:v>0</x:v>
      </x:c>
      <x:c r="W107" s="83" t="n">
        <x:f>IF($B107&lt;&gt;"",SUM($T107:$V107,$R107:$S107),0)</x:f>
        <x:v>0</x:v>
      </x:c>
      <x:c r="X107" s="83" t="n">
        <x:f>IF($B107&lt;&gt;"",$W107*Ayarlar!$B$15,0)</x:f>
        <x:v>0</x:v>
      </x:c>
      <x:c r="Y107" s="83" t="n">
        <x:f>IF($B107&lt;&gt;"",($W107+$X107)*Ayarlar!$B$13,0)</x:f>
        <x:v>0</x:v>
      </x:c>
      <x:c r="Z107" s="83" t="n">
        <x:f>IF($B107&lt;&gt;"",($W107+$X107+$Y107)*Ayarlar!$B$14,0)</x:f>
        <x:v>0</x:v>
      </x:c>
      <x:c r="AA107" s="83" t="str">
        <x:f>IF($B107="","",IF(OR($K107="",$N107=""),"",CEILING($W107+$X107+$Y107+$Z107,Ayarlar!$B$16)))</x:f>
      </x:c>
      <x:c r="AB107" s="83" t="str">
        <x:f>IFERROR($AA107/$H107,"")</x:f>
      </x:c>
      <x:c r="AC107" s="75" t="str">
        <x:f>IF($B107="","",IF(OR($K107="",$N107=""),"Veri Eksik","Fiyat Hazır"))</x:f>
      </x:c>
      <x:c r="AD107" s="75" t="str">
        <x:f>IF($C107&lt;&gt;"","MW-"&amp;$C107,"")</x:f>
        <x:v>MW-80</x:v>
      </x:c>
      <x:c r="AE107" s="75" t="str">
        <x:f>IF($G107&lt;&gt;"","3D Baskı / "&amp;$G107,"3D Baskı")</x:f>
        <x:v>3D Baskı</x:v>
      </x:c>
      <x:c r="AF107" s="75" t="str">
        <x:f>IF($D107&lt;&gt;"",$D107&amp;" - "&amp;$G107,$AD107&amp;" - "&amp;$G107)</x:f>
        <x:v>MW-80 - </x:v>
      </x:c>
      <x:c r="AG107" s="75" t="str"/>
    </x:row>
    <x:row r="108">
      <x:c r="A108" s="75" t="str">
        <x:f>IF($B108&lt;&gt;"",ROW()-4,"")</x:f>
      </x:c>
      <x:c r="B108" s="75" t="str"/>
      <x:c r="C108" s="75" t="n">
        <x:f>IFERROR(LET(x,MID($B108,FIND("/models/",$B108)+8,80),y,LEFT(x,FIND("-",x&amp;"-")-1),LEFT(y,FIND("?",y&amp;"?")-1)),"")</x:f>
        <x:v>80</x:v>
      </x:c>
      <x:c r="D108" s="75" t="str">
        <x:f>IF($B108="","",IFERROR(XLOOKUP($C108,MakerWorld_Verileri!$A:$A,MakerWorld_Verileri!$B:$B,""),""))</x:f>
      </x:c>
      <x:c r="E108" s="75" t="str">
        <x:f>IF($B108="","",IFERROR(XLOOKUP($C108,MakerWorld_Verileri!$A:$A,MakerWorld_Verileri!$C:$C,""),""))</x:f>
      </x:c>
      <x:c r="F108" s="75" t="str"/>
      <x:c r="G108" s="75" t="str">
        <x:f>IF($B108&lt;&gt;"",Ayarlar!$B$7,"")</x:f>
      </x:c>
      <x:c r="H108" s="82" t="str">
        <x:f>IF($B108&lt;&gt;"",1,"")</x:f>
      </x:c>
      <x:c r="I108" s="82" t="str">
        <x:f>IF($B108="","",IFERROR(XLOOKUP($C108,MakerWorld_Verileri!$A:$A,MakerWorld_Verileri!$D:$D,""),""))</x:f>
      </x:c>
      <x:c r="J108" s="82" t="str"/>
      <x:c r="K108" s="82" t="str">
        <x:f>IF($I108&lt;&gt;"",$I108,$J108)</x:f>
      </x:c>
      <x:c r="L108" s="82" t="str">
        <x:f>IF($B108="","",IFERROR(XLOOKUP($C108,MakerWorld_Verileri!$A:$A,MakerWorld_Verileri!$E:$E,""),""))</x:f>
      </x:c>
      <x:c r="M108" s="82" t="str"/>
      <x:c r="N108" s="82" t="str">
        <x:f>IF($L108&lt;&gt;"",$L108,$M108)</x:f>
      </x:c>
      <x:c r="O108" s="82" t="str">
        <x:f>IF($B108&lt;&gt;"",0,"")</x:f>
      </x:c>
      <x:c r="P108" s="75" t="str">
        <x:f>IF($B108&lt;&gt;"","Orta","")</x:f>
      </x:c>
      <x:c r="Q108" s="82" t="str">
        <x:f>IF($B108&lt;&gt;"",10,"")</x:f>
      </x:c>
      <x:c r="R108" s="83" t="str">
        <x:f>IF($B108&lt;&gt;"",Ayarlar!$B$10,"")</x:f>
      </x:c>
      <x:c r="S108" s="83" t="str">
        <x:f>IF($B108&lt;&gt;"",0,"")</x:f>
      </x:c>
      <x:c r="T108" s="83" t="n">
        <x:f>IFERROR(($K108+$O108)*XLOOKUP($G108,Ayarlar!$A$19:$A$28,Ayarlar!$C$19:$C$28,0)*(1+Ayarlar!$B$11),0)</x:f>
        <x:v>0</x:v>
      </x:c>
      <x:c r="U108" s="83" t="n">
        <x:f>IFERROR($N108/60*Ayarlar!$B$8,0)</x:f>
        <x:v>0</x:v>
      </x:c>
      <x:c r="V108" s="83" t="n">
        <x:f>IF($B108&lt;&gt;"",Ayarlar!$B$12+($Q108/60*Ayarlar!$B$9),0)</x:f>
        <x:v>0</x:v>
      </x:c>
      <x:c r="W108" s="83" t="n">
        <x:f>IF($B108&lt;&gt;"",SUM($T108:$V108,$R108:$S108),0)</x:f>
        <x:v>0</x:v>
      </x:c>
      <x:c r="X108" s="83" t="n">
        <x:f>IF($B108&lt;&gt;"",$W108*Ayarlar!$B$15,0)</x:f>
        <x:v>0</x:v>
      </x:c>
      <x:c r="Y108" s="83" t="n">
        <x:f>IF($B108&lt;&gt;"",($W108+$X108)*Ayarlar!$B$13,0)</x:f>
        <x:v>0</x:v>
      </x:c>
      <x:c r="Z108" s="83" t="n">
        <x:f>IF($B108&lt;&gt;"",($W108+$X108+$Y108)*Ayarlar!$B$14,0)</x:f>
        <x:v>0</x:v>
      </x:c>
      <x:c r="AA108" s="83" t="str">
        <x:f>IF($B108="","",IF(OR($K108="",$N108=""),"",CEILING($W108+$X108+$Y108+$Z108,Ayarlar!$B$16)))</x:f>
      </x:c>
      <x:c r="AB108" s="83" t="str">
        <x:f>IFERROR($AA108/$H108,"")</x:f>
      </x:c>
      <x:c r="AC108" s="75" t="str">
        <x:f>IF($B108="","",IF(OR($K108="",$N108=""),"Veri Eksik","Fiyat Hazır"))</x:f>
      </x:c>
      <x:c r="AD108" s="75" t="str">
        <x:f>IF($C108&lt;&gt;"","MW-"&amp;$C108,"")</x:f>
        <x:v>MW-80</x:v>
      </x:c>
      <x:c r="AE108" s="75" t="str">
        <x:f>IF($G108&lt;&gt;"","3D Baskı / "&amp;$G108,"3D Baskı")</x:f>
        <x:v>3D Baskı</x:v>
      </x:c>
      <x:c r="AF108" s="75" t="str">
        <x:f>IF($D108&lt;&gt;"",$D108&amp;" - "&amp;$G108,$AD108&amp;" - "&amp;$G108)</x:f>
        <x:v>MW-80 - </x:v>
      </x:c>
      <x:c r="AG108" s="75" t="str"/>
    </x:row>
    <x:row r="109">
      <x:c r="A109" s="75" t="str">
        <x:f>IF($B109&lt;&gt;"",ROW()-4,"")</x:f>
      </x:c>
      <x:c r="B109" s="75" t="str"/>
      <x:c r="C109" s="75" t="n">
        <x:f>IFERROR(LET(x,MID($B109,FIND("/models/",$B109)+8,80),y,LEFT(x,FIND("-",x&amp;"-")-1),LEFT(y,FIND("?",y&amp;"?")-1)),"")</x:f>
        <x:v>80</x:v>
      </x:c>
      <x:c r="D109" s="75" t="str">
        <x:f>IF($B109="","",IFERROR(XLOOKUP($C109,MakerWorld_Verileri!$A:$A,MakerWorld_Verileri!$B:$B,""),""))</x:f>
      </x:c>
      <x:c r="E109" s="75" t="str">
        <x:f>IF($B109="","",IFERROR(XLOOKUP($C109,MakerWorld_Verileri!$A:$A,MakerWorld_Verileri!$C:$C,""),""))</x:f>
      </x:c>
      <x:c r="F109" s="75" t="str"/>
      <x:c r="G109" s="75" t="str">
        <x:f>IF($B109&lt;&gt;"",Ayarlar!$B$7,"")</x:f>
      </x:c>
      <x:c r="H109" s="82" t="str">
        <x:f>IF($B109&lt;&gt;"",1,"")</x:f>
      </x:c>
      <x:c r="I109" s="82" t="str">
        <x:f>IF($B109="","",IFERROR(XLOOKUP($C109,MakerWorld_Verileri!$A:$A,MakerWorld_Verileri!$D:$D,""),""))</x:f>
      </x:c>
      <x:c r="J109" s="82" t="str"/>
      <x:c r="K109" s="82" t="str">
        <x:f>IF($I109&lt;&gt;"",$I109,$J109)</x:f>
      </x:c>
      <x:c r="L109" s="82" t="str">
        <x:f>IF($B109="","",IFERROR(XLOOKUP($C109,MakerWorld_Verileri!$A:$A,MakerWorld_Verileri!$E:$E,""),""))</x:f>
      </x:c>
      <x:c r="M109" s="82" t="str"/>
      <x:c r="N109" s="82" t="str">
        <x:f>IF($L109&lt;&gt;"",$L109,$M109)</x:f>
      </x:c>
      <x:c r="O109" s="82" t="str">
        <x:f>IF($B109&lt;&gt;"",0,"")</x:f>
      </x:c>
      <x:c r="P109" s="75" t="str">
        <x:f>IF($B109&lt;&gt;"","Orta","")</x:f>
      </x:c>
      <x:c r="Q109" s="82" t="str">
        <x:f>IF($B109&lt;&gt;"",10,"")</x:f>
      </x:c>
      <x:c r="R109" s="83" t="str">
        <x:f>IF($B109&lt;&gt;"",Ayarlar!$B$10,"")</x:f>
      </x:c>
      <x:c r="S109" s="83" t="str">
        <x:f>IF($B109&lt;&gt;"",0,"")</x:f>
      </x:c>
      <x:c r="T109" s="83" t="n">
        <x:f>IFERROR(($K109+$O109)*XLOOKUP($G109,Ayarlar!$A$19:$A$28,Ayarlar!$C$19:$C$28,0)*(1+Ayarlar!$B$11),0)</x:f>
        <x:v>0</x:v>
      </x:c>
      <x:c r="U109" s="83" t="n">
        <x:f>IFERROR($N109/60*Ayarlar!$B$8,0)</x:f>
        <x:v>0</x:v>
      </x:c>
      <x:c r="V109" s="83" t="n">
        <x:f>IF($B109&lt;&gt;"",Ayarlar!$B$12+($Q109/60*Ayarlar!$B$9),0)</x:f>
        <x:v>0</x:v>
      </x:c>
      <x:c r="W109" s="83" t="n">
        <x:f>IF($B109&lt;&gt;"",SUM($T109:$V109,$R109:$S109),0)</x:f>
        <x:v>0</x:v>
      </x:c>
      <x:c r="X109" s="83" t="n">
        <x:f>IF($B109&lt;&gt;"",$W109*Ayarlar!$B$15,0)</x:f>
        <x:v>0</x:v>
      </x:c>
      <x:c r="Y109" s="83" t="n">
        <x:f>IF($B109&lt;&gt;"",($W109+$X109)*Ayarlar!$B$13,0)</x:f>
        <x:v>0</x:v>
      </x:c>
      <x:c r="Z109" s="83" t="n">
        <x:f>IF($B109&lt;&gt;"",($W109+$X109+$Y109)*Ayarlar!$B$14,0)</x:f>
        <x:v>0</x:v>
      </x:c>
      <x:c r="AA109" s="83" t="str">
        <x:f>IF($B109="","",IF(OR($K109="",$N109=""),"",CEILING($W109+$X109+$Y109+$Z109,Ayarlar!$B$16)))</x:f>
      </x:c>
      <x:c r="AB109" s="83" t="str">
        <x:f>IFERROR($AA109/$H109,"")</x:f>
      </x:c>
      <x:c r="AC109" s="75" t="str">
        <x:f>IF($B109="","",IF(OR($K109="",$N109=""),"Veri Eksik","Fiyat Hazır"))</x:f>
      </x:c>
      <x:c r="AD109" s="75" t="str">
        <x:f>IF($C109&lt;&gt;"","MW-"&amp;$C109,"")</x:f>
        <x:v>MW-80</x:v>
      </x:c>
      <x:c r="AE109" s="75" t="str">
        <x:f>IF($G109&lt;&gt;"","3D Baskı / "&amp;$G109,"3D Baskı")</x:f>
        <x:v>3D Baskı</x:v>
      </x:c>
      <x:c r="AF109" s="75" t="str">
        <x:f>IF($D109&lt;&gt;"",$D109&amp;" - "&amp;$G109,$AD109&amp;" - "&amp;$G109)</x:f>
        <x:v>MW-80 - </x:v>
      </x:c>
      <x:c r="AG109" s="75" t="str"/>
    </x:row>
    <x:row r="110">
      <x:c r="A110" s="75" t="str">
        <x:f>IF($B110&lt;&gt;"",ROW()-4,"")</x:f>
      </x:c>
      <x:c r="B110" s="75" t="str"/>
      <x:c r="C110" s="75" t="n">
        <x:f>IFERROR(LET(x,MID($B110,FIND("/models/",$B110)+8,80),y,LEFT(x,FIND("-",x&amp;"-")-1),LEFT(y,FIND("?",y&amp;"?")-1)),"")</x:f>
        <x:v>80</x:v>
      </x:c>
      <x:c r="D110" s="75" t="str">
        <x:f>IF($B110="","",IFERROR(XLOOKUP($C110,MakerWorld_Verileri!$A:$A,MakerWorld_Verileri!$B:$B,""),""))</x:f>
      </x:c>
      <x:c r="E110" s="75" t="str">
        <x:f>IF($B110="","",IFERROR(XLOOKUP($C110,MakerWorld_Verileri!$A:$A,MakerWorld_Verileri!$C:$C,""),""))</x:f>
      </x:c>
      <x:c r="F110" s="75" t="str"/>
      <x:c r="G110" s="75" t="str">
        <x:f>IF($B110&lt;&gt;"",Ayarlar!$B$7,"")</x:f>
      </x:c>
      <x:c r="H110" s="82" t="str">
        <x:f>IF($B110&lt;&gt;"",1,"")</x:f>
      </x:c>
      <x:c r="I110" s="82" t="str">
        <x:f>IF($B110="","",IFERROR(XLOOKUP($C110,MakerWorld_Verileri!$A:$A,MakerWorld_Verileri!$D:$D,""),""))</x:f>
      </x:c>
      <x:c r="J110" s="82" t="str"/>
      <x:c r="K110" s="82" t="str">
        <x:f>IF($I110&lt;&gt;"",$I110,$J110)</x:f>
      </x:c>
      <x:c r="L110" s="82" t="str">
        <x:f>IF($B110="","",IFERROR(XLOOKUP($C110,MakerWorld_Verileri!$A:$A,MakerWorld_Verileri!$E:$E,""),""))</x:f>
      </x:c>
      <x:c r="M110" s="82" t="str"/>
      <x:c r="N110" s="82" t="str">
        <x:f>IF($L110&lt;&gt;"",$L110,$M110)</x:f>
      </x:c>
      <x:c r="O110" s="82" t="str">
        <x:f>IF($B110&lt;&gt;"",0,"")</x:f>
      </x:c>
      <x:c r="P110" s="75" t="str">
        <x:f>IF($B110&lt;&gt;"","Orta","")</x:f>
      </x:c>
      <x:c r="Q110" s="82" t="str">
        <x:f>IF($B110&lt;&gt;"",10,"")</x:f>
      </x:c>
      <x:c r="R110" s="83" t="str">
        <x:f>IF($B110&lt;&gt;"",Ayarlar!$B$10,"")</x:f>
      </x:c>
      <x:c r="S110" s="83" t="str">
        <x:f>IF($B110&lt;&gt;"",0,"")</x:f>
      </x:c>
      <x:c r="T110" s="83" t="n">
        <x:f>IFERROR(($K110+$O110)*XLOOKUP($G110,Ayarlar!$A$19:$A$28,Ayarlar!$C$19:$C$28,0)*(1+Ayarlar!$B$11),0)</x:f>
        <x:v>0</x:v>
      </x:c>
      <x:c r="U110" s="83" t="n">
        <x:f>IFERROR($N110/60*Ayarlar!$B$8,0)</x:f>
        <x:v>0</x:v>
      </x:c>
      <x:c r="V110" s="83" t="n">
        <x:f>IF($B110&lt;&gt;"",Ayarlar!$B$12+($Q110/60*Ayarlar!$B$9),0)</x:f>
        <x:v>0</x:v>
      </x:c>
      <x:c r="W110" s="83" t="n">
        <x:f>IF($B110&lt;&gt;"",SUM($T110:$V110,$R110:$S110),0)</x:f>
        <x:v>0</x:v>
      </x:c>
      <x:c r="X110" s="83" t="n">
        <x:f>IF($B110&lt;&gt;"",$W110*Ayarlar!$B$15,0)</x:f>
        <x:v>0</x:v>
      </x:c>
      <x:c r="Y110" s="83" t="n">
        <x:f>IF($B110&lt;&gt;"",($W110+$X110)*Ayarlar!$B$13,0)</x:f>
        <x:v>0</x:v>
      </x:c>
      <x:c r="Z110" s="83" t="n">
        <x:f>IF($B110&lt;&gt;"",($W110+$X110+$Y110)*Ayarlar!$B$14,0)</x:f>
        <x:v>0</x:v>
      </x:c>
      <x:c r="AA110" s="83" t="str">
        <x:f>IF($B110="","",IF(OR($K110="",$N110=""),"",CEILING($W110+$X110+$Y110+$Z110,Ayarlar!$B$16)))</x:f>
      </x:c>
      <x:c r="AB110" s="83" t="str">
        <x:f>IFERROR($AA110/$H110,"")</x:f>
      </x:c>
      <x:c r="AC110" s="75" t="str">
        <x:f>IF($B110="","",IF(OR($K110="",$N110=""),"Veri Eksik","Fiyat Hazır"))</x:f>
      </x:c>
      <x:c r="AD110" s="75" t="str">
        <x:f>IF($C110&lt;&gt;"","MW-"&amp;$C110,"")</x:f>
        <x:v>MW-80</x:v>
      </x:c>
      <x:c r="AE110" s="75" t="str">
        <x:f>IF($G110&lt;&gt;"","3D Baskı / "&amp;$G110,"3D Baskı")</x:f>
        <x:v>3D Baskı</x:v>
      </x:c>
      <x:c r="AF110" s="75" t="str">
        <x:f>IF($D110&lt;&gt;"",$D110&amp;" - "&amp;$G110,$AD110&amp;" - "&amp;$G110)</x:f>
        <x:v>MW-80 - </x:v>
      </x:c>
      <x:c r="AG110" s="75" t="str"/>
    </x:row>
    <x:row r="111">
      <x:c r="A111" s="75" t="str">
        <x:f>IF($B111&lt;&gt;"",ROW()-4,"")</x:f>
      </x:c>
      <x:c r="B111" s="75" t="str"/>
      <x:c r="C111" s="75" t="n">
        <x:f>IFERROR(LET(x,MID($B111,FIND("/models/",$B111)+8,80),y,LEFT(x,FIND("-",x&amp;"-")-1),LEFT(y,FIND("?",y&amp;"?")-1)),"")</x:f>
        <x:v>80</x:v>
      </x:c>
      <x:c r="D111" s="75" t="str">
        <x:f>IF($B111="","",IFERROR(XLOOKUP($C111,MakerWorld_Verileri!$A:$A,MakerWorld_Verileri!$B:$B,""),""))</x:f>
      </x:c>
      <x:c r="E111" s="75" t="str">
        <x:f>IF($B111="","",IFERROR(XLOOKUP($C111,MakerWorld_Verileri!$A:$A,MakerWorld_Verileri!$C:$C,""),""))</x:f>
      </x:c>
      <x:c r="F111" s="75" t="str"/>
      <x:c r="G111" s="75" t="str">
        <x:f>IF($B111&lt;&gt;"",Ayarlar!$B$7,"")</x:f>
      </x:c>
      <x:c r="H111" s="82" t="str">
        <x:f>IF($B111&lt;&gt;"",1,"")</x:f>
      </x:c>
      <x:c r="I111" s="82" t="str">
        <x:f>IF($B111="","",IFERROR(XLOOKUP($C111,MakerWorld_Verileri!$A:$A,MakerWorld_Verileri!$D:$D,""),""))</x:f>
      </x:c>
      <x:c r="J111" s="82" t="str"/>
      <x:c r="K111" s="82" t="str">
        <x:f>IF($I111&lt;&gt;"",$I111,$J111)</x:f>
      </x:c>
      <x:c r="L111" s="82" t="str">
        <x:f>IF($B111="","",IFERROR(XLOOKUP($C111,MakerWorld_Verileri!$A:$A,MakerWorld_Verileri!$E:$E,""),""))</x:f>
      </x:c>
      <x:c r="M111" s="82" t="str"/>
      <x:c r="N111" s="82" t="str">
        <x:f>IF($L111&lt;&gt;"",$L111,$M111)</x:f>
      </x:c>
      <x:c r="O111" s="82" t="str">
        <x:f>IF($B111&lt;&gt;"",0,"")</x:f>
      </x:c>
      <x:c r="P111" s="75" t="str">
        <x:f>IF($B111&lt;&gt;"","Orta","")</x:f>
      </x:c>
      <x:c r="Q111" s="82" t="str">
        <x:f>IF($B111&lt;&gt;"",10,"")</x:f>
      </x:c>
      <x:c r="R111" s="83" t="str">
        <x:f>IF($B111&lt;&gt;"",Ayarlar!$B$10,"")</x:f>
      </x:c>
      <x:c r="S111" s="83" t="str">
        <x:f>IF($B111&lt;&gt;"",0,"")</x:f>
      </x:c>
      <x:c r="T111" s="83" t="n">
        <x:f>IFERROR(($K111+$O111)*XLOOKUP($G111,Ayarlar!$A$19:$A$28,Ayarlar!$C$19:$C$28,0)*(1+Ayarlar!$B$11),0)</x:f>
        <x:v>0</x:v>
      </x:c>
      <x:c r="U111" s="83" t="n">
        <x:f>IFERROR($N111/60*Ayarlar!$B$8,0)</x:f>
        <x:v>0</x:v>
      </x:c>
      <x:c r="V111" s="83" t="n">
        <x:f>IF($B111&lt;&gt;"",Ayarlar!$B$12+($Q111/60*Ayarlar!$B$9),0)</x:f>
        <x:v>0</x:v>
      </x:c>
      <x:c r="W111" s="83" t="n">
        <x:f>IF($B111&lt;&gt;"",SUM($T111:$V111,$R111:$S111),0)</x:f>
        <x:v>0</x:v>
      </x:c>
      <x:c r="X111" s="83" t="n">
        <x:f>IF($B111&lt;&gt;"",$W111*Ayarlar!$B$15,0)</x:f>
        <x:v>0</x:v>
      </x:c>
      <x:c r="Y111" s="83" t="n">
        <x:f>IF($B111&lt;&gt;"",($W111+$X111)*Ayarlar!$B$13,0)</x:f>
        <x:v>0</x:v>
      </x:c>
      <x:c r="Z111" s="83" t="n">
        <x:f>IF($B111&lt;&gt;"",($W111+$X111+$Y111)*Ayarlar!$B$14,0)</x:f>
        <x:v>0</x:v>
      </x:c>
      <x:c r="AA111" s="83" t="str">
        <x:f>IF($B111="","",IF(OR($K111="",$N111=""),"",CEILING($W111+$X111+$Y111+$Z111,Ayarlar!$B$16)))</x:f>
      </x:c>
      <x:c r="AB111" s="83" t="str">
        <x:f>IFERROR($AA111/$H111,"")</x:f>
      </x:c>
      <x:c r="AC111" s="75" t="str">
        <x:f>IF($B111="","",IF(OR($K111="",$N111=""),"Veri Eksik","Fiyat Hazır"))</x:f>
      </x:c>
      <x:c r="AD111" s="75" t="str">
        <x:f>IF($C111&lt;&gt;"","MW-"&amp;$C111,"")</x:f>
        <x:v>MW-80</x:v>
      </x:c>
      <x:c r="AE111" s="75" t="str">
        <x:f>IF($G111&lt;&gt;"","3D Baskı / "&amp;$G111,"3D Baskı")</x:f>
        <x:v>3D Baskı</x:v>
      </x:c>
      <x:c r="AF111" s="75" t="str">
        <x:f>IF($D111&lt;&gt;"",$D111&amp;" - "&amp;$G111,$AD111&amp;" - "&amp;$G111)</x:f>
        <x:v>MW-80 - </x:v>
      </x:c>
      <x:c r="AG111" s="75" t="str"/>
    </x:row>
    <x:row r="112">
      <x:c r="A112" s="75" t="str">
        <x:f>IF($B112&lt;&gt;"",ROW()-4,"")</x:f>
      </x:c>
      <x:c r="B112" s="75" t="str"/>
      <x:c r="C112" s="75" t="n">
        <x:f>IFERROR(LET(x,MID($B112,FIND("/models/",$B112)+8,80),y,LEFT(x,FIND("-",x&amp;"-")-1),LEFT(y,FIND("?",y&amp;"?")-1)),"")</x:f>
        <x:v>80</x:v>
      </x:c>
      <x:c r="D112" s="75" t="str">
        <x:f>IF($B112="","",IFERROR(XLOOKUP($C112,MakerWorld_Verileri!$A:$A,MakerWorld_Verileri!$B:$B,""),""))</x:f>
      </x:c>
      <x:c r="E112" s="75" t="str">
        <x:f>IF($B112="","",IFERROR(XLOOKUP($C112,MakerWorld_Verileri!$A:$A,MakerWorld_Verileri!$C:$C,""),""))</x:f>
      </x:c>
      <x:c r="F112" s="75" t="str"/>
      <x:c r="G112" s="75" t="str">
        <x:f>IF($B112&lt;&gt;"",Ayarlar!$B$7,"")</x:f>
      </x:c>
      <x:c r="H112" s="82" t="str">
        <x:f>IF($B112&lt;&gt;"",1,"")</x:f>
      </x:c>
      <x:c r="I112" s="82" t="str">
        <x:f>IF($B112="","",IFERROR(XLOOKUP($C112,MakerWorld_Verileri!$A:$A,MakerWorld_Verileri!$D:$D,""),""))</x:f>
      </x:c>
      <x:c r="J112" s="82" t="str"/>
      <x:c r="K112" s="82" t="str">
        <x:f>IF($I112&lt;&gt;"",$I112,$J112)</x:f>
      </x:c>
      <x:c r="L112" s="82" t="str">
        <x:f>IF($B112="","",IFERROR(XLOOKUP($C112,MakerWorld_Verileri!$A:$A,MakerWorld_Verileri!$E:$E,""),""))</x:f>
      </x:c>
      <x:c r="M112" s="82" t="str"/>
      <x:c r="N112" s="82" t="str">
        <x:f>IF($L112&lt;&gt;"",$L112,$M112)</x:f>
      </x:c>
      <x:c r="O112" s="82" t="str">
        <x:f>IF($B112&lt;&gt;"",0,"")</x:f>
      </x:c>
      <x:c r="P112" s="75" t="str">
        <x:f>IF($B112&lt;&gt;"","Orta","")</x:f>
      </x:c>
      <x:c r="Q112" s="82" t="str">
        <x:f>IF($B112&lt;&gt;"",10,"")</x:f>
      </x:c>
      <x:c r="R112" s="83" t="str">
        <x:f>IF($B112&lt;&gt;"",Ayarlar!$B$10,"")</x:f>
      </x:c>
      <x:c r="S112" s="83" t="str">
        <x:f>IF($B112&lt;&gt;"",0,"")</x:f>
      </x:c>
      <x:c r="T112" s="83" t="n">
        <x:f>IFERROR(($K112+$O112)*XLOOKUP($G112,Ayarlar!$A$19:$A$28,Ayarlar!$C$19:$C$28,0)*(1+Ayarlar!$B$11),0)</x:f>
        <x:v>0</x:v>
      </x:c>
      <x:c r="U112" s="83" t="n">
        <x:f>IFERROR($N112/60*Ayarlar!$B$8,0)</x:f>
        <x:v>0</x:v>
      </x:c>
      <x:c r="V112" s="83" t="n">
        <x:f>IF($B112&lt;&gt;"",Ayarlar!$B$12+($Q112/60*Ayarlar!$B$9),0)</x:f>
        <x:v>0</x:v>
      </x:c>
      <x:c r="W112" s="83" t="n">
        <x:f>IF($B112&lt;&gt;"",SUM($T112:$V112,$R112:$S112),0)</x:f>
        <x:v>0</x:v>
      </x:c>
      <x:c r="X112" s="83" t="n">
        <x:f>IF($B112&lt;&gt;"",$W112*Ayarlar!$B$15,0)</x:f>
        <x:v>0</x:v>
      </x:c>
      <x:c r="Y112" s="83" t="n">
        <x:f>IF($B112&lt;&gt;"",($W112+$X112)*Ayarlar!$B$13,0)</x:f>
        <x:v>0</x:v>
      </x:c>
      <x:c r="Z112" s="83" t="n">
        <x:f>IF($B112&lt;&gt;"",($W112+$X112+$Y112)*Ayarlar!$B$14,0)</x:f>
        <x:v>0</x:v>
      </x:c>
      <x:c r="AA112" s="83" t="str">
        <x:f>IF($B112="","",IF(OR($K112="",$N112=""),"",CEILING($W112+$X112+$Y112+$Z112,Ayarlar!$B$16)))</x:f>
      </x:c>
      <x:c r="AB112" s="83" t="str">
        <x:f>IFERROR($AA112/$H112,"")</x:f>
      </x:c>
      <x:c r="AC112" s="75" t="str">
        <x:f>IF($B112="","",IF(OR($K112="",$N112=""),"Veri Eksik","Fiyat Hazır"))</x:f>
      </x:c>
      <x:c r="AD112" s="75" t="str">
        <x:f>IF($C112&lt;&gt;"","MW-"&amp;$C112,"")</x:f>
        <x:v>MW-80</x:v>
      </x:c>
      <x:c r="AE112" s="75" t="str">
        <x:f>IF($G112&lt;&gt;"","3D Baskı / "&amp;$G112,"3D Baskı")</x:f>
        <x:v>3D Baskı</x:v>
      </x:c>
      <x:c r="AF112" s="75" t="str">
        <x:f>IF($D112&lt;&gt;"",$D112&amp;" - "&amp;$G112,$AD112&amp;" - "&amp;$G112)</x:f>
        <x:v>MW-80 - </x:v>
      </x:c>
      <x:c r="AG112" s="75" t="str"/>
    </x:row>
    <x:row r="113">
      <x:c r="A113" s="75" t="str">
        <x:f>IF($B113&lt;&gt;"",ROW()-4,"")</x:f>
      </x:c>
      <x:c r="B113" s="75" t="str"/>
      <x:c r="C113" s="75" t="n">
        <x:f>IFERROR(LET(x,MID($B113,FIND("/models/",$B113)+8,80),y,LEFT(x,FIND("-",x&amp;"-")-1),LEFT(y,FIND("?",y&amp;"?")-1)),"")</x:f>
        <x:v>80</x:v>
      </x:c>
      <x:c r="D113" s="75" t="str">
        <x:f>IF($B113="","",IFERROR(XLOOKUP($C113,MakerWorld_Verileri!$A:$A,MakerWorld_Verileri!$B:$B,""),""))</x:f>
      </x:c>
      <x:c r="E113" s="75" t="str">
        <x:f>IF($B113="","",IFERROR(XLOOKUP($C113,MakerWorld_Verileri!$A:$A,MakerWorld_Verileri!$C:$C,""),""))</x:f>
      </x:c>
      <x:c r="F113" s="75" t="str"/>
      <x:c r="G113" s="75" t="str">
        <x:f>IF($B113&lt;&gt;"",Ayarlar!$B$7,"")</x:f>
      </x:c>
      <x:c r="H113" s="82" t="str">
        <x:f>IF($B113&lt;&gt;"",1,"")</x:f>
      </x:c>
      <x:c r="I113" s="82" t="str">
        <x:f>IF($B113="","",IFERROR(XLOOKUP($C113,MakerWorld_Verileri!$A:$A,MakerWorld_Verileri!$D:$D,""),""))</x:f>
      </x:c>
      <x:c r="J113" s="82" t="str"/>
      <x:c r="K113" s="82" t="str">
        <x:f>IF($I113&lt;&gt;"",$I113,$J113)</x:f>
      </x:c>
      <x:c r="L113" s="82" t="str">
        <x:f>IF($B113="","",IFERROR(XLOOKUP($C113,MakerWorld_Verileri!$A:$A,MakerWorld_Verileri!$E:$E,""),""))</x:f>
      </x:c>
      <x:c r="M113" s="82" t="str"/>
      <x:c r="N113" s="82" t="str">
        <x:f>IF($L113&lt;&gt;"",$L113,$M113)</x:f>
      </x:c>
      <x:c r="O113" s="82" t="str">
        <x:f>IF($B113&lt;&gt;"",0,"")</x:f>
      </x:c>
      <x:c r="P113" s="75" t="str">
        <x:f>IF($B113&lt;&gt;"","Orta","")</x:f>
      </x:c>
      <x:c r="Q113" s="82" t="str">
        <x:f>IF($B113&lt;&gt;"",10,"")</x:f>
      </x:c>
      <x:c r="R113" s="83" t="str">
        <x:f>IF($B113&lt;&gt;"",Ayarlar!$B$10,"")</x:f>
      </x:c>
      <x:c r="S113" s="83" t="str">
        <x:f>IF($B113&lt;&gt;"",0,"")</x:f>
      </x:c>
      <x:c r="T113" s="83" t="n">
        <x:f>IFERROR(($K113+$O113)*XLOOKUP($G113,Ayarlar!$A$19:$A$28,Ayarlar!$C$19:$C$28,0)*(1+Ayarlar!$B$11),0)</x:f>
        <x:v>0</x:v>
      </x:c>
      <x:c r="U113" s="83" t="n">
        <x:f>IFERROR($N113/60*Ayarlar!$B$8,0)</x:f>
        <x:v>0</x:v>
      </x:c>
      <x:c r="V113" s="83" t="n">
        <x:f>IF($B113&lt;&gt;"",Ayarlar!$B$12+($Q113/60*Ayarlar!$B$9),0)</x:f>
        <x:v>0</x:v>
      </x:c>
      <x:c r="W113" s="83" t="n">
        <x:f>IF($B113&lt;&gt;"",SUM($T113:$V113,$R113:$S113),0)</x:f>
        <x:v>0</x:v>
      </x:c>
      <x:c r="X113" s="83" t="n">
        <x:f>IF($B113&lt;&gt;"",$W113*Ayarlar!$B$15,0)</x:f>
        <x:v>0</x:v>
      </x:c>
      <x:c r="Y113" s="83" t="n">
        <x:f>IF($B113&lt;&gt;"",($W113+$X113)*Ayarlar!$B$13,0)</x:f>
        <x:v>0</x:v>
      </x:c>
      <x:c r="Z113" s="83" t="n">
        <x:f>IF($B113&lt;&gt;"",($W113+$X113+$Y113)*Ayarlar!$B$14,0)</x:f>
        <x:v>0</x:v>
      </x:c>
      <x:c r="AA113" s="83" t="str">
        <x:f>IF($B113="","",IF(OR($K113="",$N113=""),"",CEILING($W113+$X113+$Y113+$Z113,Ayarlar!$B$16)))</x:f>
      </x:c>
      <x:c r="AB113" s="83" t="str">
        <x:f>IFERROR($AA113/$H113,"")</x:f>
      </x:c>
      <x:c r="AC113" s="75" t="str">
        <x:f>IF($B113="","",IF(OR($K113="",$N113=""),"Veri Eksik","Fiyat Hazır"))</x:f>
      </x:c>
      <x:c r="AD113" s="75" t="str">
        <x:f>IF($C113&lt;&gt;"","MW-"&amp;$C113,"")</x:f>
        <x:v>MW-80</x:v>
      </x:c>
      <x:c r="AE113" s="75" t="str">
        <x:f>IF($G113&lt;&gt;"","3D Baskı / "&amp;$G113,"3D Baskı")</x:f>
        <x:v>3D Baskı</x:v>
      </x:c>
      <x:c r="AF113" s="75" t="str">
        <x:f>IF($D113&lt;&gt;"",$D113&amp;" - "&amp;$G113,$AD113&amp;" - "&amp;$G113)</x:f>
        <x:v>MW-80 - </x:v>
      </x:c>
      <x:c r="AG113" s="75" t="str"/>
    </x:row>
    <x:row r="114">
      <x:c r="A114" s="75" t="str">
        <x:f>IF($B114&lt;&gt;"",ROW()-4,"")</x:f>
      </x:c>
      <x:c r="B114" s="75" t="str"/>
      <x:c r="C114" s="75" t="n">
        <x:f>IFERROR(LET(x,MID($B114,FIND("/models/",$B114)+8,80),y,LEFT(x,FIND("-",x&amp;"-")-1),LEFT(y,FIND("?",y&amp;"?")-1)),"")</x:f>
        <x:v>80</x:v>
      </x:c>
      <x:c r="D114" s="75" t="str">
        <x:f>IF($B114="","",IFERROR(XLOOKUP($C114,MakerWorld_Verileri!$A:$A,MakerWorld_Verileri!$B:$B,""),""))</x:f>
      </x:c>
      <x:c r="E114" s="75" t="str">
        <x:f>IF($B114="","",IFERROR(XLOOKUP($C114,MakerWorld_Verileri!$A:$A,MakerWorld_Verileri!$C:$C,""),""))</x:f>
      </x:c>
      <x:c r="F114" s="75" t="str"/>
      <x:c r="G114" s="75" t="str">
        <x:f>IF($B114&lt;&gt;"",Ayarlar!$B$7,"")</x:f>
      </x:c>
      <x:c r="H114" s="82" t="str">
        <x:f>IF($B114&lt;&gt;"",1,"")</x:f>
      </x:c>
      <x:c r="I114" s="82" t="str">
        <x:f>IF($B114="","",IFERROR(XLOOKUP($C114,MakerWorld_Verileri!$A:$A,MakerWorld_Verileri!$D:$D,""),""))</x:f>
      </x:c>
      <x:c r="J114" s="82" t="str"/>
      <x:c r="K114" s="82" t="str">
        <x:f>IF($I114&lt;&gt;"",$I114,$J114)</x:f>
      </x:c>
      <x:c r="L114" s="82" t="str">
        <x:f>IF($B114="","",IFERROR(XLOOKUP($C114,MakerWorld_Verileri!$A:$A,MakerWorld_Verileri!$E:$E,""),""))</x:f>
      </x:c>
      <x:c r="M114" s="82" t="str"/>
      <x:c r="N114" s="82" t="str">
        <x:f>IF($L114&lt;&gt;"",$L114,$M114)</x:f>
      </x:c>
      <x:c r="O114" s="82" t="str">
        <x:f>IF($B114&lt;&gt;"",0,"")</x:f>
      </x:c>
      <x:c r="P114" s="75" t="str">
        <x:f>IF($B114&lt;&gt;"","Orta","")</x:f>
      </x:c>
      <x:c r="Q114" s="82" t="str">
        <x:f>IF($B114&lt;&gt;"",10,"")</x:f>
      </x:c>
      <x:c r="R114" s="83" t="str">
        <x:f>IF($B114&lt;&gt;"",Ayarlar!$B$10,"")</x:f>
      </x:c>
      <x:c r="S114" s="83" t="str">
        <x:f>IF($B114&lt;&gt;"",0,"")</x:f>
      </x:c>
      <x:c r="T114" s="83" t="n">
        <x:f>IFERROR(($K114+$O114)*XLOOKUP($G114,Ayarlar!$A$19:$A$28,Ayarlar!$C$19:$C$28,0)*(1+Ayarlar!$B$11),0)</x:f>
        <x:v>0</x:v>
      </x:c>
      <x:c r="U114" s="83" t="n">
        <x:f>IFERROR($N114/60*Ayarlar!$B$8,0)</x:f>
        <x:v>0</x:v>
      </x:c>
      <x:c r="V114" s="83" t="n">
        <x:f>IF($B114&lt;&gt;"",Ayarlar!$B$12+($Q114/60*Ayarlar!$B$9),0)</x:f>
        <x:v>0</x:v>
      </x:c>
      <x:c r="W114" s="83" t="n">
        <x:f>IF($B114&lt;&gt;"",SUM($T114:$V114,$R114:$S114),0)</x:f>
        <x:v>0</x:v>
      </x:c>
      <x:c r="X114" s="83" t="n">
        <x:f>IF($B114&lt;&gt;"",$W114*Ayarlar!$B$15,0)</x:f>
        <x:v>0</x:v>
      </x:c>
      <x:c r="Y114" s="83" t="n">
        <x:f>IF($B114&lt;&gt;"",($W114+$X114)*Ayarlar!$B$13,0)</x:f>
        <x:v>0</x:v>
      </x:c>
      <x:c r="Z114" s="83" t="n">
        <x:f>IF($B114&lt;&gt;"",($W114+$X114+$Y114)*Ayarlar!$B$14,0)</x:f>
        <x:v>0</x:v>
      </x:c>
      <x:c r="AA114" s="83" t="str">
        <x:f>IF($B114="","",IF(OR($K114="",$N114=""),"",CEILING($W114+$X114+$Y114+$Z114,Ayarlar!$B$16)))</x:f>
      </x:c>
      <x:c r="AB114" s="83" t="str">
        <x:f>IFERROR($AA114/$H114,"")</x:f>
      </x:c>
      <x:c r="AC114" s="75" t="str">
        <x:f>IF($B114="","",IF(OR($K114="",$N114=""),"Veri Eksik","Fiyat Hazır"))</x:f>
      </x:c>
      <x:c r="AD114" s="75" t="str">
        <x:f>IF($C114&lt;&gt;"","MW-"&amp;$C114,"")</x:f>
        <x:v>MW-80</x:v>
      </x:c>
      <x:c r="AE114" s="75" t="str">
        <x:f>IF($G114&lt;&gt;"","3D Baskı / "&amp;$G114,"3D Baskı")</x:f>
        <x:v>3D Baskı</x:v>
      </x:c>
      <x:c r="AF114" s="75" t="str">
        <x:f>IF($D114&lt;&gt;"",$D114&amp;" - "&amp;$G114,$AD114&amp;" - "&amp;$G114)</x:f>
        <x:v>MW-80 - </x:v>
      </x:c>
      <x:c r="AG114" s="75" t="str"/>
    </x:row>
    <x:row r="115">
      <x:c r="A115" s="75" t="str">
        <x:f>IF($B115&lt;&gt;"",ROW()-4,"")</x:f>
      </x:c>
      <x:c r="B115" s="75" t="str"/>
      <x:c r="C115" s="75" t="n">
        <x:f>IFERROR(LET(x,MID($B115,FIND("/models/",$B115)+8,80),y,LEFT(x,FIND("-",x&amp;"-")-1),LEFT(y,FIND("?",y&amp;"?")-1)),"")</x:f>
        <x:v>80</x:v>
      </x:c>
      <x:c r="D115" s="75" t="str">
        <x:f>IF($B115="","",IFERROR(XLOOKUP($C115,MakerWorld_Verileri!$A:$A,MakerWorld_Verileri!$B:$B,""),""))</x:f>
      </x:c>
      <x:c r="E115" s="75" t="str">
        <x:f>IF($B115="","",IFERROR(XLOOKUP($C115,MakerWorld_Verileri!$A:$A,MakerWorld_Verileri!$C:$C,""),""))</x:f>
      </x:c>
      <x:c r="F115" s="75" t="str"/>
      <x:c r="G115" s="75" t="str">
        <x:f>IF($B115&lt;&gt;"",Ayarlar!$B$7,"")</x:f>
      </x:c>
      <x:c r="H115" s="82" t="str">
        <x:f>IF($B115&lt;&gt;"",1,"")</x:f>
      </x:c>
      <x:c r="I115" s="82" t="str">
        <x:f>IF($B115="","",IFERROR(XLOOKUP($C115,MakerWorld_Verileri!$A:$A,MakerWorld_Verileri!$D:$D,""),""))</x:f>
      </x:c>
      <x:c r="J115" s="82" t="str"/>
      <x:c r="K115" s="82" t="str">
        <x:f>IF($I115&lt;&gt;"",$I115,$J115)</x:f>
      </x:c>
      <x:c r="L115" s="82" t="str">
        <x:f>IF($B115="","",IFERROR(XLOOKUP($C115,MakerWorld_Verileri!$A:$A,MakerWorld_Verileri!$E:$E,""),""))</x:f>
      </x:c>
      <x:c r="M115" s="82" t="str"/>
      <x:c r="N115" s="82" t="str">
        <x:f>IF($L115&lt;&gt;"",$L115,$M115)</x:f>
      </x:c>
      <x:c r="O115" s="82" t="str">
        <x:f>IF($B115&lt;&gt;"",0,"")</x:f>
      </x:c>
      <x:c r="P115" s="75" t="str">
        <x:f>IF($B115&lt;&gt;"","Orta","")</x:f>
      </x:c>
      <x:c r="Q115" s="82" t="str">
        <x:f>IF($B115&lt;&gt;"",10,"")</x:f>
      </x:c>
      <x:c r="R115" s="83" t="str">
        <x:f>IF($B115&lt;&gt;"",Ayarlar!$B$10,"")</x:f>
      </x:c>
      <x:c r="S115" s="83" t="str">
        <x:f>IF($B115&lt;&gt;"",0,"")</x:f>
      </x:c>
      <x:c r="T115" s="83" t="n">
        <x:f>IFERROR(($K115+$O115)*XLOOKUP($G115,Ayarlar!$A$19:$A$28,Ayarlar!$C$19:$C$28,0)*(1+Ayarlar!$B$11),0)</x:f>
        <x:v>0</x:v>
      </x:c>
      <x:c r="U115" s="83" t="n">
        <x:f>IFERROR($N115/60*Ayarlar!$B$8,0)</x:f>
        <x:v>0</x:v>
      </x:c>
      <x:c r="V115" s="83" t="n">
        <x:f>IF($B115&lt;&gt;"",Ayarlar!$B$12+($Q115/60*Ayarlar!$B$9),0)</x:f>
        <x:v>0</x:v>
      </x:c>
      <x:c r="W115" s="83" t="n">
        <x:f>IF($B115&lt;&gt;"",SUM($T115:$V115,$R115:$S115),0)</x:f>
        <x:v>0</x:v>
      </x:c>
      <x:c r="X115" s="83" t="n">
        <x:f>IF($B115&lt;&gt;"",$W115*Ayarlar!$B$15,0)</x:f>
        <x:v>0</x:v>
      </x:c>
      <x:c r="Y115" s="83" t="n">
        <x:f>IF($B115&lt;&gt;"",($W115+$X115)*Ayarlar!$B$13,0)</x:f>
        <x:v>0</x:v>
      </x:c>
      <x:c r="Z115" s="83" t="n">
        <x:f>IF($B115&lt;&gt;"",($W115+$X115+$Y115)*Ayarlar!$B$14,0)</x:f>
        <x:v>0</x:v>
      </x:c>
      <x:c r="AA115" s="83" t="str">
        <x:f>IF($B115="","",IF(OR($K115="",$N115=""),"",CEILING($W115+$X115+$Y115+$Z115,Ayarlar!$B$16)))</x:f>
      </x:c>
      <x:c r="AB115" s="83" t="str">
        <x:f>IFERROR($AA115/$H115,"")</x:f>
      </x:c>
      <x:c r="AC115" s="75" t="str">
        <x:f>IF($B115="","",IF(OR($K115="",$N115=""),"Veri Eksik","Fiyat Hazır"))</x:f>
      </x:c>
      <x:c r="AD115" s="75" t="str">
        <x:f>IF($C115&lt;&gt;"","MW-"&amp;$C115,"")</x:f>
        <x:v>MW-80</x:v>
      </x:c>
      <x:c r="AE115" s="75" t="str">
        <x:f>IF($G115&lt;&gt;"","3D Baskı / "&amp;$G115,"3D Baskı")</x:f>
        <x:v>3D Baskı</x:v>
      </x:c>
      <x:c r="AF115" s="75" t="str">
        <x:f>IF($D115&lt;&gt;"",$D115&amp;" - "&amp;$G115,$AD115&amp;" - "&amp;$G115)</x:f>
        <x:v>MW-80 - </x:v>
      </x:c>
      <x:c r="AG115" s="75" t="str"/>
    </x:row>
    <x:row r="116">
      <x:c r="A116" s="75" t="str">
        <x:f>IF($B116&lt;&gt;"",ROW()-4,"")</x:f>
      </x:c>
      <x:c r="B116" s="75" t="str"/>
      <x:c r="C116" s="75" t="n">
        <x:f>IFERROR(LET(x,MID($B116,FIND("/models/",$B116)+8,80),y,LEFT(x,FIND("-",x&amp;"-")-1),LEFT(y,FIND("?",y&amp;"?")-1)),"")</x:f>
        <x:v>80</x:v>
      </x:c>
      <x:c r="D116" s="75" t="str">
        <x:f>IF($B116="","",IFERROR(XLOOKUP($C116,MakerWorld_Verileri!$A:$A,MakerWorld_Verileri!$B:$B,""),""))</x:f>
      </x:c>
      <x:c r="E116" s="75" t="str">
        <x:f>IF($B116="","",IFERROR(XLOOKUP($C116,MakerWorld_Verileri!$A:$A,MakerWorld_Verileri!$C:$C,""),""))</x:f>
      </x:c>
      <x:c r="F116" s="75" t="str"/>
      <x:c r="G116" s="75" t="str">
        <x:f>IF($B116&lt;&gt;"",Ayarlar!$B$7,"")</x:f>
      </x:c>
      <x:c r="H116" s="82" t="str">
        <x:f>IF($B116&lt;&gt;"",1,"")</x:f>
      </x:c>
      <x:c r="I116" s="82" t="str">
        <x:f>IF($B116="","",IFERROR(XLOOKUP($C116,MakerWorld_Verileri!$A:$A,MakerWorld_Verileri!$D:$D,""),""))</x:f>
      </x:c>
      <x:c r="J116" s="82" t="str"/>
      <x:c r="K116" s="82" t="str">
        <x:f>IF($I116&lt;&gt;"",$I116,$J116)</x:f>
      </x:c>
      <x:c r="L116" s="82" t="str">
        <x:f>IF($B116="","",IFERROR(XLOOKUP($C116,MakerWorld_Verileri!$A:$A,MakerWorld_Verileri!$E:$E,""),""))</x:f>
      </x:c>
      <x:c r="M116" s="82" t="str"/>
      <x:c r="N116" s="82" t="str">
        <x:f>IF($L116&lt;&gt;"",$L116,$M116)</x:f>
      </x:c>
      <x:c r="O116" s="82" t="str">
        <x:f>IF($B116&lt;&gt;"",0,"")</x:f>
      </x:c>
      <x:c r="P116" s="75" t="str">
        <x:f>IF($B116&lt;&gt;"","Orta","")</x:f>
      </x:c>
      <x:c r="Q116" s="82" t="str">
        <x:f>IF($B116&lt;&gt;"",10,"")</x:f>
      </x:c>
      <x:c r="R116" s="83" t="str">
        <x:f>IF($B116&lt;&gt;"",Ayarlar!$B$10,"")</x:f>
      </x:c>
      <x:c r="S116" s="83" t="str">
        <x:f>IF($B116&lt;&gt;"",0,"")</x:f>
      </x:c>
      <x:c r="T116" s="83" t="n">
        <x:f>IFERROR(($K116+$O116)*XLOOKUP($G116,Ayarlar!$A$19:$A$28,Ayarlar!$C$19:$C$28,0)*(1+Ayarlar!$B$11),0)</x:f>
        <x:v>0</x:v>
      </x:c>
      <x:c r="U116" s="83" t="n">
        <x:f>IFERROR($N116/60*Ayarlar!$B$8,0)</x:f>
        <x:v>0</x:v>
      </x:c>
      <x:c r="V116" s="83" t="n">
        <x:f>IF($B116&lt;&gt;"",Ayarlar!$B$12+($Q116/60*Ayarlar!$B$9),0)</x:f>
        <x:v>0</x:v>
      </x:c>
      <x:c r="W116" s="83" t="n">
        <x:f>IF($B116&lt;&gt;"",SUM($T116:$V116,$R116:$S116),0)</x:f>
        <x:v>0</x:v>
      </x:c>
      <x:c r="X116" s="83" t="n">
        <x:f>IF($B116&lt;&gt;"",$W116*Ayarlar!$B$15,0)</x:f>
        <x:v>0</x:v>
      </x:c>
      <x:c r="Y116" s="83" t="n">
        <x:f>IF($B116&lt;&gt;"",($W116+$X116)*Ayarlar!$B$13,0)</x:f>
        <x:v>0</x:v>
      </x:c>
      <x:c r="Z116" s="83" t="n">
        <x:f>IF($B116&lt;&gt;"",($W116+$X116+$Y116)*Ayarlar!$B$14,0)</x:f>
        <x:v>0</x:v>
      </x:c>
      <x:c r="AA116" s="83" t="str">
        <x:f>IF($B116="","",IF(OR($K116="",$N116=""),"",CEILING($W116+$X116+$Y116+$Z116,Ayarlar!$B$16)))</x:f>
      </x:c>
      <x:c r="AB116" s="83" t="str">
        <x:f>IFERROR($AA116/$H116,"")</x:f>
      </x:c>
      <x:c r="AC116" s="75" t="str">
        <x:f>IF($B116="","",IF(OR($K116="",$N116=""),"Veri Eksik","Fiyat Hazır"))</x:f>
      </x:c>
      <x:c r="AD116" s="75" t="str">
        <x:f>IF($C116&lt;&gt;"","MW-"&amp;$C116,"")</x:f>
        <x:v>MW-80</x:v>
      </x:c>
      <x:c r="AE116" s="75" t="str">
        <x:f>IF($G116&lt;&gt;"","3D Baskı / "&amp;$G116,"3D Baskı")</x:f>
        <x:v>3D Baskı</x:v>
      </x:c>
      <x:c r="AF116" s="75" t="str">
        <x:f>IF($D116&lt;&gt;"",$D116&amp;" - "&amp;$G116,$AD116&amp;" - "&amp;$G116)</x:f>
        <x:v>MW-80 - </x:v>
      </x:c>
      <x:c r="AG116" s="75" t="str"/>
    </x:row>
    <x:row r="117">
      <x:c r="A117" s="75" t="str">
        <x:f>IF($B117&lt;&gt;"",ROW()-4,"")</x:f>
      </x:c>
      <x:c r="B117" s="75" t="str"/>
      <x:c r="C117" s="75" t="n">
        <x:f>IFERROR(LET(x,MID($B117,FIND("/models/",$B117)+8,80),y,LEFT(x,FIND("-",x&amp;"-")-1),LEFT(y,FIND("?",y&amp;"?")-1)),"")</x:f>
        <x:v>80</x:v>
      </x:c>
      <x:c r="D117" s="75" t="str">
        <x:f>IF($B117="","",IFERROR(XLOOKUP($C117,MakerWorld_Verileri!$A:$A,MakerWorld_Verileri!$B:$B,""),""))</x:f>
      </x:c>
      <x:c r="E117" s="75" t="str">
        <x:f>IF($B117="","",IFERROR(XLOOKUP($C117,MakerWorld_Verileri!$A:$A,MakerWorld_Verileri!$C:$C,""),""))</x:f>
      </x:c>
      <x:c r="F117" s="75" t="str"/>
      <x:c r="G117" s="75" t="str">
        <x:f>IF($B117&lt;&gt;"",Ayarlar!$B$7,"")</x:f>
      </x:c>
      <x:c r="H117" s="82" t="str">
        <x:f>IF($B117&lt;&gt;"",1,"")</x:f>
      </x:c>
      <x:c r="I117" s="82" t="str">
        <x:f>IF($B117="","",IFERROR(XLOOKUP($C117,MakerWorld_Verileri!$A:$A,MakerWorld_Verileri!$D:$D,""),""))</x:f>
      </x:c>
      <x:c r="J117" s="82" t="str"/>
      <x:c r="K117" s="82" t="str">
        <x:f>IF($I117&lt;&gt;"",$I117,$J117)</x:f>
      </x:c>
      <x:c r="L117" s="82" t="str">
        <x:f>IF($B117="","",IFERROR(XLOOKUP($C117,MakerWorld_Verileri!$A:$A,MakerWorld_Verileri!$E:$E,""),""))</x:f>
      </x:c>
      <x:c r="M117" s="82" t="str"/>
      <x:c r="N117" s="82" t="str">
        <x:f>IF($L117&lt;&gt;"",$L117,$M117)</x:f>
      </x:c>
      <x:c r="O117" s="82" t="str">
        <x:f>IF($B117&lt;&gt;"",0,"")</x:f>
      </x:c>
      <x:c r="P117" s="75" t="str">
        <x:f>IF($B117&lt;&gt;"","Orta","")</x:f>
      </x:c>
      <x:c r="Q117" s="82" t="str">
        <x:f>IF($B117&lt;&gt;"",10,"")</x:f>
      </x:c>
      <x:c r="R117" s="83" t="str">
        <x:f>IF($B117&lt;&gt;"",Ayarlar!$B$10,"")</x:f>
      </x:c>
      <x:c r="S117" s="83" t="str">
        <x:f>IF($B117&lt;&gt;"",0,"")</x:f>
      </x:c>
      <x:c r="T117" s="83" t="n">
        <x:f>IFERROR(($K117+$O117)*XLOOKUP($G117,Ayarlar!$A$19:$A$28,Ayarlar!$C$19:$C$28,0)*(1+Ayarlar!$B$11),0)</x:f>
        <x:v>0</x:v>
      </x:c>
      <x:c r="U117" s="83" t="n">
        <x:f>IFERROR($N117/60*Ayarlar!$B$8,0)</x:f>
        <x:v>0</x:v>
      </x:c>
      <x:c r="V117" s="83" t="n">
        <x:f>IF($B117&lt;&gt;"",Ayarlar!$B$12+($Q117/60*Ayarlar!$B$9),0)</x:f>
        <x:v>0</x:v>
      </x:c>
      <x:c r="W117" s="83" t="n">
        <x:f>IF($B117&lt;&gt;"",SUM($T117:$V117,$R117:$S117),0)</x:f>
        <x:v>0</x:v>
      </x:c>
      <x:c r="X117" s="83" t="n">
        <x:f>IF($B117&lt;&gt;"",$W117*Ayarlar!$B$15,0)</x:f>
        <x:v>0</x:v>
      </x:c>
      <x:c r="Y117" s="83" t="n">
        <x:f>IF($B117&lt;&gt;"",($W117+$X117)*Ayarlar!$B$13,0)</x:f>
        <x:v>0</x:v>
      </x:c>
      <x:c r="Z117" s="83" t="n">
        <x:f>IF($B117&lt;&gt;"",($W117+$X117+$Y117)*Ayarlar!$B$14,0)</x:f>
        <x:v>0</x:v>
      </x:c>
      <x:c r="AA117" s="83" t="str">
        <x:f>IF($B117="","",IF(OR($K117="",$N117=""),"",CEILING($W117+$X117+$Y117+$Z117,Ayarlar!$B$16)))</x:f>
      </x:c>
      <x:c r="AB117" s="83" t="str">
        <x:f>IFERROR($AA117/$H117,"")</x:f>
      </x:c>
      <x:c r="AC117" s="75" t="str">
        <x:f>IF($B117="","",IF(OR($K117="",$N117=""),"Veri Eksik","Fiyat Hazır"))</x:f>
      </x:c>
      <x:c r="AD117" s="75" t="str">
        <x:f>IF($C117&lt;&gt;"","MW-"&amp;$C117,"")</x:f>
        <x:v>MW-80</x:v>
      </x:c>
      <x:c r="AE117" s="75" t="str">
        <x:f>IF($G117&lt;&gt;"","3D Baskı / "&amp;$G117,"3D Baskı")</x:f>
        <x:v>3D Baskı</x:v>
      </x:c>
      <x:c r="AF117" s="75" t="str">
        <x:f>IF($D117&lt;&gt;"",$D117&amp;" - "&amp;$G117,$AD117&amp;" - "&amp;$G117)</x:f>
        <x:v>MW-80 - </x:v>
      </x:c>
      <x:c r="AG117" s="75" t="str"/>
    </x:row>
    <x:row r="118">
      <x:c r="A118" s="75" t="str">
        <x:f>IF($B118&lt;&gt;"",ROW()-4,"")</x:f>
      </x:c>
      <x:c r="B118" s="75" t="str"/>
      <x:c r="C118" s="75" t="n">
        <x:f>IFERROR(LET(x,MID($B118,FIND("/models/",$B118)+8,80),y,LEFT(x,FIND("-",x&amp;"-")-1),LEFT(y,FIND("?",y&amp;"?")-1)),"")</x:f>
        <x:v>80</x:v>
      </x:c>
      <x:c r="D118" s="75" t="str">
        <x:f>IF($B118="","",IFERROR(XLOOKUP($C118,MakerWorld_Verileri!$A:$A,MakerWorld_Verileri!$B:$B,""),""))</x:f>
      </x:c>
      <x:c r="E118" s="75" t="str">
        <x:f>IF($B118="","",IFERROR(XLOOKUP($C118,MakerWorld_Verileri!$A:$A,MakerWorld_Verileri!$C:$C,""),""))</x:f>
      </x:c>
      <x:c r="F118" s="75" t="str"/>
      <x:c r="G118" s="75" t="str">
        <x:f>IF($B118&lt;&gt;"",Ayarlar!$B$7,"")</x:f>
      </x:c>
      <x:c r="H118" s="82" t="str">
        <x:f>IF($B118&lt;&gt;"",1,"")</x:f>
      </x:c>
      <x:c r="I118" s="82" t="str">
        <x:f>IF($B118="","",IFERROR(XLOOKUP($C118,MakerWorld_Verileri!$A:$A,MakerWorld_Verileri!$D:$D,""),""))</x:f>
      </x:c>
      <x:c r="J118" s="82" t="str"/>
      <x:c r="K118" s="82" t="str">
        <x:f>IF($I118&lt;&gt;"",$I118,$J118)</x:f>
      </x:c>
      <x:c r="L118" s="82" t="str">
        <x:f>IF($B118="","",IFERROR(XLOOKUP($C118,MakerWorld_Verileri!$A:$A,MakerWorld_Verileri!$E:$E,""),""))</x:f>
      </x:c>
      <x:c r="M118" s="82" t="str"/>
      <x:c r="N118" s="82" t="str">
        <x:f>IF($L118&lt;&gt;"",$L118,$M118)</x:f>
      </x:c>
      <x:c r="O118" s="82" t="str">
        <x:f>IF($B118&lt;&gt;"",0,"")</x:f>
      </x:c>
      <x:c r="P118" s="75" t="str">
        <x:f>IF($B118&lt;&gt;"","Orta","")</x:f>
      </x:c>
      <x:c r="Q118" s="82" t="str">
        <x:f>IF($B118&lt;&gt;"",10,"")</x:f>
      </x:c>
      <x:c r="R118" s="83" t="str">
        <x:f>IF($B118&lt;&gt;"",Ayarlar!$B$10,"")</x:f>
      </x:c>
      <x:c r="S118" s="83" t="str">
        <x:f>IF($B118&lt;&gt;"",0,"")</x:f>
      </x:c>
      <x:c r="T118" s="83" t="n">
        <x:f>IFERROR(($K118+$O118)*XLOOKUP($G118,Ayarlar!$A$19:$A$28,Ayarlar!$C$19:$C$28,0)*(1+Ayarlar!$B$11),0)</x:f>
        <x:v>0</x:v>
      </x:c>
      <x:c r="U118" s="83" t="n">
        <x:f>IFERROR($N118/60*Ayarlar!$B$8,0)</x:f>
        <x:v>0</x:v>
      </x:c>
      <x:c r="V118" s="83" t="n">
        <x:f>IF($B118&lt;&gt;"",Ayarlar!$B$12+($Q118/60*Ayarlar!$B$9),0)</x:f>
        <x:v>0</x:v>
      </x:c>
      <x:c r="W118" s="83" t="n">
        <x:f>IF($B118&lt;&gt;"",SUM($T118:$V118,$R118:$S118),0)</x:f>
        <x:v>0</x:v>
      </x:c>
      <x:c r="X118" s="83" t="n">
        <x:f>IF($B118&lt;&gt;"",$W118*Ayarlar!$B$15,0)</x:f>
        <x:v>0</x:v>
      </x:c>
      <x:c r="Y118" s="83" t="n">
        <x:f>IF($B118&lt;&gt;"",($W118+$X118)*Ayarlar!$B$13,0)</x:f>
        <x:v>0</x:v>
      </x:c>
      <x:c r="Z118" s="83" t="n">
        <x:f>IF($B118&lt;&gt;"",($W118+$X118+$Y118)*Ayarlar!$B$14,0)</x:f>
        <x:v>0</x:v>
      </x:c>
      <x:c r="AA118" s="83" t="str">
        <x:f>IF($B118="","",IF(OR($K118="",$N118=""),"",CEILING($W118+$X118+$Y118+$Z118,Ayarlar!$B$16)))</x:f>
      </x:c>
      <x:c r="AB118" s="83" t="str">
        <x:f>IFERROR($AA118/$H118,"")</x:f>
      </x:c>
      <x:c r="AC118" s="75" t="str">
        <x:f>IF($B118="","",IF(OR($K118="",$N118=""),"Veri Eksik","Fiyat Hazır"))</x:f>
      </x:c>
      <x:c r="AD118" s="75" t="str">
        <x:f>IF($C118&lt;&gt;"","MW-"&amp;$C118,"")</x:f>
        <x:v>MW-80</x:v>
      </x:c>
      <x:c r="AE118" s="75" t="str">
        <x:f>IF($G118&lt;&gt;"","3D Baskı / "&amp;$G118,"3D Baskı")</x:f>
        <x:v>3D Baskı</x:v>
      </x:c>
      <x:c r="AF118" s="75" t="str">
        <x:f>IF($D118&lt;&gt;"",$D118&amp;" - "&amp;$G118,$AD118&amp;" - "&amp;$G118)</x:f>
        <x:v>MW-80 - </x:v>
      </x:c>
      <x:c r="AG118" s="75" t="str"/>
    </x:row>
    <x:row r="119">
      <x:c r="A119" s="75" t="str">
        <x:f>IF($B119&lt;&gt;"",ROW()-4,"")</x:f>
      </x:c>
      <x:c r="B119" s="75" t="str"/>
      <x:c r="C119" s="75" t="n">
        <x:f>IFERROR(LET(x,MID($B119,FIND("/models/",$B119)+8,80),y,LEFT(x,FIND("-",x&amp;"-")-1),LEFT(y,FIND("?",y&amp;"?")-1)),"")</x:f>
        <x:v>80</x:v>
      </x:c>
      <x:c r="D119" s="75" t="str">
        <x:f>IF($B119="","",IFERROR(XLOOKUP($C119,MakerWorld_Verileri!$A:$A,MakerWorld_Verileri!$B:$B,""),""))</x:f>
      </x:c>
      <x:c r="E119" s="75" t="str">
        <x:f>IF($B119="","",IFERROR(XLOOKUP($C119,MakerWorld_Verileri!$A:$A,MakerWorld_Verileri!$C:$C,""),""))</x:f>
      </x:c>
      <x:c r="F119" s="75" t="str"/>
      <x:c r="G119" s="75" t="str">
        <x:f>IF($B119&lt;&gt;"",Ayarlar!$B$7,"")</x:f>
      </x:c>
      <x:c r="H119" s="82" t="str">
        <x:f>IF($B119&lt;&gt;"",1,"")</x:f>
      </x:c>
      <x:c r="I119" s="82" t="str">
        <x:f>IF($B119="","",IFERROR(XLOOKUP($C119,MakerWorld_Verileri!$A:$A,MakerWorld_Verileri!$D:$D,""),""))</x:f>
      </x:c>
      <x:c r="J119" s="82" t="str"/>
      <x:c r="K119" s="82" t="str">
        <x:f>IF($I119&lt;&gt;"",$I119,$J119)</x:f>
      </x:c>
      <x:c r="L119" s="82" t="str">
        <x:f>IF($B119="","",IFERROR(XLOOKUP($C119,MakerWorld_Verileri!$A:$A,MakerWorld_Verileri!$E:$E,""),""))</x:f>
      </x:c>
      <x:c r="M119" s="82" t="str"/>
      <x:c r="N119" s="82" t="str">
        <x:f>IF($L119&lt;&gt;"",$L119,$M119)</x:f>
      </x:c>
      <x:c r="O119" s="82" t="str">
        <x:f>IF($B119&lt;&gt;"",0,"")</x:f>
      </x:c>
      <x:c r="P119" s="75" t="str">
        <x:f>IF($B119&lt;&gt;"","Orta","")</x:f>
      </x:c>
      <x:c r="Q119" s="82" t="str">
        <x:f>IF($B119&lt;&gt;"",10,"")</x:f>
      </x:c>
      <x:c r="R119" s="83" t="str">
        <x:f>IF($B119&lt;&gt;"",Ayarlar!$B$10,"")</x:f>
      </x:c>
      <x:c r="S119" s="83" t="str">
        <x:f>IF($B119&lt;&gt;"",0,"")</x:f>
      </x:c>
      <x:c r="T119" s="83" t="n">
        <x:f>IFERROR(($K119+$O119)*XLOOKUP($G119,Ayarlar!$A$19:$A$28,Ayarlar!$C$19:$C$28,0)*(1+Ayarlar!$B$11),0)</x:f>
        <x:v>0</x:v>
      </x:c>
      <x:c r="U119" s="83" t="n">
        <x:f>IFERROR($N119/60*Ayarlar!$B$8,0)</x:f>
        <x:v>0</x:v>
      </x:c>
      <x:c r="V119" s="83" t="n">
        <x:f>IF($B119&lt;&gt;"",Ayarlar!$B$12+($Q119/60*Ayarlar!$B$9),0)</x:f>
        <x:v>0</x:v>
      </x:c>
      <x:c r="W119" s="83" t="n">
        <x:f>IF($B119&lt;&gt;"",SUM($T119:$V119,$R119:$S119),0)</x:f>
        <x:v>0</x:v>
      </x:c>
      <x:c r="X119" s="83" t="n">
        <x:f>IF($B119&lt;&gt;"",$W119*Ayarlar!$B$15,0)</x:f>
        <x:v>0</x:v>
      </x:c>
      <x:c r="Y119" s="83" t="n">
        <x:f>IF($B119&lt;&gt;"",($W119+$X119)*Ayarlar!$B$13,0)</x:f>
        <x:v>0</x:v>
      </x:c>
      <x:c r="Z119" s="83" t="n">
        <x:f>IF($B119&lt;&gt;"",($W119+$X119+$Y119)*Ayarlar!$B$14,0)</x:f>
        <x:v>0</x:v>
      </x:c>
      <x:c r="AA119" s="83" t="str">
        <x:f>IF($B119="","",IF(OR($K119="",$N119=""),"",CEILING($W119+$X119+$Y119+$Z119,Ayarlar!$B$16)))</x:f>
      </x:c>
      <x:c r="AB119" s="83" t="str">
        <x:f>IFERROR($AA119/$H119,"")</x:f>
      </x:c>
      <x:c r="AC119" s="75" t="str">
        <x:f>IF($B119="","",IF(OR($K119="",$N119=""),"Veri Eksik","Fiyat Hazır"))</x:f>
      </x:c>
      <x:c r="AD119" s="75" t="str">
        <x:f>IF($C119&lt;&gt;"","MW-"&amp;$C119,"")</x:f>
        <x:v>MW-80</x:v>
      </x:c>
      <x:c r="AE119" s="75" t="str">
        <x:f>IF($G119&lt;&gt;"","3D Baskı / "&amp;$G119,"3D Baskı")</x:f>
        <x:v>3D Baskı</x:v>
      </x:c>
      <x:c r="AF119" s="75" t="str">
        <x:f>IF($D119&lt;&gt;"",$D119&amp;" - "&amp;$G119,$AD119&amp;" - "&amp;$G119)</x:f>
        <x:v>MW-80 - </x:v>
      </x:c>
      <x:c r="AG119" s="75" t="str"/>
    </x:row>
    <x:row r="120">
      <x:c r="A120" s="75" t="str">
        <x:f>IF($B120&lt;&gt;"",ROW()-4,"")</x:f>
      </x:c>
      <x:c r="B120" s="75" t="str"/>
      <x:c r="C120" s="75" t="n">
        <x:f>IFERROR(LET(x,MID($B120,FIND("/models/",$B120)+8,80),y,LEFT(x,FIND("-",x&amp;"-")-1),LEFT(y,FIND("?",y&amp;"?")-1)),"")</x:f>
        <x:v>80</x:v>
      </x:c>
      <x:c r="D120" s="75" t="str">
        <x:f>IF($B120="","",IFERROR(XLOOKUP($C120,MakerWorld_Verileri!$A:$A,MakerWorld_Verileri!$B:$B,""),""))</x:f>
      </x:c>
      <x:c r="E120" s="75" t="str">
        <x:f>IF($B120="","",IFERROR(XLOOKUP($C120,MakerWorld_Verileri!$A:$A,MakerWorld_Verileri!$C:$C,""),""))</x:f>
      </x:c>
      <x:c r="F120" s="75" t="str"/>
      <x:c r="G120" s="75" t="str">
        <x:f>IF($B120&lt;&gt;"",Ayarlar!$B$7,"")</x:f>
      </x:c>
      <x:c r="H120" s="82" t="str">
        <x:f>IF($B120&lt;&gt;"",1,"")</x:f>
      </x:c>
      <x:c r="I120" s="82" t="str">
        <x:f>IF($B120="","",IFERROR(XLOOKUP($C120,MakerWorld_Verileri!$A:$A,MakerWorld_Verileri!$D:$D,""),""))</x:f>
      </x:c>
      <x:c r="J120" s="82" t="str"/>
      <x:c r="K120" s="82" t="str">
        <x:f>IF($I120&lt;&gt;"",$I120,$J120)</x:f>
      </x:c>
      <x:c r="L120" s="82" t="str">
        <x:f>IF($B120="","",IFERROR(XLOOKUP($C120,MakerWorld_Verileri!$A:$A,MakerWorld_Verileri!$E:$E,""),""))</x:f>
      </x:c>
      <x:c r="M120" s="82" t="str"/>
      <x:c r="N120" s="82" t="str">
        <x:f>IF($L120&lt;&gt;"",$L120,$M120)</x:f>
      </x:c>
      <x:c r="O120" s="82" t="str">
        <x:f>IF($B120&lt;&gt;"",0,"")</x:f>
      </x:c>
      <x:c r="P120" s="75" t="str">
        <x:f>IF($B120&lt;&gt;"","Orta","")</x:f>
      </x:c>
      <x:c r="Q120" s="82" t="str">
        <x:f>IF($B120&lt;&gt;"",10,"")</x:f>
      </x:c>
      <x:c r="R120" s="83" t="str">
        <x:f>IF($B120&lt;&gt;"",Ayarlar!$B$10,"")</x:f>
      </x:c>
      <x:c r="S120" s="83" t="str">
        <x:f>IF($B120&lt;&gt;"",0,"")</x:f>
      </x:c>
      <x:c r="T120" s="83" t="n">
        <x:f>IFERROR(($K120+$O120)*XLOOKUP($G120,Ayarlar!$A$19:$A$28,Ayarlar!$C$19:$C$28,0)*(1+Ayarlar!$B$11),0)</x:f>
        <x:v>0</x:v>
      </x:c>
      <x:c r="U120" s="83" t="n">
        <x:f>IFERROR($N120/60*Ayarlar!$B$8,0)</x:f>
        <x:v>0</x:v>
      </x:c>
      <x:c r="V120" s="83" t="n">
        <x:f>IF($B120&lt;&gt;"",Ayarlar!$B$12+($Q120/60*Ayarlar!$B$9),0)</x:f>
        <x:v>0</x:v>
      </x:c>
      <x:c r="W120" s="83" t="n">
        <x:f>IF($B120&lt;&gt;"",SUM($T120:$V120,$R120:$S120),0)</x:f>
        <x:v>0</x:v>
      </x:c>
      <x:c r="X120" s="83" t="n">
        <x:f>IF($B120&lt;&gt;"",$W120*Ayarlar!$B$15,0)</x:f>
        <x:v>0</x:v>
      </x:c>
      <x:c r="Y120" s="83" t="n">
        <x:f>IF($B120&lt;&gt;"",($W120+$X120)*Ayarlar!$B$13,0)</x:f>
        <x:v>0</x:v>
      </x:c>
      <x:c r="Z120" s="83" t="n">
        <x:f>IF($B120&lt;&gt;"",($W120+$X120+$Y120)*Ayarlar!$B$14,0)</x:f>
        <x:v>0</x:v>
      </x:c>
      <x:c r="AA120" s="83" t="str">
        <x:f>IF($B120="","",IF(OR($K120="",$N120=""),"",CEILING($W120+$X120+$Y120+$Z120,Ayarlar!$B$16)))</x:f>
      </x:c>
      <x:c r="AB120" s="83" t="str">
        <x:f>IFERROR($AA120/$H120,"")</x:f>
      </x:c>
      <x:c r="AC120" s="75" t="str">
        <x:f>IF($B120="","",IF(OR($K120="",$N120=""),"Veri Eksik","Fiyat Hazır"))</x:f>
      </x:c>
      <x:c r="AD120" s="75" t="str">
        <x:f>IF($C120&lt;&gt;"","MW-"&amp;$C120,"")</x:f>
        <x:v>MW-80</x:v>
      </x:c>
      <x:c r="AE120" s="75" t="str">
        <x:f>IF($G120&lt;&gt;"","3D Baskı / "&amp;$G120,"3D Baskı")</x:f>
        <x:v>3D Baskı</x:v>
      </x:c>
      <x:c r="AF120" s="75" t="str">
        <x:f>IF($D120&lt;&gt;"",$D120&amp;" - "&amp;$G120,$AD120&amp;" - "&amp;$G120)</x:f>
        <x:v>MW-80 - </x:v>
      </x:c>
      <x:c r="AG120" s="75" t="str"/>
    </x:row>
    <x:row r="121">
      <x:c r="A121" s="75" t="str">
        <x:f>IF($B121&lt;&gt;"",ROW()-4,"")</x:f>
      </x:c>
      <x:c r="B121" s="75" t="str"/>
      <x:c r="C121" s="75" t="n">
        <x:f>IFERROR(LET(x,MID($B121,FIND("/models/",$B121)+8,80),y,LEFT(x,FIND("-",x&amp;"-")-1),LEFT(y,FIND("?",y&amp;"?")-1)),"")</x:f>
        <x:v>80</x:v>
      </x:c>
      <x:c r="D121" s="75" t="str">
        <x:f>IF($B121="","",IFERROR(XLOOKUP($C121,MakerWorld_Verileri!$A:$A,MakerWorld_Verileri!$B:$B,""),""))</x:f>
      </x:c>
      <x:c r="E121" s="75" t="str">
        <x:f>IF($B121="","",IFERROR(XLOOKUP($C121,MakerWorld_Verileri!$A:$A,MakerWorld_Verileri!$C:$C,""),""))</x:f>
      </x:c>
      <x:c r="F121" s="75" t="str"/>
      <x:c r="G121" s="75" t="str">
        <x:f>IF($B121&lt;&gt;"",Ayarlar!$B$7,"")</x:f>
      </x:c>
      <x:c r="H121" s="82" t="str">
        <x:f>IF($B121&lt;&gt;"",1,"")</x:f>
      </x:c>
      <x:c r="I121" s="82" t="str">
        <x:f>IF($B121="","",IFERROR(XLOOKUP($C121,MakerWorld_Verileri!$A:$A,MakerWorld_Verileri!$D:$D,""),""))</x:f>
      </x:c>
      <x:c r="J121" s="82" t="str"/>
      <x:c r="K121" s="82" t="str">
        <x:f>IF($I121&lt;&gt;"",$I121,$J121)</x:f>
      </x:c>
      <x:c r="L121" s="82" t="str">
        <x:f>IF($B121="","",IFERROR(XLOOKUP($C121,MakerWorld_Verileri!$A:$A,MakerWorld_Verileri!$E:$E,""),""))</x:f>
      </x:c>
      <x:c r="M121" s="82" t="str"/>
      <x:c r="N121" s="82" t="str">
        <x:f>IF($L121&lt;&gt;"",$L121,$M121)</x:f>
      </x:c>
      <x:c r="O121" s="82" t="str">
        <x:f>IF($B121&lt;&gt;"",0,"")</x:f>
      </x:c>
      <x:c r="P121" s="75" t="str">
        <x:f>IF($B121&lt;&gt;"","Orta","")</x:f>
      </x:c>
      <x:c r="Q121" s="82" t="str">
        <x:f>IF($B121&lt;&gt;"",10,"")</x:f>
      </x:c>
      <x:c r="R121" s="83" t="str">
        <x:f>IF($B121&lt;&gt;"",Ayarlar!$B$10,"")</x:f>
      </x:c>
      <x:c r="S121" s="83" t="str">
        <x:f>IF($B121&lt;&gt;"",0,"")</x:f>
      </x:c>
      <x:c r="T121" s="83" t="n">
        <x:f>IFERROR(($K121+$O121)*XLOOKUP($G121,Ayarlar!$A$19:$A$28,Ayarlar!$C$19:$C$28,0)*(1+Ayarlar!$B$11),0)</x:f>
        <x:v>0</x:v>
      </x:c>
      <x:c r="U121" s="83" t="n">
        <x:f>IFERROR($N121/60*Ayarlar!$B$8,0)</x:f>
        <x:v>0</x:v>
      </x:c>
      <x:c r="V121" s="83" t="n">
        <x:f>IF($B121&lt;&gt;"",Ayarlar!$B$12+($Q121/60*Ayarlar!$B$9),0)</x:f>
        <x:v>0</x:v>
      </x:c>
      <x:c r="W121" s="83" t="n">
        <x:f>IF($B121&lt;&gt;"",SUM($T121:$V121,$R121:$S121),0)</x:f>
        <x:v>0</x:v>
      </x:c>
      <x:c r="X121" s="83" t="n">
        <x:f>IF($B121&lt;&gt;"",$W121*Ayarlar!$B$15,0)</x:f>
        <x:v>0</x:v>
      </x:c>
      <x:c r="Y121" s="83" t="n">
        <x:f>IF($B121&lt;&gt;"",($W121+$X121)*Ayarlar!$B$13,0)</x:f>
        <x:v>0</x:v>
      </x:c>
      <x:c r="Z121" s="83" t="n">
        <x:f>IF($B121&lt;&gt;"",($W121+$X121+$Y121)*Ayarlar!$B$14,0)</x:f>
        <x:v>0</x:v>
      </x:c>
      <x:c r="AA121" s="83" t="str">
        <x:f>IF($B121="","",IF(OR($K121="",$N121=""),"",CEILING($W121+$X121+$Y121+$Z121,Ayarlar!$B$16)))</x:f>
      </x:c>
      <x:c r="AB121" s="83" t="str">
        <x:f>IFERROR($AA121/$H121,"")</x:f>
      </x:c>
      <x:c r="AC121" s="75" t="str">
        <x:f>IF($B121="","",IF(OR($K121="",$N121=""),"Veri Eksik","Fiyat Hazır"))</x:f>
      </x:c>
      <x:c r="AD121" s="75" t="str">
        <x:f>IF($C121&lt;&gt;"","MW-"&amp;$C121,"")</x:f>
        <x:v>MW-80</x:v>
      </x:c>
      <x:c r="AE121" s="75" t="str">
        <x:f>IF($G121&lt;&gt;"","3D Baskı / "&amp;$G121,"3D Baskı")</x:f>
        <x:v>3D Baskı</x:v>
      </x:c>
      <x:c r="AF121" s="75" t="str">
        <x:f>IF($D121&lt;&gt;"",$D121&amp;" - "&amp;$G121,$AD121&amp;" - "&amp;$G121)</x:f>
        <x:v>MW-80 - </x:v>
      </x:c>
      <x:c r="AG121" s="75" t="str"/>
    </x:row>
    <x:row r="122">
      <x:c r="A122" s="75" t="str">
        <x:f>IF($B122&lt;&gt;"",ROW()-4,"")</x:f>
      </x:c>
      <x:c r="B122" s="75" t="str"/>
      <x:c r="C122" s="75" t="n">
        <x:f>IFERROR(LET(x,MID($B122,FIND("/models/",$B122)+8,80),y,LEFT(x,FIND("-",x&amp;"-")-1),LEFT(y,FIND("?",y&amp;"?")-1)),"")</x:f>
        <x:v>80</x:v>
      </x:c>
      <x:c r="D122" s="75" t="str">
        <x:f>IF($B122="","",IFERROR(XLOOKUP($C122,MakerWorld_Verileri!$A:$A,MakerWorld_Verileri!$B:$B,""),""))</x:f>
      </x:c>
      <x:c r="E122" s="75" t="str">
        <x:f>IF($B122="","",IFERROR(XLOOKUP($C122,MakerWorld_Verileri!$A:$A,MakerWorld_Verileri!$C:$C,""),""))</x:f>
      </x:c>
      <x:c r="F122" s="75" t="str"/>
      <x:c r="G122" s="75" t="str">
        <x:f>IF($B122&lt;&gt;"",Ayarlar!$B$7,"")</x:f>
      </x:c>
      <x:c r="H122" s="82" t="str">
        <x:f>IF($B122&lt;&gt;"",1,"")</x:f>
      </x:c>
      <x:c r="I122" s="82" t="str">
        <x:f>IF($B122="","",IFERROR(XLOOKUP($C122,MakerWorld_Verileri!$A:$A,MakerWorld_Verileri!$D:$D,""),""))</x:f>
      </x:c>
      <x:c r="J122" s="82" t="str"/>
      <x:c r="K122" s="82" t="str">
        <x:f>IF($I122&lt;&gt;"",$I122,$J122)</x:f>
      </x:c>
      <x:c r="L122" s="82" t="str">
        <x:f>IF($B122="","",IFERROR(XLOOKUP($C122,MakerWorld_Verileri!$A:$A,MakerWorld_Verileri!$E:$E,""),""))</x:f>
      </x:c>
      <x:c r="M122" s="82" t="str"/>
      <x:c r="N122" s="82" t="str">
        <x:f>IF($L122&lt;&gt;"",$L122,$M122)</x:f>
      </x:c>
      <x:c r="O122" s="82" t="str">
        <x:f>IF($B122&lt;&gt;"",0,"")</x:f>
      </x:c>
      <x:c r="P122" s="75" t="str">
        <x:f>IF($B122&lt;&gt;"","Orta","")</x:f>
      </x:c>
      <x:c r="Q122" s="82" t="str">
        <x:f>IF($B122&lt;&gt;"",10,"")</x:f>
      </x:c>
      <x:c r="R122" s="83" t="str">
        <x:f>IF($B122&lt;&gt;"",Ayarlar!$B$10,"")</x:f>
      </x:c>
      <x:c r="S122" s="83" t="str">
        <x:f>IF($B122&lt;&gt;"",0,"")</x:f>
      </x:c>
      <x:c r="T122" s="83" t="n">
        <x:f>IFERROR(($K122+$O122)*XLOOKUP($G122,Ayarlar!$A$19:$A$28,Ayarlar!$C$19:$C$28,0)*(1+Ayarlar!$B$11),0)</x:f>
        <x:v>0</x:v>
      </x:c>
      <x:c r="U122" s="83" t="n">
        <x:f>IFERROR($N122/60*Ayarlar!$B$8,0)</x:f>
        <x:v>0</x:v>
      </x:c>
      <x:c r="V122" s="83" t="n">
        <x:f>IF($B122&lt;&gt;"",Ayarlar!$B$12+($Q122/60*Ayarlar!$B$9),0)</x:f>
        <x:v>0</x:v>
      </x:c>
      <x:c r="W122" s="83" t="n">
        <x:f>IF($B122&lt;&gt;"",SUM($T122:$V122,$R122:$S122),0)</x:f>
        <x:v>0</x:v>
      </x:c>
      <x:c r="X122" s="83" t="n">
        <x:f>IF($B122&lt;&gt;"",$W122*Ayarlar!$B$15,0)</x:f>
        <x:v>0</x:v>
      </x:c>
      <x:c r="Y122" s="83" t="n">
        <x:f>IF($B122&lt;&gt;"",($W122+$X122)*Ayarlar!$B$13,0)</x:f>
        <x:v>0</x:v>
      </x:c>
      <x:c r="Z122" s="83" t="n">
        <x:f>IF($B122&lt;&gt;"",($W122+$X122+$Y122)*Ayarlar!$B$14,0)</x:f>
        <x:v>0</x:v>
      </x:c>
      <x:c r="AA122" s="83" t="str">
        <x:f>IF($B122="","",IF(OR($K122="",$N122=""),"",CEILING($W122+$X122+$Y122+$Z122,Ayarlar!$B$16)))</x:f>
      </x:c>
      <x:c r="AB122" s="83" t="str">
        <x:f>IFERROR($AA122/$H122,"")</x:f>
      </x:c>
      <x:c r="AC122" s="75" t="str">
        <x:f>IF($B122="","",IF(OR($K122="",$N122=""),"Veri Eksik","Fiyat Hazır"))</x:f>
      </x:c>
      <x:c r="AD122" s="75" t="str">
        <x:f>IF($C122&lt;&gt;"","MW-"&amp;$C122,"")</x:f>
        <x:v>MW-80</x:v>
      </x:c>
      <x:c r="AE122" s="75" t="str">
        <x:f>IF($G122&lt;&gt;"","3D Baskı / "&amp;$G122,"3D Baskı")</x:f>
        <x:v>3D Baskı</x:v>
      </x:c>
      <x:c r="AF122" s="75" t="str">
        <x:f>IF($D122&lt;&gt;"",$D122&amp;" - "&amp;$G122,$AD122&amp;" - "&amp;$G122)</x:f>
        <x:v>MW-80 - </x:v>
      </x:c>
      <x:c r="AG122" s="75" t="str"/>
    </x:row>
    <x:row r="123">
      <x:c r="A123" s="75" t="str">
        <x:f>IF($B123&lt;&gt;"",ROW()-4,"")</x:f>
      </x:c>
      <x:c r="B123" s="75" t="str"/>
      <x:c r="C123" s="75" t="n">
        <x:f>IFERROR(LET(x,MID($B123,FIND("/models/",$B123)+8,80),y,LEFT(x,FIND("-",x&amp;"-")-1),LEFT(y,FIND("?",y&amp;"?")-1)),"")</x:f>
        <x:v>80</x:v>
      </x:c>
      <x:c r="D123" s="75" t="str">
        <x:f>IF($B123="","",IFERROR(XLOOKUP($C123,MakerWorld_Verileri!$A:$A,MakerWorld_Verileri!$B:$B,""),""))</x:f>
      </x:c>
      <x:c r="E123" s="75" t="str">
        <x:f>IF($B123="","",IFERROR(XLOOKUP($C123,MakerWorld_Verileri!$A:$A,MakerWorld_Verileri!$C:$C,""),""))</x:f>
      </x:c>
      <x:c r="F123" s="75" t="str"/>
      <x:c r="G123" s="75" t="str">
        <x:f>IF($B123&lt;&gt;"",Ayarlar!$B$7,"")</x:f>
      </x:c>
      <x:c r="H123" s="82" t="str">
        <x:f>IF($B123&lt;&gt;"",1,"")</x:f>
      </x:c>
      <x:c r="I123" s="82" t="str">
        <x:f>IF($B123="","",IFERROR(XLOOKUP($C123,MakerWorld_Verileri!$A:$A,MakerWorld_Verileri!$D:$D,""),""))</x:f>
      </x:c>
      <x:c r="J123" s="82" t="str"/>
      <x:c r="K123" s="82" t="str">
        <x:f>IF($I123&lt;&gt;"",$I123,$J123)</x:f>
      </x:c>
      <x:c r="L123" s="82" t="str">
        <x:f>IF($B123="","",IFERROR(XLOOKUP($C123,MakerWorld_Verileri!$A:$A,MakerWorld_Verileri!$E:$E,""),""))</x:f>
      </x:c>
      <x:c r="M123" s="82" t="str"/>
      <x:c r="N123" s="82" t="str">
        <x:f>IF($L123&lt;&gt;"",$L123,$M123)</x:f>
      </x:c>
      <x:c r="O123" s="82" t="str">
        <x:f>IF($B123&lt;&gt;"",0,"")</x:f>
      </x:c>
      <x:c r="P123" s="75" t="str">
        <x:f>IF($B123&lt;&gt;"","Orta","")</x:f>
      </x:c>
      <x:c r="Q123" s="82" t="str">
        <x:f>IF($B123&lt;&gt;"",10,"")</x:f>
      </x:c>
      <x:c r="R123" s="83" t="str">
        <x:f>IF($B123&lt;&gt;"",Ayarlar!$B$10,"")</x:f>
      </x:c>
      <x:c r="S123" s="83" t="str">
        <x:f>IF($B123&lt;&gt;"",0,"")</x:f>
      </x:c>
      <x:c r="T123" s="83" t="n">
        <x:f>IFERROR(($K123+$O123)*XLOOKUP($G123,Ayarlar!$A$19:$A$28,Ayarlar!$C$19:$C$28,0)*(1+Ayarlar!$B$11),0)</x:f>
        <x:v>0</x:v>
      </x:c>
      <x:c r="U123" s="83" t="n">
        <x:f>IFERROR($N123/60*Ayarlar!$B$8,0)</x:f>
        <x:v>0</x:v>
      </x:c>
      <x:c r="V123" s="83" t="n">
        <x:f>IF($B123&lt;&gt;"",Ayarlar!$B$12+($Q123/60*Ayarlar!$B$9),0)</x:f>
        <x:v>0</x:v>
      </x:c>
      <x:c r="W123" s="83" t="n">
        <x:f>IF($B123&lt;&gt;"",SUM($T123:$V123,$R123:$S123),0)</x:f>
        <x:v>0</x:v>
      </x:c>
      <x:c r="X123" s="83" t="n">
        <x:f>IF($B123&lt;&gt;"",$W123*Ayarlar!$B$15,0)</x:f>
        <x:v>0</x:v>
      </x:c>
      <x:c r="Y123" s="83" t="n">
        <x:f>IF($B123&lt;&gt;"",($W123+$X123)*Ayarlar!$B$13,0)</x:f>
        <x:v>0</x:v>
      </x:c>
      <x:c r="Z123" s="83" t="n">
        <x:f>IF($B123&lt;&gt;"",($W123+$X123+$Y123)*Ayarlar!$B$14,0)</x:f>
        <x:v>0</x:v>
      </x:c>
      <x:c r="AA123" s="83" t="str">
        <x:f>IF($B123="","",IF(OR($K123="",$N123=""),"",CEILING($W123+$X123+$Y123+$Z123,Ayarlar!$B$16)))</x:f>
      </x:c>
      <x:c r="AB123" s="83" t="str">
        <x:f>IFERROR($AA123/$H123,"")</x:f>
      </x:c>
      <x:c r="AC123" s="75" t="str">
        <x:f>IF($B123="","",IF(OR($K123="",$N123=""),"Veri Eksik","Fiyat Hazır"))</x:f>
      </x:c>
      <x:c r="AD123" s="75" t="str">
        <x:f>IF($C123&lt;&gt;"","MW-"&amp;$C123,"")</x:f>
        <x:v>MW-80</x:v>
      </x:c>
      <x:c r="AE123" s="75" t="str">
        <x:f>IF($G123&lt;&gt;"","3D Baskı / "&amp;$G123,"3D Baskı")</x:f>
        <x:v>3D Baskı</x:v>
      </x:c>
      <x:c r="AF123" s="75" t="str">
        <x:f>IF($D123&lt;&gt;"",$D123&amp;" - "&amp;$G123,$AD123&amp;" - "&amp;$G123)</x:f>
        <x:v>MW-80 - </x:v>
      </x:c>
      <x:c r="AG123" s="75" t="str"/>
    </x:row>
    <x:row r="124">
      <x:c r="A124" s="75" t="str">
        <x:f>IF($B124&lt;&gt;"",ROW()-4,"")</x:f>
      </x:c>
      <x:c r="B124" s="75" t="str"/>
      <x:c r="C124" s="75" t="n">
        <x:f>IFERROR(LET(x,MID($B124,FIND("/models/",$B124)+8,80),y,LEFT(x,FIND("-",x&amp;"-")-1),LEFT(y,FIND("?",y&amp;"?")-1)),"")</x:f>
        <x:v>80</x:v>
      </x:c>
      <x:c r="D124" s="75" t="str">
        <x:f>IF($B124="","",IFERROR(XLOOKUP($C124,MakerWorld_Verileri!$A:$A,MakerWorld_Verileri!$B:$B,""),""))</x:f>
      </x:c>
      <x:c r="E124" s="75" t="str">
        <x:f>IF($B124="","",IFERROR(XLOOKUP($C124,MakerWorld_Verileri!$A:$A,MakerWorld_Verileri!$C:$C,""),""))</x:f>
      </x:c>
      <x:c r="F124" s="75" t="str"/>
      <x:c r="G124" s="75" t="str">
        <x:f>IF($B124&lt;&gt;"",Ayarlar!$B$7,"")</x:f>
      </x:c>
      <x:c r="H124" s="82" t="str">
        <x:f>IF($B124&lt;&gt;"",1,"")</x:f>
      </x:c>
      <x:c r="I124" s="82" t="str">
        <x:f>IF($B124="","",IFERROR(XLOOKUP($C124,MakerWorld_Verileri!$A:$A,MakerWorld_Verileri!$D:$D,""),""))</x:f>
      </x:c>
      <x:c r="J124" s="82" t="str"/>
      <x:c r="K124" s="82" t="str">
        <x:f>IF($I124&lt;&gt;"",$I124,$J124)</x:f>
      </x:c>
      <x:c r="L124" s="82" t="str">
        <x:f>IF($B124="","",IFERROR(XLOOKUP($C124,MakerWorld_Verileri!$A:$A,MakerWorld_Verileri!$E:$E,""),""))</x:f>
      </x:c>
      <x:c r="M124" s="82" t="str"/>
      <x:c r="N124" s="82" t="str">
        <x:f>IF($L124&lt;&gt;"",$L124,$M124)</x:f>
      </x:c>
      <x:c r="O124" s="82" t="str">
        <x:f>IF($B124&lt;&gt;"",0,"")</x:f>
      </x:c>
      <x:c r="P124" s="75" t="str">
        <x:f>IF($B124&lt;&gt;"","Orta","")</x:f>
      </x:c>
      <x:c r="Q124" s="82" t="str">
        <x:f>IF($B124&lt;&gt;"",10,"")</x:f>
      </x:c>
      <x:c r="R124" s="83" t="str">
        <x:f>IF($B124&lt;&gt;"",Ayarlar!$B$10,"")</x:f>
      </x:c>
      <x:c r="S124" s="83" t="str">
        <x:f>IF($B124&lt;&gt;"",0,"")</x:f>
      </x:c>
      <x:c r="T124" s="83" t="n">
        <x:f>IFERROR(($K124+$O124)*XLOOKUP($G124,Ayarlar!$A$19:$A$28,Ayarlar!$C$19:$C$28,0)*(1+Ayarlar!$B$11),0)</x:f>
        <x:v>0</x:v>
      </x:c>
      <x:c r="U124" s="83" t="n">
        <x:f>IFERROR($N124/60*Ayarlar!$B$8,0)</x:f>
        <x:v>0</x:v>
      </x:c>
      <x:c r="V124" s="83" t="n">
        <x:f>IF($B124&lt;&gt;"",Ayarlar!$B$12+($Q124/60*Ayarlar!$B$9),0)</x:f>
        <x:v>0</x:v>
      </x:c>
      <x:c r="W124" s="83" t="n">
        <x:f>IF($B124&lt;&gt;"",SUM($T124:$V124,$R124:$S124),0)</x:f>
        <x:v>0</x:v>
      </x:c>
      <x:c r="X124" s="83" t="n">
        <x:f>IF($B124&lt;&gt;"",$W124*Ayarlar!$B$15,0)</x:f>
        <x:v>0</x:v>
      </x:c>
      <x:c r="Y124" s="83" t="n">
        <x:f>IF($B124&lt;&gt;"",($W124+$X124)*Ayarlar!$B$13,0)</x:f>
        <x:v>0</x:v>
      </x:c>
      <x:c r="Z124" s="83" t="n">
        <x:f>IF($B124&lt;&gt;"",($W124+$X124+$Y124)*Ayarlar!$B$14,0)</x:f>
        <x:v>0</x:v>
      </x:c>
      <x:c r="AA124" s="83" t="str">
        <x:f>IF($B124="","",IF(OR($K124="",$N124=""),"",CEILING($W124+$X124+$Y124+$Z124,Ayarlar!$B$16)))</x:f>
      </x:c>
      <x:c r="AB124" s="83" t="str">
        <x:f>IFERROR($AA124/$H124,"")</x:f>
      </x:c>
      <x:c r="AC124" s="75" t="str">
        <x:f>IF($B124="","",IF(OR($K124="",$N124=""),"Veri Eksik","Fiyat Hazır"))</x:f>
      </x:c>
      <x:c r="AD124" s="75" t="str">
        <x:f>IF($C124&lt;&gt;"","MW-"&amp;$C124,"")</x:f>
        <x:v>MW-80</x:v>
      </x:c>
      <x:c r="AE124" s="75" t="str">
        <x:f>IF($G124&lt;&gt;"","3D Baskı / "&amp;$G124,"3D Baskı")</x:f>
        <x:v>3D Baskı</x:v>
      </x:c>
      <x:c r="AF124" s="75" t="str">
        <x:f>IF($D124&lt;&gt;"",$D124&amp;" - "&amp;$G124,$AD124&amp;" - "&amp;$G124)</x:f>
        <x:v>MW-80 - </x:v>
      </x:c>
      <x:c r="AG124" s="75" t="str"/>
    </x:row>
    <x:row r="125">
      <x:c r="A125" s="75" t="str">
        <x:f>IF($B125&lt;&gt;"",ROW()-4,"")</x:f>
      </x:c>
      <x:c r="B125" s="75" t="str"/>
      <x:c r="C125" s="75" t="n">
        <x:f>IFERROR(LET(x,MID($B125,FIND("/models/",$B125)+8,80),y,LEFT(x,FIND("-",x&amp;"-")-1),LEFT(y,FIND("?",y&amp;"?")-1)),"")</x:f>
        <x:v>80</x:v>
      </x:c>
      <x:c r="D125" s="75" t="str">
        <x:f>IF($B125="","",IFERROR(XLOOKUP($C125,MakerWorld_Verileri!$A:$A,MakerWorld_Verileri!$B:$B,""),""))</x:f>
      </x:c>
      <x:c r="E125" s="75" t="str">
        <x:f>IF($B125="","",IFERROR(XLOOKUP($C125,MakerWorld_Verileri!$A:$A,MakerWorld_Verileri!$C:$C,""),""))</x:f>
      </x:c>
      <x:c r="F125" s="75" t="str"/>
      <x:c r="G125" s="75" t="str">
        <x:f>IF($B125&lt;&gt;"",Ayarlar!$B$7,"")</x:f>
      </x:c>
      <x:c r="H125" s="82" t="str">
        <x:f>IF($B125&lt;&gt;"",1,"")</x:f>
      </x:c>
      <x:c r="I125" s="82" t="str">
        <x:f>IF($B125="","",IFERROR(XLOOKUP($C125,MakerWorld_Verileri!$A:$A,MakerWorld_Verileri!$D:$D,""),""))</x:f>
      </x:c>
      <x:c r="J125" s="82" t="str"/>
      <x:c r="K125" s="82" t="str">
        <x:f>IF($I125&lt;&gt;"",$I125,$J125)</x:f>
      </x:c>
      <x:c r="L125" s="82" t="str">
        <x:f>IF($B125="","",IFERROR(XLOOKUP($C125,MakerWorld_Verileri!$A:$A,MakerWorld_Verileri!$E:$E,""),""))</x:f>
      </x:c>
      <x:c r="M125" s="82" t="str"/>
      <x:c r="N125" s="82" t="str">
        <x:f>IF($L125&lt;&gt;"",$L125,$M125)</x:f>
      </x:c>
      <x:c r="O125" s="82" t="str">
        <x:f>IF($B125&lt;&gt;"",0,"")</x:f>
      </x:c>
      <x:c r="P125" s="75" t="str">
        <x:f>IF($B125&lt;&gt;"","Orta","")</x:f>
      </x:c>
      <x:c r="Q125" s="82" t="str">
        <x:f>IF($B125&lt;&gt;"",10,"")</x:f>
      </x:c>
      <x:c r="R125" s="83" t="str">
        <x:f>IF($B125&lt;&gt;"",Ayarlar!$B$10,"")</x:f>
      </x:c>
      <x:c r="S125" s="83" t="str">
        <x:f>IF($B125&lt;&gt;"",0,"")</x:f>
      </x:c>
      <x:c r="T125" s="83" t="n">
        <x:f>IFERROR(($K125+$O125)*XLOOKUP($G125,Ayarlar!$A$19:$A$28,Ayarlar!$C$19:$C$28,0)*(1+Ayarlar!$B$11),0)</x:f>
        <x:v>0</x:v>
      </x:c>
      <x:c r="U125" s="83" t="n">
        <x:f>IFERROR($N125/60*Ayarlar!$B$8,0)</x:f>
        <x:v>0</x:v>
      </x:c>
      <x:c r="V125" s="83" t="n">
        <x:f>IF($B125&lt;&gt;"",Ayarlar!$B$12+($Q125/60*Ayarlar!$B$9),0)</x:f>
        <x:v>0</x:v>
      </x:c>
      <x:c r="W125" s="83" t="n">
        <x:f>IF($B125&lt;&gt;"",SUM($T125:$V125,$R125:$S125),0)</x:f>
        <x:v>0</x:v>
      </x:c>
      <x:c r="X125" s="83" t="n">
        <x:f>IF($B125&lt;&gt;"",$W125*Ayarlar!$B$15,0)</x:f>
        <x:v>0</x:v>
      </x:c>
      <x:c r="Y125" s="83" t="n">
        <x:f>IF($B125&lt;&gt;"",($W125+$X125)*Ayarlar!$B$13,0)</x:f>
        <x:v>0</x:v>
      </x:c>
      <x:c r="Z125" s="83" t="n">
        <x:f>IF($B125&lt;&gt;"",($W125+$X125+$Y125)*Ayarlar!$B$14,0)</x:f>
        <x:v>0</x:v>
      </x:c>
      <x:c r="AA125" s="83" t="str">
        <x:f>IF($B125="","",IF(OR($K125="",$N125=""),"",CEILING($W125+$X125+$Y125+$Z125,Ayarlar!$B$16)))</x:f>
      </x:c>
      <x:c r="AB125" s="83" t="str">
        <x:f>IFERROR($AA125/$H125,"")</x:f>
      </x:c>
      <x:c r="AC125" s="75" t="str">
        <x:f>IF($B125="","",IF(OR($K125="",$N125=""),"Veri Eksik","Fiyat Hazır"))</x:f>
      </x:c>
      <x:c r="AD125" s="75" t="str">
        <x:f>IF($C125&lt;&gt;"","MW-"&amp;$C125,"")</x:f>
        <x:v>MW-80</x:v>
      </x:c>
      <x:c r="AE125" s="75" t="str">
        <x:f>IF($G125&lt;&gt;"","3D Baskı / "&amp;$G125,"3D Baskı")</x:f>
        <x:v>3D Baskı</x:v>
      </x:c>
      <x:c r="AF125" s="75" t="str">
        <x:f>IF($D125&lt;&gt;"",$D125&amp;" - "&amp;$G125,$AD125&amp;" - "&amp;$G125)</x:f>
        <x:v>MW-80 - </x:v>
      </x:c>
      <x:c r="AG125" s="75" t="str"/>
    </x:row>
    <x:row r="126">
      <x:c r="A126" s="75" t="str">
        <x:f>IF($B126&lt;&gt;"",ROW()-4,"")</x:f>
      </x:c>
      <x:c r="B126" s="75" t="str"/>
      <x:c r="C126" s="75" t="n">
        <x:f>IFERROR(LET(x,MID($B126,FIND("/models/",$B126)+8,80),y,LEFT(x,FIND("-",x&amp;"-")-1),LEFT(y,FIND("?",y&amp;"?")-1)),"")</x:f>
        <x:v>80</x:v>
      </x:c>
      <x:c r="D126" s="75" t="str">
        <x:f>IF($B126="","",IFERROR(XLOOKUP($C126,MakerWorld_Verileri!$A:$A,MakerWorld_Verileri!$B:$B,""),""))</x:f>
      </x:c>
      <x:c r="E126" s="75" t="str">
        <x:f>IF($B126="","",IFERROR(XLOOKUP($C126,MakerWorld_Verileri!$A:$A,MakerWorld_Verileri!$C:$C,""),""))</x:f>
      </x:c>
      <x:c r="F126" s="75" t="str"/>
      <x:c r="G126" s="75" t="str">
        <x:f>IF($B126&lt;&gt;"",Ayarlar!$B$7,"")</x:f>
      </x:c>
      <x:c r="H126" s="82" t="str">
        <x:f>IF($B126&lt;&gt;"",1,"")</x:f>
      </x:c>
      <x:c r="I126" s="82" t="str">
        <x:f>IF($B126="","",IFERROR(XLOOKUP($C126,MakerWorld_Verileri!$A:$A,MakerWorld_Verileri!$D:$D,""),""))</x:f>
      </x:c>
      <x:c r="J126" s="82" t="str"/>
      <x:c r="K126" s="82" t="str">
        <x:f>IF($I126&lt;&gt;"",$I126,$J126)</x:f>
      </x:c>
      <x:c r="L126" s="82" t="str">
        <x:f>IF($B126="","",IFERROR(XLOOKUP($C126,MakerWorld_Verileri!$A:$A,MakerWorld_Verileri!$E:$E,""),""))</x:f>
      </x:c>
      <x:c r="M126" s="82" t="str"/>
      <x:c r="N126" s="82" t="str">
        <x:f>IF($L126&lt;&gt;"",$L126,$M126)</x:f>
      </x:c>
      <x:c r="O126" s="82" t="str">
        <x:f>IF($B126&lt;&gt;"",0,"")</x:f>
      </x:c>
      <x:c r="P126" s="75" t="str">
        <x:f>IF($B126&lt;&gt;"","Orta","")</x:f>
      </x:c>
      <x:c r="Q126" s="82" t="str">
        <x:f>IF($B126&lt;&gt;"",10,"")</x:f>
      </x:c>
      <x:c r="R126" s="83" t="str">
        <x:f>IF($B126&lt;&gt;"",Ayarlar!$B$10,"")</x:f>
      </x:c>
      <x:c r="S126" s="83" t="str">
        <x:f>IF($B126&lt;&gt;"",0,"")</x:f>
      </x:c>
      <x:c r="T126" s="83" t="n">
        <x:f>IFERROR(($K126+$O126)*XLOOKUP($G126,Ayarlar!$A$19:$A$28,Ayarlar!$C$19:$C$28,0)*(1+Ayarlar!$B$11),0)</x:f>
        <x:v>0</x:v>
      </x:c>
      <x:c r="U126" s="83" t="n">
        <x:f>IFERROR($N126/60*Ayarlar!$B$8,0)</x:f>
        <x:v>0</x:v>
      </x:c>
      <x:c r="V126" s="83" t="n">
        <x:f>IF($B126&lt;&gt;"",Ayarlar!$B$12+($Q126/60*Ayarlar!$B$9),0)</x:f>
        <x:v>0</x:v>
      </x:c>
      <x:c r="W126" s="83" t="n">
        <x:f>IF($B126&lt;&gt;"",SUM($T126:$V126,$R126:$S126),0)</x:f>
        <x:v>0</x:v>
      </x:c>
      <x:c r="X126" s="83" t="n">
        <x:f>IF($B126&lt;&gt;"",$W126*Ayarlar!$B$15,0)</x:f>
        <x:v>0</x:v>
      </x:c>
      <x:c r="Y126" s="83" t="n">
        <x:f>IF($B126&lt;&gt;"",($W126+$X126)*Ayarlar!$B$13,0)</x:f>
        <x:v>0</x:v>
      </x:c>
      <x:c r="Z126" s="83" t="n">
        <x:f>IF($B126&lt;&gt;"",($W126+$X126+$Y126)*Ayarlar!$B$14,0)</x:f>
        <x:v>0</x:v>
      </x:c>
      <x:c r="AA126" s="83" t="str">
        <x:f>IF($B126="","",IF(OR($K126="",$N126=""),"",CEILING($W126+$X126+$Y126+$Z126,Ayarlar!$B$16)))</x:f>
      </x:c>
      <x:c r="AB126" s="83" t="str">
        <x:f>IFERROR($AA126/$H126,"")</x:f>
      </x:c>
      <x:c r="AC126" s="75" t="str">
        <x:f>IF($B126="","",IF(OR($K126="",$N126=""),"Veri Eksik","Fiyat Hazır"))</x:f>
      </x:c>
      <x:c r="AD126" s="75" t="str">
        <x:f>IF($C126&lt;&gt;"","MW-"&amp;$C126,"")</x:f>
        <x:v>MW-80</x:v>
      </x:c>
      <x:c r="AE126" s="75" t="str">
        <x:f>IF($G126&lt;&gt;"","3D Baskı / "&amp;$G126,"3D Baskı")</x:f>
        <x:v>3D Baskı</x:v>
      </x:c>
      <x:c r="AF126" s="75" t="str">
        <x:f>IF($D126&lt;&gt;"",$D126&amp;" - "&amp;$G126,$AD126&amp;" - "&amp;$G126)</x:f>
        <x:v>MW-80 - </x:v>
      </x:c>
      <x:c r="AG126" s="75" t="str"/>
    </x:row>
    <x:row r="127">
      <x:c r="A127" s="75" t="str">
        <x:f>IF($B127&lt;&gt;"",ROW()-4,"")</x:f>
      </x:c>
      <x:c r="B127" s="75" t="str"/>
      <x:c r="C127" s="75" t="n">
        <x:f>IFERROR(LET(x,MID($B127,FIND("/models/",$B127)+8,80),y,LEFT(x,FIND("-",x&amp;"-")-1),LEFT(y,FIND("?",y&amp;"?")-1)),"")</x:f>
        <x:v>80</x:v>
      </x:c>
      <x:c r="D127" s="75" t="str">
        <x:f>IF($B127="","",IFERROR(XLOOKUP($C127,MakerWorld_Verileri!$A:$A,MakerWorld_Verileri!$B:$B,""),""))</x:f>
      </x:c>
      <x:c r="E127" s="75" t="str">
        <x:f>IF($B127="","",IFERROR(XLOOKUP($C127,MakerWorld_Verileri!$A:$A,MakerWorld_Verileri!$C:$C,""),""))</x:f>
      </x:c>
      <x:c r="F127" s="75" t="str"/>
      <x:c r="G127" s="75" t="str">
        <x:f>IF($B127&lt;&gt;"",Ayarlar!$B$7,"")</x:f>
      </x:c>
      <x:c r="H127" s="82" t="str">
        <x:f>IF($B127&lt;&gt;"",1,"")</x:f>
      </x:c>
      <x:c r="I127" s="82" t="str">
        <x:f>IF($B127="","",IFERROR(XLOOKUP($C127,MakerWorld_Verileri!$A:$A,MakerWorld_Verileri!$D:$D,""),""))</x:f>
      </x:c>
      <x:c r="J127" s="82" t="str"/>
      <x:c r="K127" s="82" t="str">
        <x:f>IF($I127&lt;&gt;"",$I127,$J127)</x:f>
      </x:c>
      <x:c r="L127" s="82" t="str">
        <x:f>IF($B127="","",IFERROR(XLOOKUP($C127,MakerWorld_Verileri!$A:$A,MakerWorld_Verileri!$E:$E,""),""))</x:f>
      </x:c>
      <x:c r="M127" s="82" t="str"/>
      <x:c r="N127" s="82" t="str">
        <x:f>IF($L127&lt;&gt;"",$L127,$M127)</x:f>
      </x:c>
      <x:c r="O127" s="82" t="str">
        <x:f>IF($B127&lt;&gt;"",0,"")</x:f>
      </x:c>
      <x:c r="P127" s="75" t="str">
        <x:f>IF($B127&lt;&gt;"","Orta","")</x:f>
      </x:c>
      <x:c r="Q127" s="82" t="str">
        <x:f>IF($B127&lt;&gt;"",10,"")</x:f>
      </x:c>
      <x:c r="R127" s="83" t="str">
        <x:f>IF($B127&lt;&gt;"",Ayarlar!$B$10,"")</x:f>
      </x:c>
      <x:c r="S127" s="83" t="str">
        <x:f>IF($B127&lt;&gt;"",0,"")</x:f>
      </x:c>
      <x:c r="T127" s="83" t="n">
        <x:f>IFERROR(($K127+$O127)*XLOOKUP($G127,Ayarlar!$A$19:$A$28,Ayarlar!$C$19:$C$28,0)*(1+Ayarlar!$B$11),0)</x:f>
        <x:v>0</x:v>
      </x:c>
      <x:c r="U127" s="83" t="n">
        <x:f>IFERROR($N127/60*Ayarlar!$B$8,0)</x:f>
        <x:v>0</x:v>
      </x:c>
      <x:c r="V127" s="83" t="n">
        <x:f>IF($B127&lt;&gt;"",Ayarlar!$B$12+($Q127/60*Ayarlar!$B$9),0)</x:f>
        <x:v>0</x:v>
      </x:c>
      <x:c r="W127" s="83" t="n">
        <x:f>IF($B127&lt;&gt;"",SUM($T127:$V127,$R127:$S127),0)</x:f>
        <x:v>0</x:v>
      </x:c>
      <x:c r="X127" s="83" t="n">
        <x:f>IF($B127&lt;&gt;"",$W127*Ayarlar!$B$15,0)</x:f>
        <x:v>0</x:v>
      </x:c>
      <x:c r="Y127" s="83" t="n">
        <x:f>IF($B127&lt;&gt;"",($W127+$X127)*Ayarlar!$B$13,0)</x:f>
        <x:v>0</x:v>
      </x:c>
      <x:c r="Z127" s="83" t="n">
        <x:f>IF($B127&lt;&gt;"",($W127+$X127+$Y127)*Ayarlar!$B$14,0)</x:f>
        <x:v>0</x:v>
      </x:c>
      <x:c r="AA127" s="83" t="str">
        <x:f>IF($B127="","",IF(OR($K127="",$N127=""),"",CEILING($W127+$X127+$Y127+$Z127,Ayarlar!$B$16)))</x:f>
      </x:c>
      <x:c r="AB127" s="83" t="str">
        <x:f>IFERROR($AA127/$H127,"")</x:f>
      </x:c>
      <x:c r="AC127" s="75" t="str">
        <x:f>IF($B127="","",IF(OR($K127="",$N127=""),"Veri Eksik","Fiyat Hazır"))</x:f>
      </x:c>
      <x:c r="AD127" s="75" t="str">
        <x:f>IF($C127&lt;&gt;"","MW-"&amp;$C127,"")</x:f>
        <x:v>MW-80</x:v>
      </x:c>
      <x:c r="AE127" s="75" t="str">
        <x:f>IF($G127&lt;&gt;"","3D Baskı / "&amp;$G127,"3D Baskı")</x:f>
        <x:v>3D Baskı</x:v>
      </x:c>
      <x:c r="AF127" s="75" t="str">
        <x:f>IF($D127&lt;&gt;"",$D127&amp;" - "&amp;$G127,$AD127&amp;" - "&amp;$G127)</x:f>
        <x:v>MW-80 - </x:v>
      </x:c>
      <x:c r="AG127" s="75" t="str"/>
    </x:row>
    <x:row r="128">
      <x:c r="A128" s="75" t="str">
        <x:f>IF($B128&lt;&gt;"",ROW()-4,"")</x:f>
      </x:c>
      <x:c r="B128" s="75" t="str"/>
      <x:c r="C128" s="75" t="n">
        <x:f>IFERROR(LET(x,MID($B128,FIND("/models/",$B128)+8,80),y,LEFT(x,FIND("-",x&amp;"-")-1),LEFT(y,FIND("?",y&amp;"?")-1)),"")</x:f>
        <x:v>80</x:v>
      </x:c>
      <x:c r="D128" s="75" t="str">
        <x:f>IF($B128="","",IFERROR(XLOOKUP($C128,MakerWorld_Verileri!$A:$A,MakerWorld_Verileri!$B:$B,""),""))</x:f>
      </x:c>
      <x:c r="E128" s="75" t="str">
        <x:f>IF($B128="","",IFERROR(XLOOKUP($C128,MakerWorld_Verileri!$A:$A,MakerWorld_Verileri!$C:$C,""),""))</x:f>
      </x:c>
      <x:c r="F128" s="75" t="str"/>
      <x:c r="G128" s="75" t="str">
        <x:f>IF($B128&lt;&gt;"",Ayarlar!$B$7,"")</x:f>
      </x:c>
      <x:c r="H128" s="82" t="str">
        <x:f>IF($B128&lt;&gt;"",1,"")</x:f>
      </x:c>
      <x:c r="I128" s="82" t="str">
        <x:f>IF($B128="","",IFERROR(XLOOKUP($C128,MakerWorld_Verileri!$A:$A,MakerWorld_Verileri!$D:$D,""),""))</x:f>
      </x:c>
      <x:c r="J128" s="82" t="str"/>
      <x:c r="K128" s="82" t="str">
        <x:f>IF($I128&lt;&gt;"",$I128,$J128)</x:f>
      </x:c>
      <x:c r="L128" s="82" t="str">
        <x:f>IF($B128="","",IFERROR(XLOOKUP($C128,MakerWorld_Verileri!$A:$A,MakerWorld_Verileri!$E:$E,""),""))</x:f>
      </x:c>
      <x:c r="M128" s="82" t="str"/>
      <x:c r="N128" s="82" t="str">
        <x:f>IF($L128&lt;&gt;"",$L128,$M128)</x:f>
      </x:c>
      <x:c r="O128" s="82" t="str">
        <x:f>IF($B128&lt;&gt;"",0,"")</x:f>
      </x:c>
      <x:c r="P128" s="75" t="str">
        <x:f>IF($B128&lt;&gt;"","Orta","")</x:f>
      </x:c>
      <x:c r="Q128" s="82" t="str">
        <x:f>IF($B128&lt;&gt;"",10,"")</x:f>
      </x:c>
      <x:c r="R128" s="83" t="str">
        <x:f>IF($B128&lt;&gt;"",Ayarlar!$B$10,"")</x:f>
      </x:c>
      <x:c r="S128" s="83" t="str">
        <x:f>IF($B128&lt;&gt;"",0,"")</x:f>
      </x:c>
      <x:c r="T128" s="83" t="n">
        <x:f>IFERROR(($K128+$O128)*XLOOKUP($G128,Ayarlar!$A$19:$A$28,Ayarlar!$C$19:$C$28,0)*(1+Ayarlar!$B$11),0)</x:f>
        <x:v>0</x:v>
      </x:c>
      <x:c r="U128" s="83" t="n">
        <x:f>IFERROR($N128/60*Ayarlar!$B$8,0)</x:f>
        <x:v>0</x:v>
      </x:c>
      <x:c r="V128" s="83" t="n">
        <x:f>IF($B128&lt;&gt;"",Ayarlar!$B$12+($Q128/60*Ayarlar!$B$9),0)</x:f>
        <x:v>0</x:v>
      </x:c>
      <x:c r="W128" s="83" t="n">
        <x:f>IF($B128&lt;&gt;"",SUM($T128:$V128,$R128:$S128),0)</x:f>
        <x:v>0</x:v>
      </x:c>
      <x:c r="X128" s="83" t="n">
        <x:f>IF($B128&lt;&gt;"",$W128*Ayarlar!$B$15,0)</x:f>
        <x:v>0</x:v>
      </x:c>
      <x:c r="Y128" s="83" t="n">
        <x:f>IF($B128&lt;&gt;"",($W128+$X128)*Ayarlar!$B$13,0)</x:f>
        <x:v>0</x:v>
      </x:c>
      <x:c r="Z128" s="83" t="n">
        <x:f>IF($B128&lt;&gt;"",($W128+$X128+$Y128)*Ayarlar!$B$14,0)</x:f>
        <x:v>0</x:v>
      </x:c>
      <x:c r="AA128" s="83" t="str">
        <x:f>IF($B128="","",IF(OR($K128="",$N128=""),"",CEILING($W128+$X128+$Y128+$Z128,Ayarlar!$B$16)))</x:f>
      </x:c>
      <x:c r="AB128" s="83" t="str">
        <x:f>IFERROR($AA128/$H128,"")</x:f>
      </x:c>
      <x:c r="AC128" s="75" t="str">
        <x:f>IF($B128="","",IF(OR($K128="",$N128=""),"Veri Eksik","Fiyat Hazır"))</x:f>
      </x:c>
      <x:c r="AD128" s="75" t="str">
        <x:f>IF($C128&lt;&gt;"","MW-"&amp;$C128,"")</x:f>
        <x:v>MW-80</x:v>
      </x:c>
      <x:c r="AE128" s="75" t="str">
        <x:f>IF($G128&lt;&gt;"","3D Baskı / "&amp;$G128,"3D Baskı")</x:f>
        <x:v>3D Baskı</x:v>
      </x:c>
      <x:c r="AF128" s="75" t="str">
        <x:f>IF($D128&lt;&gt;"",$D128&amp;" - "&amp;$G128,$AD128&amp;" - "&amp;$G128)</x:f>
        <x:v>MW-80 - </x:v>
      </x:c>
      <x:c r="AG128" s="75" t="str"/>
    </x:row>
    <x:row r="129">
      <x:c r="A129" s="75" t="str">
        <x:f>IF($B129&lt;&gt;"",ROW()-4,"")</x:f>
      </x:c>
      <x:c r="B129" s="75" t="str"/>
      <x:c r="C129" s="75" t="n">
        <x:f>IFERROR(LET(x,MID($B129,FIND("/models/",$B129)+8,80),y,LEFT(x,FIND("-",x&amp;"-")-1),LEFT(y,FIND("?",y&amp;"?")-1)),"")</x:f>
        <x:v>80</x:v>
      </x:c>
      <x:c r="D129" s="75" t="str">
        <x:f>IF($B129="","",IFERROR(XLOOKUP($C129,MakerWorld_Verileri!$A:$A,MakerWorld_Verileri!$B:$B,""),""))</x:f>
      </x:c>
      <x:c r="E129" s="75" t="str">
        <x:f>IF($B129="","",IFERROR(XLOOKUP($C129,MakerWorld_Verileri!$A:$A,MakerWorld_Verileri!$C:$C,""),""))</x:f>
      </x:c>
      <x:c r="F129" s="75" t="str"/>
      <x:c r="G129" s="75" t="str">
        <x:f>IF($B129&lt;&gt;"",Ayarlar!$B$7,"")</x:f>
      </x:c>
      <x:c r="H129" s="82" t="str">
        <x:f>IF($B129&lt;&gt;"",1,"")</x:f>
      </x:c>
      <x:c r="I129" s="82" t="str">
        <x:f>IF($B129="","",IFERROR(XLOOKUP($C129,MakerWorld_Verileri!$A:$A,MakerWorld_Verileri!$D:$D,""),""))</x:f>
      </x:c>
      <x:c r="J129" s="82" t="str"/>
      <x:c r="K129" s="82" t="str">
        <x:f>IF($I129&lt;&gt;"",$I129,$J129)</x:f>
      </x:c>
      <x:c r="L129" s="82" t="str">
        <x:f>IF($B129="","",IFERROR(XLOOKUP($C129,MakerWorld_Verileri!$A:$A,MakerWorld_Verileri!$E:$E,""),""))</x:f>
      </x:c>
      <x:c r="M129" s="82" t="str"/>
      <x:c r="N129" s="82" t="str">
        <x:f>IF($L129&lt;&gt;"",$L129,$M129)</x:f>
      </x:c>
      <x:c r="O129" s="82" t="str">
        <x:f>IF($B129&lt;&gt;"",0,"")</x:f>
      </x:c>
      <x:c r="P129" s="75" t="str">
        <x:f>IF($B129&lt;&gt;"","Orta","")</x:f>
      </x:c>
      <x:c r="Q129" s="82" t="str">
        <x:f>IF($B129&lt;&gt;"",10,"")</x:f>
      </x:c>
      <x:c r="R129" s="83" t="str">
        <x:f>IF($B129&lt;&gt;"",Ayarlar!$B$10,"")</x:f>
      </x:c>
      <x:c r="S129" s="83" t="str">
        <x:f>IF($B129&lt;&gt;"",0,"")</x:f>
      </x:c>
      <x:c r="T129" s="83" t="n">
        <x:f>IFERROR(($K129+$O129)*XLOOKUP($G129,Ayarlar!$A$19:$A$28,Ayarlar!$C$19:$C$28,0)*(1+Ayarlar!$B$11),0)</x:f>
        <x:v>0</x:v>
      </x:c>
      <x:c r="U129" s="83" t="n">
        <x:f>IFERROR($N129/60*Ayarlar!$B$8,0)</x:f>
        <x:v>0</x:v>
      </x:c>
      <x:c r="V129" s="83" t="n">
        <x:f>IF($B129&lt;&gt;"",Ayarlar!$B$12+($Q129/60*Ayarlar!$B$9),0)</x:f>
        <x:v>0</x:v>
      </x:c>
      <x:c r="W129" s="83" t="n">
        <x:f>IF($B129&lt;&gt;"",SUM($T129:$V129,$R129:$S129),0)</x:f>
        <x:v>0</x:v>
      </x:c>
      <x:c r="X129" s="83" t="n">
        <x:f>IF($B129&lt;&gt;"",$W129*Ayarlar!$B$15,0)</x:f>
        <x:v>0</x:v>
      </x:c>
      <x:c r="Y129" s="83" t="n">
        <x:f>IF($B129&lt;&gt;"",($W129+$X129)*Ayarlar!$B$13,0)</x:f>
        <x:v>0</x:v>
      </x:c>
      <x:c r="Z129" s="83" t="n">
        <x:f>IF($B129&lt;&gt;"",($W129+$X129+$Y129)*Ayarlar!$B$14,0)</x:f>
        <x:v>0</x:v>
      </x:c>
      <x:c r="AA129" s="83" t="str">
        <x:f>IF($B129="","",IF(OR($K129="",$N129=""),"",CEILING($W129+$X129+$Y129+$Z129,Ayarlar!$B$16)))</x:f>
      </x:c>
      <x:c r="AB129" s="83" t="str">
        <x:f>IFERROR($AA129/$H129,"")</x:f>
      </x:c>
      <x:c r="AC129" s="75" t="str">
        <x:f>IF($B129="","",IF(OR($K129="",$N129=""),"Veri Eksik","Fiyat Hazır"))</x:f>
      </x:c>
      <x:c r="AD129" s="75" t="str">
        <x:f>IF($C129&lt;&gt;"","MW-"&amp;$C129,"")</x:f>
        <x:v>MW-80</x:v>
      </x:c>
      <x:c r="AE129" s="75" t="str">
        <x:f>IF($G129&lt;&gt;"","3D Baskı / "&amp;$G129,"3D Baskı")</x:f>
        <x:v>3D Baskı</x:v>
      </x:c>
      <x:c r="AF129" s="75" t="str">
        <x:f>IF($D129&lt;&gt;"",$D129&amp;" - "&amp;$G129,$AD129&amp;" - "&amp;$G129)</x:f>
        <x:v>MW-80 - </x:v>
      </x:c>
      <x:c r="AG129" s="75" t="str"/>
    </x:row>
    <x:row r="130">
      <x:c r="A130" s="75" t="str">
        <x:f>IF($B130&lt;&gt;"",ROW()-4,"")</x:f>
      </x:c>
      <x:c r="B130" s="75" t="str"/>
      <x:c r="C130" s="75" t="n">
        <x:f>IFERROR(LET(x,MID($B130,FIND("/models/",$B130)+8,80),y,LEFT(x,FIND("-",x&amp;"-")-1),LEFT(y,FIND("?",y&amp;"?")-1)),"")</x:f>
        <x:v>80</x:v>
      </x:c>
      <x:c r="D130" s="75" t="str">
        <x:f>IF($B130="","",IFERROR(XLOOKUP($C130,MakerWorld_Verileri!$A:$A,MakerWorld_Verileri!$B:$B,""),""))</x:f>
      </x:c>
      <x:c r="E130" s="75" t="str">
        <x:f>IF($B130="","",IFERROR(XLOOKUP($C130,MakerWorld_Verileri!$A:$A,MakerWorld_Verileri!$C:$C,""),""))</x:f>
      </x:c>
      <x:c r="F130" s="75" t="str"/>
      <x:c r="G130" s="75" t="str">
        <x:f>IF($B130&lt;&gt;"",Ayarlar!$B$7,"")</x:f>
      </x:c>
      <x:c r="H130" s="82" t="str">
        <x:f>IF($B130&lt;&gt;"",1,"")</x:f>
      </x:c>
      <x:c r="I130" s="82" t="str">
        <x:f>IF($B130="","",IFERROR(XLOOKUP($C130,MakerWorld_Verileri!$A:$A,MakerWorld_Verileri!$D:$D,""),""))</x:f>
      </x:c>
      <x:c r="J130" s="82" t="str"/>
      <x:c r="K130" s="82" t="str">
        <x:f>IF($I130&lt;&gt;"",$I130,$J130)</x:f>
      </x:c>
      <x:c r="L130" s="82" t="str">
        <x:f>IF($B130="","",IFERROR(XLOOKUP($C130,MakerWorld_Verileri!$A:$A,MakerWorld_Verileri!$E:$E,""),""))</x:f>
      </x:c>
      <x:c r="M130" s="82" t="str"/>
      <x:c r="N130" s="82" t="str">
        <x:f>IF($L130&lt;&gt;"",$L130,$M130)</x:f>
      </x:c>
      <x:c r="O130" s="82" t="str">
        <x:f>IF($B130&lt;&gt;"",0,"")</x:f>
      </x:c>
      <x:c r="P130" s="75" t="str">
        <x:f>IF($B130&lt;&gt;"","Orta","")</x:f>
      </x:c>
      <x:c r="Q130" s="82" t="str">
        <x:f>IF($B130&lt;&gt;"",10,"")</x:f>
      </x:c>
      <x:c r="R130" s="83" t="str">
        <x:f>IF($B130&lt;&gt;"",Ayarlar!$B$10,"")</x:f>
      </x:c>
      <x:c r="S130" s="83" t="str">
        <x:f>IF($B130&lt;&gt;"",0,"")</x:f>
      </x:c>
      <x:c r="T130" s="83" t="n">
        <x:f>IFERROR(($K130+$O130)*XLOOKUP($G130,Ayarlar!$A$19:$A$28,Ayarlar!$C$19:$C$28,0)*(1+Ayarlar!$B$11),0)</x:f>
        <x:v>0</x:v>
      </x:c>
      <x:c r="U130" s="83" t="n">
        <x:f>IFERROR($N130/60*Ayarlar!$B$8,0)</x:f>
        <x:v>0</x:v>
      </x:c>
      <x:c r="V130" s="83" t="n">
        <x:f>IF($B130&lt;&gt;"",Ayarlar!$B$12+($Q130/60*Ayarlar!$B$9),0)</x:f>
        <x:v>0</x:v>
      </x:c>
      <x:c r="W130" s="83" t="n">
        <x:f>IF($B130&lt;&gt;"",SUM($T130:$V130,$R130:$S130),0)</x:f>
        <x:v>0</x:v>
      </x:c>
      <x:c r="X130" s="83" t="n">
        <x:f>IF($B130&lt;&gt;"",$W130*Ayarlar!$B$15,0)</x:f>
        <x:v>0</x:v>
      </x:c>
      <x:c r="Y130" s="83" t="n">
        <x:f>IF($B130&lt;&gt;"",($W130+$X130)*Ayarlar!$B$13,0)</x:f>
        <x:v>0</x:v>
      </x:c>
      <x:c r="Z130" s="83" t="n">
        <x:f>IF($B130&lt;&gt;"",($W130+$X130+$Y130)*Ayarlar!$B$14,0)</x:f>
        <x:v>0</x:v>
      </x:c>
      <x:c r="AA130" s="83" t="str">
        <x:f>IF($B130="","",IF(OR($K130="",$N130=""),"",CEILING($W130+$X130+$Y130+$Z130,Ayarlar!$B$16)))</x:f>
      </x:c>
      <x:c r="AB130" s="83" t="str">
        <x:f>IFERROR($AA130/$H130,"")</x:f>
      </x:c>
      <x:c r="AC130" s="75" t="str">
        <x:f>IF($B130="","",IF(OR($K130="",$N130=""),"Veri Eksik","Fiyat Hazır"))</x:f>
      </x:c>
      <x:c r="AD130" s="75" t="str">
        <x:f>IF($C130&lt;&gt;"","MW-"&amp;$C130,"")</x:f>
        <x:v>MW-80</x:v>
      </x:c>
      <x:c r="AE130" s="75" t="str">
        <x:f>IF($G130&lt;&gt;"","3D Baskı / "&amp;$G130,"3D Baskı")</x:f>
        <x:v>3D Baskı</x:v>
      </x:c>
      <x:c r="AF130" s="75" t="str">
        <x:f>IF($D130&lt;&gt;"",$D130&amp;" - "&amp;$G130,$AD130&amp;" - "&amp;$G130)</x:f>
        <x:v>MW-80 - </x:v>
      </x:c>
      <x:c r="AG130" s="75" t="str"/>
    </x:row>
    <x:row r="131">
      <x:c r="A131" s="75" t="str">
        <x:f>IF($B131&lt;&gt;"",ROW()-4,"")</x:f>
      </x:c>
      <x:c r="B131" s="75" t="str"/>
      <x:c r="C131" s="75" t="n">
        <x:f>IFERROR(LET(x,MID($B131,FIND("/models/",$B131)+8,80),y,LEFT(x,FIND("-",x&amp;"-")-1),LEFT(y,FIND("?",y&amp;"?")-1)),"")</x:f>
        <x:v>80</x:v>
      </x:c>
      <x:c r="D131" s="75" t="str">
        <x:f>IF($B131="","",IFERROR(XLOOKUP($C131,MakerWorld_Verileri!$A:$A,MakerWorld_Verileri!$B:$B,""),""))</x:f>
      </x:c>
      <x:c r="E131" s="75" t="str">
        <x:f>IF($B131="","",IFERROR(XLOOKUP($C131,MakerWorld_Verileri!$A:$A,MakerWorld_Verileri!$C:$C,""),""))</x:f>
      </x:c>
      <x:c r="F131" s="75" t="str"/>
      <x:c r="G131" s="75" t="str">
        <x:f>IF($B131&lt;&gt;"",Ayarlar!$B$7,"")</x:f>
      </x:c>
      <x:c r="H131" s="82" t="str">
        <x:f>IF($B131&lt;&gt;"",1,"")</x:f>
      </x:c>
      <x:c r="I131" s="82" t="str">
        <x:f>IF($B131="","",IFERROR(XLOOKUP($C131,MakerWorld_Verileri!$A:$A,MakerWorld_Verileri!$D:$D,""),""))</x:f>
      </x:c>
      <x:c r="J131" s="82" t="str"/>
      <x:c r="K131" s="82" t="str">
        <x:f>IF($I131&lt;&gt;"",$I131,$J131)</x:f>
      </x:c>
      <x:c r="L131" s="82" t="str">
        <x:f>IF($B131="","",IFERROR(XLOOKUP($C131,MakerWorld_Verileri!$A:$A,MakerWorld_Verileri!$E:$E,""),""))</x:f>
      </x:c>
      <x:c r="M131" s="82" t="str"/>
      <x:c r="N131" s="82" t="str">
        <x:f>IF($L131&lt;&gt;"",$L131,$M131)</x:f>
      </x:c>
      <x:c r="O131" s="82" t="str">
        <x:f>IF($B131&lt;&gt;"",0,"")</x:f>
      </x:c>
      <x:c r="P131" s="75" t="str">
        <x:f>IF($B131&lt;&gt;"","Orta","")</x:f>
      </x:c>
      <x:c r="Q131" s="82" t="str">
        <x:f>IF($B131&lt;&gt;"",10,"")</x:f>
      </x:c>
      <x:c r="R131" s="83" t="str">
        <x:f>IF($B131&lt;&gt;"",Ayarlar!$B$10,"")</x:f>
      </x:c>
      <x:c r="S131" s="83" t="str">
        <x:f>IF($B131&lt;&gt;"",0,"")</x:f>
      </x:c>
      <x:c r="T131" s="83" t="n">
        <x:f>IFERROR(($K131+$O131)*XLOOKUP($G131,Ayarlar!$A$19:$A$28,Ayarlar!$C$19:$C$28,0)*(1+Ayarlar!$B$11),0)</x:f>
        <x:v>0</x:v>
      </x:c>
      <x:c r="U131" s="83" t="n">
        <x:f>IFERROR($N131/60*Ayarlar!$B$8,0)</x:f>
        <x:v>0</x:v>
      </x:c>
      <x:c r="V131" s="83" t="n">
        <x:f>IF($B131&lt;&gt;"",Ayarlar!$B$12+($Q131/60*Ayarlar!$B$9),0)</x:f>
        <x:v>0</x:v>
      </x:c>
      <x:c r="W131" s="83" t="n">
        <x:f>IF($B131&lt;&gt;"",SUM($T131:$V131,$R131:$S131),0)</x:f>
        <x:v>0</x:v>
      </x:c>
      <x:c r="X131" s="83" t="n">
        <x:f>IF($B131&lt;&gt;"",$W131*Ayarlar!$B$15,0)</x:f>
        <x:v>0</x:v>
      </x:c>
      <x:c r="Y131" s="83" t="n">
        <x:f>IF($B131&lt;&gt;"",($W131+$X131)*Ayarlar!$B$13,0)</x:f>
        <x:v>0</x:v>
      </x:c>
      <x:c r="Z131" s="83" t="n">
        <x:f>IF($B131&lt;&gt;"",($W131+$X131+$Y131)*Ayarlar!$B$14,0)</x:f>
        <x:v>0</x:v>
      </x:c>
      <x:c r="AA131" s="83" t="str">
        <x:f>IF($B131="","",IF(OR($K131="",$N131=""),"",CEILING($W131+$X131+$Y131+$Z131,Ayarlar!$B$16)))</x:f>
      </x:c>
      <x:c r="AB131" s="83" t="str">
        <x:f>IFERROR($AA131/$H131,"")</x:f>
      </x:c>
      <x:c r="AC131" s="75" t="str">
        <x:f>IF($B131="","",IF(OR($K131="",$N131=""),"Veri Eksik","Fiyat Hazır"))</x:f>
      </x:c>
      <x:c r="AD131" s="75" t="str">
        <x:f>IF($C131&lt;&gt;"","MW-"&amp;$C131,"")</x:f>
        <x:v>MW-80</x:v>
      </x:c>
      <x:c r="AE131" s="75" t="str">
        <x:f>IF($G131&lt;&gt;"","3D Baskı / "&amp;$G131,"3D Baskı")</x:f>
        <x:v>3D Baskı</x:v>
      </x:c>
      <x:c r="AF131" s="75" t="str">
        <x:f>IF($D131&lt;&gt;"",$D131&amp;" - "&amp;$G131,$AD131&amp;" - "&amp;$G131)</x:f>
        <x:v>MW-80 - </x:v>
      </x:c>
      <x:c r="AG131" s="75" t="str"/>
    </x:row>
    <x:row r="132">
      <x:c r="A132" s="75" t="str">
        <x:f>IF($B132&lt;&gt;"",ROW()-4,"")</x:f>
      </x:c>
      <x:c r="B132" s="75" t="str"/>
      <x:c r="C132" s="75" t="n">
        <x:f>IFERROR(LET(x,MID($B132,FIND("/models/",$B132)+8,80),y,LEFT(x,FIND("-",x&amp;"-")-1),LEFT(y,FIND("?",y&amp;"?")-1)),"")</x:f>
        <x:v>80</x:v>
      </x:c>
      <x:c r="D132" s="75" t="str">
        <x:f>IF($B132="","",IFERROR(XLOOKUP($C132,MakerWorld_Verileri!$A:$A,MakerWorld_Verileri!$B:$B,""),""))</x:f>
      </x:c>
      <x:c r="E132" s="75" t="str">
        <x:f>IF($B132="","",IFERROR(XLOOKUP($C132,MakerWorld_Verileri!$A:$A,MakerWorld_Verileri!$C:$C,""),""))</x:f>
      </x:c>
      <x:c r="F132" s="75" t="str"/>
      <x:c r="G132" s="75" t="str">
        <x:f>IF($B132&lt;&gt;"",Ayarlar!$B$7,"")</x:f>
      </x:c>
      <x:c r="H132" s="82" t="str">
        <x:f>IF($B132&lt;&gt;"",1,"")</x:f>
      </x:c>
      <x:c r="I132" s="82" t="str">
        <x:f>IF($B132="","",IFERROR(XLOOKUP($C132,MakerWorld_Verileri!$A:$A,MakerWorld_Verileri!$D:$D,""),""))</x:f>
      </x:c>
      <x:c r="J132" s="82" t="str"/>
      <x:c r="K132" s="82" t="str">
        <x:f>IF($I132&lt;&gt;"",$I132,$J132)</x:f>
      </x:c>
      <x:c r="L132" s="82" t="str">
        <x:f>IF($B132="","",IFERROR(XLOOKUP($C132,MakerWorld_Verileri!$A:$A,MakerWorld_Verileri!$E:$E,""),""))</x:f>
      </x:c>
      <x:c r="M132" s="82" t="str"/>
      <x:c r="N132" s="82" t="str">
        <x:f>IF($L132&lt;&gt;"",$L132,$M132)</x:f>
      </x:c>
      <x:c r="O132" s="82" t="str">
        <x:f>IF($B132&lt;&gt;"",0,"")</x:f>
      </x:c>
      <x:c r="P132" s="75" t="str">
        <x:f>IF($B132&lt;&gt;"","Orta","")</x:f>
      </x:c>
      <x:c r="Q132" s="82" t="str">
        <x:f>IF($B132&lt;&gt;"",10,"")</x:f>
      </x:c>
      <x:c r="R132" s="83" t="str">
        <x:f>IF($B132&lt;&gt;"",Ayarlar!$B$10,"")</x:f>
      </x:c>
      <x:c r="S132" s="83" t="str">
        <x:f>IF($B132&lt;&gt;"",0,"")</x:f>
      </x:c>
      <x:c r="T132" s="83" t="n">
        <x:f>IFERROR(($K132+$O132)*XLOOKUP($G132,Ayarlar!$A$19:$A$28,Ayarlar!$C$19:$C$28,0)*(1+Ayarlar!$B$11),0)</x:f>
        <x:v>0</x:v>
      </x:c>
      <x:c r="U132" s="83" t="n">
        <x:f>IFERROR($N132/60*Ayarlar!$B$8,0)</x:f>
        <x:v>0</x:v>
      </x:c>
      <x:c r="V132" s="83" t="n">
        <x:f>IF($B132&lt;&gt;"",Ayarlar!$B$12+($Q132/60*Ayarlar!$B$9),0)</x:f>
        <x:v>0</x:v>
      </x:c>
      <x:c r="W132" s="83" t="n">
        <x:f>IF($B132&lt;&gt;"",SUM($T132:$V132,$R132:$S132),0)</x:f>
        <x:v>0</x:v>
      </x:c>
      <x:c r="X132" s="83" t="n">
        <x:f>IF($B132&lt;&gt;"",$W132*Ayarlar!$B$15,0)</x:f>
        <x:v>0</x:v>
      </x:c>
      <x:c r="Y132" s="83" t="n">
        <x:f>IF($B132&lt;&gt;"",($W132+$X132)*Ayarlar!$B$13,0)</x:f>
        <x:v>0</x:v>
      </x:c>
      <x:c r="Z132" s="83" t="n">
        <x:f>IF($B132&lt;&gt;"",($W132+$X132+$Y132)*Ayarlar!$B$14,0)</x:f>
        <x:v>0</x:v>
      </x:c>
      <x:c r="AA132" s="83" t="str">
        <x:f>IF($B132="","",IF(OR($K132="",$N132=""),"",CEILING($W132+$X132+$Y132+$Z132,Ayarlar!$B$16)))</x:f>
      </x:c>
      <x:c r="AB132" s="83" t="str">
        <x:f>IFERROR($AA132/$H132,"")</x:f>
      </x:c>
      <x:c r="AC132" s="75" t="str">
        <x:f>IF($B132="","",IF(OR($K132="",$N132=""),"Veri Eksik","Fiyat Hazır"))</x:f>
      </x:c>
      <x:c r="AD132" s="75" t="str">
        <x:f>IF($C132&lt;&gt;"","MW-"&amp;$C132,"")</x:f>
        <x:v>MW-80</x:v>
      </x:c>
      <x:c r="AE132" s="75" t="str">
        <x:f>IF($G132&lt;&gt;"","3D Baskı / "&amp;$G132,"3D Baskı")</x:f>
        <x:v>3D Baskı</x:v>
      </x:c>
      <x:c r="AF132" s="75" t="str">
        <x:f>IF($D132&lt;&gt;"",$D132&amp;" - "&amp;$G132,$AD132&amp;" - "&amp;$G132)</x:f>
        <x:v>MW-80 - </x:v>
      </x:c>
      <x:c r="AG132" s="75" t="str"/>
    </x:row>
    <x:row r="133">
      <x:c r="A133" s="75" t="str">
        <x:f>IF($B133&lt;&gt;"",ROW()-4,"")</x:f>
      </x:c>
      <x:c r="B133" s="75" t="str"/>
      <x:c r="C133" s="75" t="n">
        <x:f>IFERROR(LET(x,MID($B133,FIND("/models/",$B133)+8,80),y,LEFT(x,FIND("-",x&amp;"-")-1),LEFT(y,FIND("?",y&amp;"?")-1)),"")</x:f>
        <x:v>80</x:v>
      </x:c>
      <x:c r="D133" s="75" t="str">
        <x:f>IF($B133="","",IFERROR(XLOOKUP($C133,MakerWorld_Verileri!$A:$A,MakerWorld_Verileri!$B:$B,""),""))</x:f>
      </x:c>
      <x:c r="E133" s="75" t="str">
        <x:f>IF($B133="","",IFERROR(XLOOKUP($C133,MakerWorld_Verileri!$A:$A,MakerWorld_Verileri!$C:$C,""),""))</x:f>
      </x:c>
      <x:c r="F133" s="75" t="str"/>
      <x:c r="G133" s="75" t="str">
        <x:f>IF($B133&lt;&gt;"",Ayarlar!$B$7,"")</x:f>
      </x:c>
      <x:c r="H133" s="82" t="str">
        <x:f>IF($B133&lt;&gt;"",1,"")</x:f>
      </x:c>
      <x:c r="I133" s="82" t="str">
        <x:f>IF($B133="","",IFERROR(XLOOKUP($C133,MakerWorld_Verileri!$A:$A,MakerWorld_Verileri!$D:$D,""),""))</x:f>
      </x:c>
      <x:c r="J133" s="82" t="str"/>
      <x:c r="K133" s="82" t="str">
        <x:f>IF($I133&lt;&gt;"",$I133,$J133)</x:f>
      </x:c>
      <x:c r="L133" s="82" t="str">
        <x:f>IF($B133="","",IFERROR(XLOOKUP($C133,MakerWorld_Verileri!$A:$A,MakerWorld_Verileri!$E:$E,""),""))</x:f>
      </x:c>
      <x:c r="M133" s="82" t="str"/>
      <x:c r="N133" s="82" t="str">
        <x:f>IF($L133&lt;&gt;"",$L133,$M133)</x:f>
      </x:c>
      <x:c r="O133" s="82" t="str">
        <x:f>IF($B133&lt;&gt;"",0,"")</x:f>
      </x:c>
      <x:c r="P133" s="75" t="str">
        <x:f>IF($B133&lt;&gt;"","Orta","")</x:f>
      </x:c>
      <x:c r="Q133" s="82" t="str">
        <x:f>IF($B133&lt;&gt;"",10,"")</x:f>
      </x:c>
      <x:c r="R133" s="83" t="str">
        <x:f>IF($B133&lt;&gt;"",Ayarlar!$B$10,"")</x:f>
      </x:c>
      <x:c r="S133" s="83" t="str">
        <x:f>IF($B133&lt;&gt;"",0,"")</x:f>
      </x:c>
      <x:c r="T133" s="83" t="n">
        <x:f>IFERROR(($K133+$O133)*XLOOKUP($G133,Ayarlar!$A$19:$A$28,Ayarlar!$C$19:$C$28,0)*(1+Ayarlar!$B$11),0)</x:f>
        <x:v>0</x:v>
      </x:c>
      <x:c r="U133" s="83" t="n">
        <x:f>IFERROR($N133/60*Ayarlar!$B$8,0)</x:f>
        <x:v>0</x:v>
      </x:c>
      <x:c r="V133" s="83" t="n">
        <x:f>IF($B133&lt;&gt;"",Ayarlar!$B$12+($Q133/60*Ayarlar!$B$9),0)</x:f>
        <x:v>0</x:v>
      </x:c>
      <x:c r="W133" s="83" t="n">
        <x:f>IF($B133&lt;&gt;"",SUM($T133:$V133,$R133:$S133),0)</x:f>
        <x:v>0</x:v>
      </x:c>
      <x:c r="X133" s="83" t="n">
        <x:f>IF($B133&lt;&gt;"",$W133*Ayarlar!$B$15,0)</x:f>
        <x:v>0</x:v>
      </x:c>
      <x:c r="Y133" s="83" t="n">
        <x:f>IF($B133&lt;&gt;"",($W133+$X133)*Ayarlar!$B$13,0)</x:f>
        <x:v>0</x:v>
      </x:c>
      <x:c r="Z133" s="83" t="n">
        <x:f>IF($B133&lt;&gt;"",($W133+$X133+$Y133)*Ayarlar!$B$14,0)</x:f>
        <x:v>0</x:v>
      </x:c>
      <x:c r="AA133" s="83" t="str">
        <x:f>IF($B133="","",IF(OR($K133="",$N133=""),"",CEILING($W133+$X133+$Y133+$Z133,Ayarlar!$B$16)))</x:f>
      </x:c>
      <x:c r="AB133" s="83" t="str">
        <x:f>IFERROR($AA133/$H133,"")</x:f>
      </x:c>
      <x:c r="AC133" s="75" t="str">
        <x:f>IF($B133="","",IF(OR($K133="",$N133=""),"Veri Eksik","Fiyat Hazır"))</x:f>
      </x:c>
      <x:c r="AD133" s="75" t="str">
        <x:f>IF($C133&lt;&gt;"","MW-"&amp;$C133,"")</x:f>
        <x:v>MW-80</x:v>
      </x:c>
      <x:c r="AE133" s="75" t="str">
        <x:f>IF($G133&lt;&gt;"","3D Baskı / "&amp;$G133,"3D Baskı")</x:f>
        <x:v>3D Baskı</x:v>
      </x:c>
      <x:c r="AF133" s="75" t="str">
        <x:f>IF($D133&lt;&gt;"",$D133&amp;" - "&amp;$G133,$AD133&amp;" - "&amp;$G133)</x:f>
        <x:v>MW-80 - </x:v>
      </x:c>
      <x:c r="AG133" s="75" t="str"/>
    </x:row>
    <x:row r="134">
      <x:c r="A134" s="75" t="str">
        <x:f>IF($B134&lt;&gt;"",ROW()-4,"")</x:f>
      </x:c>
      <x:c r="B134" s="75" t="str"/>
      <x:c r="C134" s="75" t="n">
        <x:f>IFERROR(LET(x,MID($B134,FIND("/models/",$B134)+8,80),y,LEFT(x,FIND("-",x&amp;"-")-1),LEFT(y,FIND("?",y&amp;"?")-1)),"")</x:f>
        <x:v>80</x:v>
      </x:c>
      <x:c r="D134" s="75" t="str">
        <x:f>IF($B134="","",IFERROR(XLOOKUP($C134,MakerWorld_Verileri!$A:$A,MakerWorld_Verileri!$B:$B,""),""))</x:f>
      </x:c>
      <x:c r="E134" s="75" t="str">
        <x:f>IF($B134="","",IFERROR(XLOOKUP($C134,MakerWorld_Verileri!$A:$A,MakerWorld_Verileri!$C:$C,""),""))</x:f>
      </x:c>
      <x:c r="F134" s="75" t="str"/>
      <x:c r="G134" s="75" t="str">
        <x:f>IF($B134&lt;&gt;"",Ayarlar!$B$7,"")</x:f>
      </x:c>
      <x:c r="H134" s="82" t="str">
        <x:f>IF($B134&lt;&gt;"",1,"")</x:f>
      </x:c>
      <x:c r="I134" s="82" t="str">
        <x:f>IF($B134="","",IFERROR(XLOOKUP($C134,MakerWorld_Verileri!$A:$A,MakerWorld_Verileri!$D:$D,""),""))</x:f>
      </x:c>
      <x:c r="J134" s="82" t="str"/>
      <x:c r="K134" s="82" t="str">
        <x:f>IF($I134&lt;&gt;"",$I134,$J134)</x:f>
      </x:c>
      <x:c r="L134" s="82" t="str">
        <x:f>IF($B134="","",IFERROR(XLOOKUP($C134,MakerWorld_Verileri!$A:$A,MakerWorld_Verileri!$E:$E,""),""))</x:f>
      </x:c>
      <x:c r="M134" s="82" t="str"/>
      <x:c r="N134" s="82" t="str">
        <x:f>IF($L134&lt;&gt;"",$L134,$M134)</x:f>
      </x:c>
      <x:c r="O134" s="82" t="str">
        <x:f>IF($B134&lt;&gt;"",0,"")</x:f>
      </x:c>
      <x:c r="P134" s="75" t="str">
        <x:f>IF($B134&lt;&gt;"","Orta","")</x:f>
      </x:c>
      <x:c r="Q134" s="82" t="str">
        <x:f>IF($B134&lt;&gt;"",10,"")</x:f>
      </x:c>
      <x:c r="R134" s="83" t="str">
        <x:f>IF($B134&lt;&gt;"",Ayarlar!$B$10,"")</x:f>
      </x:c>
      <x:c r="S134" s="83" t="str">
        <x:f>IF($B134&lt;&gt;"",0,"")</x:f>
      </x:c>
      <x:c r="T134" s="83" t="n">
        <x:f>IFERROR(($K134+$O134)*XLOOKUP($G134,Ayarlar!$A$19:$A$28,Ayarlar!$C$19:$C$28,0)*(1+Ayarlar!$B$11),0)</x:f>
        <x:v>0</x:v>
      </x:c>
      <x:c r="U134" s="83" t="n">
        <x:f>IFERROR($N134/60*Ayarlar!$B$8,0)</x:f>
        <x:v>0</x:v>
      </x:c>
      <x:c r="V134" s="83" t="n">
        <x:f>IF($B134&lt;&gt;"",Ayarlar!$B$12+($Q134/60*Ayarlar!$B$9),0)</x:f>
        <x:v>0</x:v>
      </x:c>
      <x:c r="W134" s="83" t="n">
        <x:f>IF($B134&lt;&gt;"",SUM($T134:$V134,$R134:$S134),0)</x:f>
        <x:v>0</x:v>
      </x:c>
      <x:c r="X134" s="83" t="n">
        <x:f>IF($B134&lt;&gt;"",$W134*Ayarlar!$B$15,0)</x:f>
        <x:v>0</x:v>
      </x:c>
      <x:c r="Y134" s="83" t="n">
        <x:f>IF($B134&lt;&gt;"",($W134+$X134)*Ayarlar!$B$13,0)</x:f>
        <x:v>0</x:v>
      </x:c>
      <x:c r="Z134" s="83" t="n">
        <x:f>IF($B134&lt;&gt;"",($W134+$X134+$Y134)*Ayarlar!$B$14,0)</x:f>
        <x:v>0</x:v>
      </x:c>
      <x:c r="AA134" s="83" t="str">
        <x:f>IF($B134="","",IF(OR($K134="",$N134=""),"",CEILING($W134+$X134+$Y134+$Z134,Ayarlar!$B$16)))</x:f>
      </x:c>
      <x:c r="AB134" s="83" t="str">
        <x:f>IFERROR($AA134/$H134,"")</x:f>
      </x:c>
      <x:c r="AC134" s="75" t="str">
        <x:f>IF($B134="","",IF(OR($K134="",$N134=""),"Veri Eksik","Fiyat Hazır"))</x:f>
      </x:c>
      <x:c r="AD134" s="75" t="str">
        <x:f>IF($C134&lt;&gt;"","MW-"&amp;$C134,"")</x:f>
        <x:v>MW-80</x:v>
      </x:c>
      <x:c r="AE134" s="75" t="str">
        <x:f>IF($G134&lt;&gt;"","3D Baskı / "&amp;$G134,"3D Baskı")</x:f>
        <x:v>3D Baskı</x:v>
      </x:c>
      <x:c r="AF134" s="75" t="str">
        <x:f>IF($D134&lt;&gt;"",$D134&amp;" - "&amp;$G134,$AD134&amp;" - "&amp;$G134)</x:f>
        <x:v>MW-80 - </x:v>
      </x:c>
      <x:c r="AG134" s="75" t="str"/>
    </x:row>
    <x:row r="135">
      <x:c r="A135" s="75" t="str">
        <x:f>IF($B135&lt;&gt;"",ROW()-4,"")</x:f>
      </x:c>
      <x:c r="B135" s="75" t="str"/>
      <x:c r="C135" s="75" t="n">
        <x:f>IFERROR(LET(x,MID($B135,FIND("/models/",$B135)+8,80),y,LEFT(x,FIND("-",x&amp;"-")-1),LEFT(y,FIND("?",y&amp;"?")-1)),"")</x:f>
        <x:v>80</x:v>
      </x:c>
      <x:c r="D135" s="75" t="str">
        <x:f>IF($B135="","",IFERROR(XLOOKUP($C135,MakerWorld_Verileri!$A:$A,MakerWorld_Verileri!$B:$B,""),""))</x:f>
      </x:c>
      <x:c r="E135" s="75" t="str">
        <x:f>IF($B135="","",IFERROR(XLOOKUP($C135,MakerWorld_Verileri!$A:$A,MakerWorld_Verileri!$C:$C,""),""))</x:f>
      </x:c>
      <x:c r="F135" s="75" t="str"/>
      <x:c r="G135" s="75" t="str">
        <x:f>IF($B135&lt;&gt;"",Ayarlar!$B$7,"")</x:f>
      </x:c>
      <x:c r="H135" s="82" t="str">
        <x:f>IF($B135&lt;&gt;"",1,"")</x:f>
      </x:c>
      <x:c r="I135" s="82" t="str">
        <x:f>IF($B135="","",IFERROR(XLOOKUP($C135,MakerWorld_Verileri!$A:$A,MakerWorld_Verileri!$D:$D,""),""))</x:f>
      </x:c>
      <x:c r="J135" s="82" t="str"/>
      <x:c r="K135" s="82" t="str">
        <x:f>IF($I135&lt;&gt;"",$I135,$J135)</x:f>
      </x:c>
      <x:c r="L135" s="82" t="str">
        <x:f>IF($B135="","",IFERROR(XLOOKUP($C135,MakerWorld_Verileri!$A:$A,MakerWorld_Verileri!$E:$E,""),""))</x:f>
      </x:c>
      <x:c r="M135" s="82" t="str"/>
      <x:c r="N135" s="82" t="str">
        <x:f>IF($L135&lt;&gt;"",$L135,$M135)</x:f>
      </x:c>
      <x:c r="O135" s="82" t="str">
        <x:f>IF($B135&lt;&gt;"",0,"")</x:f>
      </x:c>
      <x:c r="P135" s="75" t="str">
        <x:f>IF($B135&lt;&gt;"","Orta","")</x:f>
      </x:c>
      <x:c r="Q135" s="82" t="str">
        <x:f>IF($B135&lt;&gt;"",10,"")</x:f>
      </x:c>
      <x:c r="R135" s="83" t="str">
        <x:f>IF($B135&lt;&gt;"",Ayarlar!$B$10,"")</x:f>
      </x:c>
      <x:c r="S135" s="83" t="str">
        <x:f>IF($B135&lt;&gt;"",0,"")</x:f>
      </x:c>
      <x:c r="T135" s="83" t="n">
        <x:f>IFERROR(($K135+$O135)*XLOOKUP($G135,Ayarlar!$A$19:$A$28,Ayarlar!$C$19:$C$28,0)*(1+Ayarlar!$B$11),0)</x:f>
        <x:v>0</x:v>
      </x:c>
      <x:c r="U135" s="83" t="n">
        <x:f>IFERROR($N135/60*Ayarlar!$B$8,0)</x:f>
        <x:v>0</x:v>
      </x:c>
      <x:c r="V135" s="83" t="n">
        <x:f>IF($B135&lt;&gt;"",Ayarlar!$B$12+($Q135/60*Ayarlar!$B$9),0)</x:f>
        <x:v>0</x:v>
      </x:c>
      <x:c r="W135" s="83" t="n">
        <x:f>IF($B135&lt;&gt;"",SUM($T135:$V135,$R135:$S135),0)</x:f>
        <x:v>0</x:v>
      </x:c>
      <x:c r="X135" s="83" t="n">
        <x:f>IF($B135&lt;&gt;"",$W135*Ayarlar!$B$15,0)</x:f>
        <x:v>0</x:v>
      </x:c>
      <x:c r="Y135" s="83" t="n">
        <x:f>IF($B135&lt;&gt;"",($W135+$X135)*Ayarlar!$B$13,0)</x:f>
        <x:v>0</x:v>
      </x:c>
      <x:c r="Z135" s="83" t="n">
        <x:f>IF($B135&lt;&gt;"",($W135+$X135+$Y135)*Ayarlar!$B$14,0)</x:f>
        <x:v>0</x:v>
      </x:c>
      <x:c r="AA135" s="83" t="str">
        <x:f>IF($B135="","",IF(OR($K135="",$N135=""),"",CEILING($W135+$X135+$Y135+$Z135,Ayarlar!$B$16)))</x:f>
      </x:c>
      <x:c r="AB135" s="83" t="str">
        <x:f>IFERROR($AA135/$H135,"")</x:f>
      </x:c>
      <x:c r="AC135" s="75" t="str">
        <x:f>IF($B135="","",IF(OR($K135="",$N135=""),"Veri Eksik","Fiyat Hazır"))</x:f>
      </x:c>
      <x:c r="AD135" s="75" t="str">
        <x:f>IF($C135&lt;&gt;"","MW-"&amp;$C135,"")</x:f>
        <x:v>MW-80</x:v>
      </x:c>
      <x:c r="AE135" s="75" t="str">
        <x:f>IF($G135&lt;&gt;"","3D Baskı / "&amp;$G135,"3D Baskı")</x:f>
        <x:v>3D Baskı</x:v>
      </x:c>
      <x:c r="AF135" s="75" t="str">
        <x:f>IF($D135&lt;&gt;"",$D135&amp;" - "&amp;$G135,$AD135&amp;" - "&amp;$G135)</x:f>
        <x:v>MW-80 - </x:v>
      </x:c>
      <x:c r="AG135" s="75" t="str"/>
    </x:row>
    <x:row r="136">
      <x:c r="A136" s="75" t="str">
        <x:f>IF($B136&lt;&gt;"",ROW()-4,"")</x:f>
      </x:c>
      <x:c r="B136" s="75" t="str"/>
      <x:c r="C136" s="75" t="n">
        <x:f>IFERROR(LET(x,MID($B136,FIND("/models/",$B136)+8,80),y,LEFT(x,FIND("-",x&amp;"-")-1),LEFT(y,FIND("?",y&amp;"?")-1)),"")</x:f>
        <x:v>80</x:v>
      </x:c>
      <x:c r="D136" s="75" t="str">
        <x:f>IF($B136="","",IFERROR(XLOOKUP($C136,MakerWorld_Verileri!$A:$A,MakerWorld_Verileri!$B:$B,""),""))</x:f>
      </x:c>
      <x:c r="E136" s="75" t="str">
        <x:f>IF($B136="","",IFERROR(XLOOKUP($C136,MakerWorld_Verileri!$A:$A,MakerWorld_Verileri!$C:$C,""),""))</x:f>
      </x:c>
      <x:c r="F136" s="75" t="str"/>
      <x:c r="G136" s="75" t="str">
        <x:f>IF($B136&lt;&gt;"",Ayarlar!$B$7,"")</x:f>
      </x:c>
      <x:c r="H136" s="82" t="str">
        <x:f>IF($B136&lt;&gt;"",1,"")</x:f>
      </x:c>
      <x:c r="I136" s="82" t="str">
        <x:f>IF($B136="","",IFERROR(XLOOKUP($C136,MakerWorld_Verileri!$A:$A,MakerWorld_Verileri!$D:$D,""),""))</x:f>
      </x:c>
      <x:c r="J136" s="82" t="str"/>
      <x:c r="K136" s="82" t="str">
        <x:f>IF($I136&lt;&gt;"",$I136,$J136)</x:f>
      </x:c>
      <x:c r="L136" s="82" t="str">
        <x:f>IF($B136="","",IFERROR(XLOOKUP($C136,MakerWorld_Verileri!$A:$A,MakerWorld_Verileri!$E:$E,""),""))</x:f>
      </x:c>
      <x:c r="M136" s="82" t="str"/>
      <x:c r="N136" s="82" t="str">
        <x:f>IF($L136&lt;&gt;"",$L136,$M136)</x:f>
      </x:c>
      <x:c r="O136" s="82" t="str">
        <x:f>IF($B136&lt;&gt;"",0,"")</x:f>
      </x:c>
      <x:c r="P136" s="75" t="str">
        <x:f>IF($B136&lt;&gt;"","Orta","")</x:f>
      </x:c>
      <x:c r="Q136" s="82" t="str">
        <x:f>IF($B136&lt;&gt;"",10,"")</x:f>
      </x:c>
      <x:c r="R136" s="83" t="str">
        <x:f>IF($B136&lt;&gt;"",Ayarlar!$B$10,"")</x:f>
      </x:c>
      <x:c r="S136" s="83" t="str">
        <x:f>IF($B136&lt;&gt;"",0,"")</x:f>
      </x:c>
      <x:c r="T136" s="83" t="n">
        <x:f>IFERROR(($K136+$O136)*XLOOKUP($G136,Ayarlar!$A$19:$A$28,Ayarlar!$C$19:$C$28,0)*(1+Ayarlar!$B$11),0)</x:f>
        <x:v>0</x:v>
      </x:c>
      <x:c r="U136" s="83" t="n">
        <x:f>IFERROR($N136/60*Ayarlar!$B$8,0)</x:f>
        <x:v>0</x:v>
      </x:c>
      <x:c r="V136" s="83" t="n">
        <x:f>IF($B136&lt;&gt;"",Ayarlar!$B$12+($Q136/60*Ayarlar!$B$9),0)</x:f>
        <x:v>0</x:v>
      </x:c>
      <x:c r="W136" s="83" t="n">
        <x:f>IF($B136&lt;&gt;"",SUM($T136:$V136,$R136:$S136),0)</x:f>
        <x:v>0</x:v>
      </x:c>
      <x:c r="X136" s="83" t="n">
        <x:f>IF($B136&lt;&gt;"",$W136*Ayarlar!$B$15,0)</x:f>
        <x:v>0</x:v>
      </x:c>
      <x:c r="Y136" s="83" t="n">
        <x:f>IF($B136&lt;&gt;"",($W136+$X136)*Ayarlar!$B$13,0)</x:f>
        <x:v>0</x:v>
      </x:c>
      <x:c r="Z136" s="83" t="n">
        <x:f>IF($B136&lt;&gt;"",($W136+$X136+$Y136)*Ayarlar!$B$14,0)</x:f>
        <x:v>0</x:v>
      </x:c>
      <x:c r="AA136" s="83" t="str">
        <x:f>IF($B136="","",IF(OR($K136="",$N136=""),"",CEILING($W136+$X136+$Y136+$Z136,Ayarlar!$B$16)))</x:f>
      </x:c>
      <x:c r="AB136" s="83" t="str">
        <x:f>IFERROR($AA136/$H136,"")</x:f>
      </x:c>
      <x:c r="AC136" s="75" t="str">
        <x:f>IF($B136="","",IF(OR($K136="",$N136=""),"Veri Eksik","Fiyat Hazır"))</x:f>
      </x:c>
      <x:c r="AD136" s="75" t="str">
        <x:f>IF($C136&lt;&gt;"","MW-"&amp;$C136,"")</x:f>
        <x:v>MW-80</x:v>
      </x:c>
      <x:c r="AE136" s="75" t="str">
        <x:f>IF($G136&lt;&gt;"","3D Baskı / "&amp;$G136,"3D Baskı")</x:f>
        <x:v>3D Baskı</x:v>
      </x:c>
      <x:c r="AF136" s="75" t="str">
        <x:f>IF($D136&lt;&gt;"",$D136&amp;" - "&amp;$G136,$AD136&amp;" - "&amp;$G136)</x:f>
        <x:v>MW-80 - </x:v>
      </x:c>
      <x:c r="AG136" s="75" t="str"/>
    </x:row>
    <x:row r="137">
      <x:c r="A137" s="75" t="str">
        <x:f>IF($B137&lt;&gt;"",ROW()-4,"")</x:f>
      </x:c>
      <x:c r="B137" s="75" t="str"/>
      <x:c r="C137" s="75" t="n">
        <x:f>IFERROR(LET(x,MID($B137,FIND("/models/",$B137)+8,80),y,LEFT(x,FIND("-",x&amp;"-")-1),LEFT(y,FIND("?",y&amp;"?")-1)),"")</x:f>
        <x:v>80</x:v>
      </x:c>
      <x:c r="D137" s="75" t="str">
        <x:f>IF($B137="","",IFERROR(XLOOKUP($C137,MakerWorld_Verileri!$A:$A,MakerWorld_Verileri!$B:$B,""),""))</x:f>
      </x:c>
      <x:c r="E137" s="75" t="str">
        <x:f>IF($B137="","",IFERROR(XLOOKUP($C137,MakerWorld_Verileri!$A:$A,MakerWorld_Verileri!$C:$C,""),""))</x:f>
      </x:c>
      <x:c r="F137" s="75" t="str"/>
      <x:c r="G137" s="75" t="str">
        <x:f>IF($B137&lt;&gt;"",Ayarlar!$B$7,"")</x:f>
      </x:c>
      <x:c r="H137" s="82" t="str">
        <x:f>IF($B137&lt;&gt;"",1,"")</x:f>
      </x:c>
      <x:c r="I137" s="82" t="str">
        <x:f>IF($B137="","",IFERROR(XLOOKUP($C137,MakerWorld_Verileri!$A:$A,MakerWorld_Verileri!$D:$D,""),""))</x:f>
      </x:c>
      <x:c r="J137" s="82" t="str"/>
      <x:c r="K137" s="82" t="str">
        <x:f>IF($I137&lt;&gt;"",$I137,$J137)</x:f>
      </x:c>
      <x:c r="L137" s="82" t="str">
        <x:f>IF($B137="","",IFERROR(XLOOKUP($C137,MakerWorld_Verileri!$A:$A,MakerWorld_Verileri!$E:$E,""),""))</x:f>
      </x:c>
      <x:c r="M137" s="82" t="str"/>
      <x:c r="N137" s="82" t="str">
        <x:f>IF($L137&lt;&gt;"",$L137,$M137)</x:f>
      </x:c>
      <x:c r="O137" s="82" t="str">
        <x:f>IF($B137&lt;&gt;"",0,"")</x:f>
      </x:c>
      <x:c r="P137" s="75" t="str">
        <x:f>IF($B137&lt;&gt;"","Orta","")</x:f>
      </x:c>
      <x:c r="Q137" s="82" t="str">
        <x:f>IF($B137&lt;&gt;"",10,"")</x:f>
      </x:c>
      <x:c r="R137" s="83" t="str">
        <x:f>IF($B137&lt;&gt;"",Ayarlar!$B$10,"")</x:f>
      </x:c>
      <x:c r="S137" s="83" t="str">
        <x:f>IF($B137&lt;&gt;"",0,"")</x:f>
      </x:c>
      <x:c r="T137" s="83" t="n">
        <x:f>IFERROR(($K137+$O137)*XLOOKUP($G137,Ayarlar!$A$19:$A$28,Ayarlar!$C$19:$C$28,0)*(1+Ayarlar!$B$11),0)</x:f>
        <x:v>0</x:v>
      </x:c>
      <x:c r="U137" s="83" t="n">
        <x:f>IFERROR($N137/60*Ayarlar!$B$8,0)</x:f>
        <x:v>0</x:v>
      </x:c>
      <x:c r="V137" s="83" t="n">
        <x:f>IF($B137&lt;&gt;"",Ayarlar!$B$12+($Q137/60*Ayarlar!$B$9),0)</x:f>
        <x:v>0</x:v>
      </x:c>
      <x:c r="W137" s="83" t="n">
        <x:f>IF($B137&lt;&gt;"",SUM($T137:$V137,$R137:$S137),0)</x:f>
        <x:v>0</x:v>
      </x:c>
      <x:c r="X137" s="83" t="n">
        <x:f>IF($B137&lt;&gt;"",$W137*Ayarlar!$B$15,0)</x:f>
        <x:v>0</x:v>
      </x:c>
      <x:c r="Y137" s="83" t="n">
        <x:f>IF($B137&lt;&gt;"",($W137+$X137)*Ayarlar!$B$13,0)</x:f>
        <x:v>0</x:v>
      </x:c>
      <x:c r="Z137" s="83" t="n">
        <x:f>IF($B137&lt;&gt;"",($W137+$X137+$Y137)*Ayarlar!$B$14,0)</x:f>
        <x:v>0</x:v>
      </x:c>
      <x:c r="AA137" s="83" t="str">
        <x:f>IF($B137="","",IF(OR($K137="",$N137=""),"",CEILING($W137+$X137+$Y137+$Z137,Ayarlar!$B$16)))</x:f>
      </x:c>
      <x:c r="AB137" s="83" t="str">
        <x:f>IFERROR($AA137/$H137,"")</x:f>
      </x:c>
      <x:c r="AC137" s="75" t="str">
        <x:f>IF($B137="","",IF(OR($K137="",$N137=""),"Veri Eksik","Fiyat Hazır"))</x:f>
      </x:c>
      <x:c r="AD137" s="75" t="str">
        <x:f>IF($C137&lt;&gt;"","MW-"&amp;$C137,"")</x:f>
        <x:v>MW-80</x:v>
      </x:c>
      <x:c r="AE137" s="75" t="str">
        <x:f>IF($G137&lt;&gt;"","3D Baskı / "&amp;$G137,"3D Baskı")</x:f>
        <x:v>3D Baskı</x:v>
      </x:c>
      <x:c r="AF137" s="75" t="str">
        <x:f>IF($D137&lt;&gt;"",$D137&amp;" - "&amp;$G137,$AD137&amp;" - "&amp;$G137)</x:f>
        <x:v>MW-80 - </x:v>
      </x:c>
      <x:c r="AG137" s="75" t="str"/>
    </x:row>
    <x:row r="138">
      <x:c r="A138" s="75" t="str">
        <x:f>IF($B138&lt;&gt;"",ROW()-4,"")</x:f>
      </x:c>
      <x:c r="B138" s="75" t="str"/>
      <x:c r="C138" s="75" t="n">
        <x:f>IFERROR(LET(x,MID($B138,FIND("/models/",$B138)+8,80),y,LEFT(x,FIND("-",x&amp;"-")-1),LEFT(y,FIND("?",y&amp;"?")-1)),"")</x:f>
        <x:v>80</x:v>
      </x:c>
      <x:c r="D138" s="75" t="str">
        <x:f>IF($B138="","",IFERROR(XLOOKUP($C138,MakerWorld_Verileri!$A:$A,MakerWorld_Verileri!$B:$B,""),""))</x:f>
      </x:c>
      <x:c r="E138" s="75" t="str">
        <x:f>IF($B138="","",IFERROR(XLOOKUP($C138,MakerWorld_Verileri!$A:$A,MakerWorld_Verileri!$C:$C,""),""))</x:f>
      </x:c>
      <x:c r="F138" s="75" t="str"/>
      <x:c r="G138" s="75" t="str">
        <x:f>IF($B138&lt;&gt;"",Ayarlar!$B$7,"")</x:f>
      </x:c>
      <x:c r="H138" s="82" t="str">
        <x:f>IF($B138&lt;&gt;"",1,"")</x:f>
      </x:c>
      <x:c r="I138" s="82" t="str">
        <x:f>IF($B138="","",IFERROR(XLOOKUP($C138,MakerWorld_Verileri!$A:$A,MakerWorld_Verileri!$D:$D,""),""))</x:f>
      </x:c>
      <x:c r="J138" s="82" t="str"/>
      <x:c r="K138" s="82" t="str">
        <x:f>IF($I138&lt;&gt;"",$I138,$J138)</x:f>
      </x:c>
      <x:c r="L138" s="82" t="str">
        <x:f>IF($B138="","",IFERROR(XLOOKUP($C138,MakerWorld_Verileri!$A:$A,MakerWorld_Verileri!$E:$E,""),""))</x:f>
      </x:c>
      <x:c r="M138" s="82" t="str"/>
      <x:c r="N138" s="82" t="str">
        <x:f>IF($L138&lt;&gt;"",$L138,$M138)</x:f>
      </x:c>
      <x:c r="O138" s="82" t="str">
        <x:f>IF($B138&lt;&gt;"",0,"")</x:f>
      </x:c>
      <x:c r="P138" s="75" t="str">
        <x:f>IF($B138&lt;&gt;"","Orta","")</x:f>
      </x:c>
      <x:c r="Q138" s="82" t="str">
        <x:f>IF($B138&lt;&gt;"",10,"")</x:f>
      </x:c>
      <x:c r="R138" s="83" t="str">
        <x:f>IF($B138&lt;&gt;"",Ayarlar!$B$10,"")</x:f>
      </x:c>
      <x:c r="S138" s="83" t="str">
        <x:f>IF($B138&lt;&gt;"",0,"")</x:f>
      </x:c>
      <x:c r="T138" s="83" t="n">
        <x:f>IFERROR(($K138+$O138)*XLOOKUP($G138,Ayarlar!$A$19:$A$28,Ayarlar!$C$19:$C$28,0)*(1+Ayarlar!$B$11),0)</x:f>
        <x:v>0</x:v>
      </x:c>
      <x:c r="U138" s="83" t="n">
        <x:f>IFERROR($N138/60*Ayarlar!$B$8,0)</x:f>
        <x:v>0</x:v>
      </x:c>
      <x:c r="V138" s="83" t="n">
        <x:f>IF($B138&lt;&gt;"",Ayarlar!$B$12+($Q138/60*Ayarlar!$B$9),0)</x:f>
        <x:v>0</x:v>
      </x:c>
      <x:c r="W138" s="83" t="n">
        <x:f>IF($B138&lt;&gt;"",SUM($T138:$V138,$R138:$S138),0)</x:f>
        <x:v>0</x:v>
      </x:c>
      <x:c r="X138" s="83" t="n">
        <x:f>IF($B138&lt;&gt;"",$W138*Ayarlar!$B$15,0)</x:f>
        <x:v>0</x:v>
      </x:c>
      <x:c r="Y138" s="83" t="n">
        <x:f>IF($B138&lt;&gt;"",($W138+$X138)*Ayarlar!$B$13,0)</x:f>
        <x:v>0</x:v>
      </x:c>
      <x:c r="Z138" s="83" t="n">
        <x:f>IF($B138&lt;&gt;"",($W138+$X138+$Y138)*Ayarlar!$B$14,0)</x:f>
        <x:v>0</x:v>
      </x:c>
      <x:c r="AA138" s="83" t="str">
        <x:f>IF($B138="","",IF(OR($K138="",$N138=""),"",CEILING($W138+$X138+$Y138+$Z138,Ayarlar!$B$16)))</x:f>
      </x:c>
      <x:c r="AB138" s="83" t="str">
        <x:f>IFERROR($AA138/$H138,"")</x:f>
      </x:c>
      <x:c r="AC138" s="75" t="str">
        <x:f>IF($B138="","",IF(OR($K138="",$N138=""),"Veri Eksik","Fiyat Hazır"))</x:f>
      </x:c>
      <x:c r="AD138" s="75" t="str">
        <x:f>IF($C138&lt;&gt;"","MW-"&amp;$C138,"")</x:f>
        <x:v>MW-80</x:v>
      </x:c>
      <x:c r="AE138" s="75" t="str">
        <x:f>IF($G138&lt;&gt;"","3D Baskı / "&amp;$G138,"3D Baskı")</x:f>
        <x:v>3D Baskı</x:v>
      </x:c>
      <x:c r="AF138" s="75" t="str">
        <x:f>IF($D138&lt;&gt;"",$D138&amp;" - "&amp;$G138,$AD138&amp;" - "&amp;$G138)</x:f>
        <x:v>MW-80 - </x:v>
      </x:c>
      <x:c r="AG138" s="75" t="str"/>
    </x:row>
    <x:row r="139">
      <x:c r="A139" s="75" t="str">
        <x:f>IF($B139&lt;&gt;"",ROW()-4,"")</x:f>
      </x:c>
      <x:c r="B139" s="75" t="str"/>
      <x:c r="C139" s="75" t="n">
        <x:f>IFERROR(LET(x,MID($B139,FIND("/models/",$B139)+8,80),y,LEFT(x,FIND("-",x&amp;"-")-1),LEFT(y,FIND("?",y&amp;"?")-1)),"")</x:f>
        <x:v>80</x:v>
      </x:c>
      <x:c r="D139" s="75" t="str">
        <x:f>IF($B139="","",IFERROR(XLOOKUP($C139,MakerWorld_Verileri!$A:$A,MakerWorld_Verileri!$B:$B,""),""))</x:f>
      </x:c>
      <x:c r="E139" s="75" t="str">
        <x:f>IF($B139="","",IFERROR(XLOOKUP($C139,MakerWorld_Verileri!$A:$A,MakerWorld_Verileri!$C:$C,""),""))</x:f>
      </x:c>
      <x:c r="F139" s="75" t="str"/>
      <x:c r="G139" s="75" t="str">
        <x:f>IF($B139&lt;&gt;"",Ayarlar!$B$7,"")</x:f>
      </x:c>
      <x:c r="H139" s="82" t="str">
        <x:f>IF($B139&lt;&gt;"",1,"")</x:f>
      </x:c>
      <x:c r="I139" s="82" t="str">
        <x:f>IF($B139="","",IFERROR(XLOOKUP($C139,MakerWorld_Verileri!$A:$A,MakerWorld_Verileri!$D:$D,""),""))</x:f>
      </x:c>
      <x:c r="J139" s="82" t="str"/>
      <x:c r="K139" s="82" t="str">
        <x:f>IF($I139&lt;&gt;"",$I139,$J139)</x:f>
      </x:c>
      <x:c r="L139" s="82" t="str">
        <x:f>IF($B139="","",IFERROR(XLOOKUP($C139,MakerWorld_Verileri!$A:$A,MakerWorld_Verileri!$E:$E,""),""))</x:f>
      </x:c>
      <x:c r="M139" s="82" t="str"/>
      <x:c r="N139" s="82" t="str">
        <x:f>IF($L139&lt;&gt;"",$L139,$M139)</x:f>
      </x:c>
      <x:c r="O139" s="82" t="str">
        <x:f>IF($B139&lt;&gt;"",0,"")</x:f>
      </x:c>
      <x:c r="P139" s="75" t="str">
        <x:f>IF($B139&lt;&gt;"","Orta","")</x:f>
      </x:c>
      <x:c r="Q139" s="82" t="str">
        <x:f>IF($B139&lt;&gt;"",10,"")</x:f>
      </x:c>
      <x:c r="R139" s="83" t="str">
        <x:f>IF($B139&lt;&gt;"",Ayarlar!$B$10,"")</x:f>
      </x:c>
      <x:c r="S139" s="83" t="str">
        <x:f>IF($B139&lt;&gt;"",0,"")</x:f>
      </x:c>
      <x:c r="T139" s="83" t="n">
        <x:f>IFERROR(($K139+$O139)*XLOOKUP($G139,Ayarlar!$A$19:$A$28,Ayarlar!$C$19:$C$28,0)*(1+Ayarlar!$B$11),0)</x:f>
        <x:v>0</x:v>
      </x:c>
      <x:c r="U139" s="83" t="n">
        <x:f>IFERROR($N139/60*Ayarlar!$B$8,0)</x:f>
        <x:v>0</x:v>
      </x:c>
      <x:c r="V139" s="83" t="n">
        <x:f>IF($B139&lt;&gt;"",Ayarlar!$B$12+($Q139/60*Ayarlar!$B$9),0)</x:f>
        <x:v>0</x:v>
      </x:c>
      <x:c r="W139" s="83" t="n">
        <x:f>IF($B139&lt;&gt;"",SUM($T139:$V139,$R139:$S139),0)</x:f>
        <x:v>0</x:v>
      </x:c>
      <x:c r="X139" s="83" t="n">
        <x:f>IF($B139&lt;&gt;"",$W139*Ayarlar!$B$15,0)</x:f>
        <x:v>0</x:v>
      </x:c>
      <x:c r="Y139" s="83" t="n">
        <x:f>IF($B139&lt;&gt;"",($W139+$X139)*Ayarlar!$B$13,0)</x:f>
        <x:v>0</x:v>
      </x:c>
      <x:c r="Z139" s="83" t="n">
        <x:f>IF($B139&lt;&gt;"",($W139+$X139+$Y139)*Ayarlar!$B$14,0)</x:f>
        <x:v>0</x:v>
      </x:c>
      <x:c r="AA139" s="83" t="str">
        <x:f>IF($B139="","",IF(OR($K139="",$N139=""),"",CEILING($W139+$X139+$Y139+$Z139,Ayarlar!$B$16)))</x:f>
      </x:c>
      <x:c r="AB139" s="83" t="str">
        <x:f>IFERROR($AA139/$H139,"")</x:f>
      </x:c>
      <x:c r="AC139" s="75" t="str">
        <x:f>IF($B139="","",IF(OR($K139="",$N139=""),"Veri Eksik","Fiyat Hazır"))</x:f>
      </x:c>
      <x:c r="AD139" s="75" t="str">
        <x:f>IF($C139&lt;&gt;"","MW-"&amp;$C139,"")</x:f>
        <x:v>MW-80</x:v>
      </x:c>
      <x:c r="AE139" s="75" t="str">
        <x:f>IF($G139&lt;&gt;"","3D Baskı / "&amp;$G139,"3D Baskı")</x:f>
        <x:v>3D Baskı</x:v>
      </x:c>
      <x:c r="AF139" s="75" t="str">
        <x:f>IF($D139&lt;&gt;"",$D139&amp;" - "&amp;$G139,$AD139&amp;" - "&amp;$G139)</x:f>
        <x:v>MW-80 - </x:v>
      </x:c>
      <x:c r="AG139" s="75" t="str"/>
    </x:row>
    <x:row r="140">
      <x:c r="A140" s="75" t="str">
        <x:f>IF($B140&lt;&gt;"",ROW()-4,"")</x:f>
      </x:c>
      <x:c r="B140" s="75" t="str"/>
      <x:c r="C140" s="75" t="n">
        <x:f>IFERROR(LET(x,MID($B140,FIND("/models/",$B140)+8,80),y,LEFT(x,FIND("-",x&amp;"-")-1),LEFT(y,FIND("?",y&amp;"?")-1)),"")</x:f>
        <x:v>80</x:v>
      </x:c>
      <x:c r="D140" s="75" t="str">
        <x:f>IF($B140="","",IFERROR(XLOOKUP($C140,MakerWorld_Verileri!$A:$A,MakerWorld_Verileri!$B:$B,""),""))</x:f>
      </x:c>
      <x:c r="E140" s="75" t="str">
        <x:f>IF($B140="","",IFERROR(XLOOKUP($C140,MakerWorld_Verileri!$A:$A,MakerWorld_Verileri!$C:$C,""),""))</x:f>
      </x:c>
      <x:c r="F140" s="75" t="str"/>
      <x:c r="G140" s="75" t="str">
        <x:f>IF($B140&lt;&gt;"",Ayarlar!$B$7,"")</x:f>
      </x:c>
      <x:c r="H140" s="82" t="str">
        <x:f>IF($B140&lt;&gt;"",1,"")</x:f>
      </x:c>
      <x:c r="I140" s="82" t="str">
        <x:f>IF($B140="","",IFERROR(XLOOKUP($C140,MakerWorld_Verileri!$A:$A,MakerWorld_Verileri!$D:$D,""),""))</x:f>
      </x:c>
      <x:c r="J140" s="82" t="str"/>
      <x:c r="K140" s="82" t="str">
        <x:f>IF($I140&lt;&gt;"",$I140,$J140)</x:f>
      </x:c>
      <x:c r="L140" s="82" t="str">
        <x:f>IF($B140="","",IFERROR(XLOOKUP($C140,MakerWorld_Verileri!$A:$A,MakerWorld_Verileri!$E:$E,""),""))</x:f>
      </x:c>
      <x:c r="M140" s="82" t="str"/>
      <x:c r="N140" s="82" t="str">
        <x:f>IF($L140&lt;&gt;"",$L140,$M140)</x:f>
      </x:c>
      <x:c r="O140" s="82" t="str">
        <x:f>IF($B140&lt;&gt;"",0,"")</x:f>
      </x:c>
      <x:c r="P140" s="75" t="str">
        <x:f>IF($B140&lt;&gt;"","Orta","")</x:f>
      </x:c>
      <x:c r="Q140" s="82" t="str">
        <x:f>IF($B140&lt;&gt;"",10,"")</x:f>
      </x:c>
      <x:c r="R140" s="83" t="str">
        <x:f>IF($B140&lt;&gt;"",Ayarlar!$B$10,"")</x:f>
      </x:c>
      <x:c r="S140" s="83" t="str">
        <x:f>IF($B140&lt;&gt;"",0,"")</x:f>
      </x:c>
      <x:c r="T140" s="83" t="n">
        <x:f>IFERROR(($K140+$O140)*XLOOKUP($G140,Ayarlar!$A$19:$A$28,Ayarlar!$C$19:$C$28,0)*(1+Ayarlar!$B$11),0)</x:f>
        <x:v>0</x:v>
      </x:c>
      <x:c r="U140" s="83" t="n">
        <x:f>IFERROR($N140/60*Ayarlar!$B$8,0)</x:f>
        <x:v>0</x:v>
      </x:c>
      <x:c r="V140" s="83" t="n">
        <x:f>IF($B140&lt;&gt;"",Ayarlar!$B$12+($Q140/60*Ayarlar!$B$9),0)</x:f>
        <x:v>0</x:v>
      </x:c>
      <x:c r="W140" s="83" t="n">
        <x:f>IF($B140&lt;&gt;"",SUM($T140:$V140,$R140:$S140),0)</x:f>
        <x:v>0</x:v>
      </x:c>
      <x:c r="X140" s="83" t="n">
        <x:f>IF($B140&lt;&gt;"",$W140*Ayarlar!$B$15,0)</x:f>
        <x:v>0</x:v>
      </x:c>
      <x:c r="Y140" s="83" t="n">
        <x:f>IF($B140&lt;&gt;"",($W140+$X140)*Ayarlar!$B$13,0)</x:f>
        <x:v>0</x:v>
      </x:c>
      <x:c r="Z140" s="83" t="n">
        <x:f>IF($B140&lt;&gt;"",($W140+$X140+$Y140)*Ayarlar!$B$14,0)</x:f>
        <x:v>0</x:v>
      </x:c>
      <x:c r="AA140" s="83" t="str">
        <x:f>IF($B140="","",IF(OR($K140="",$N140=""),"",CEILING($W140+$X140+$Y140+$Z140,Ayarlar!$B$16)))</x:f>
      </x:c>
      <x:c r="AB140" s="83" t="str">
        <x:f>IFERROR($AA140/$H140,"")</x:f>
      </x:c>
      <x:c r="AC140" s="75" t="str">
        <x:f>IF($B140="","",IF(OR($K140="",$N140=""),"Veri Eksik","Fiyat Hazır"))</x:f>
      </x:c>
      <x:c r="AD140" s="75" t="str">
        <x:f>IF($C140&lt;&gt;"","MW-"&amp;$C140,"")</x:f>
        <x:v>MW-80</x:v>
      </x:c>
      <x:c r="AE140" s="75" t="str">
        <x:f>IF($G140&lt;&gt;"","3D Baskı / "&amp;$G140,"3D Baskı")</x:f>
        <x:v>3D Baskı</x:v>
      </x:c>
      <x:c r="AF140" s="75" t="str">
        <x:f>IF($D140&lt;&gt;"",$D140&amp;" - "&amp;$G140,$AD140&amp;" - "&amp;$G140)</x:f>
        <x:v>MW-80 - </x:v>
      </x:c>
      <x:c r="AG140" s="75" t="str"/>
    </x:row>
    <x:row r="141">
      <x:c r="A141" s="75" t="str">
        <x:f>IF($B141&lt;&gt;"",ROW()-4,"")</x:f>
      </x:c>
      <x:c r="B141" s="75" t="str"/>
      <x:c r="C141" s="75" t="n">
        <x:f>IFERROR(LET(x,MID($B141,FIND("/models/",$B141)+8,80),y,LEFT(x,FIND("-",x&amp;"-")-1),LEFT(y,FIND("?",y&amp;"?")-1)),"")</x:f>
        <x:v>80</x:v>
      </x:c>
      <x:c r="D141" s="75" t="str">
        <x:f>IF($B141="","",IFERROR(XLOOKUP($C141,MakerWorld_Verileri!$A:$A,MakerWorld_Verileri!$B:$B,""),""))</x:f>
      </x:c>
      <x:c r="E141" s="75" t="str">
        <x:f>IF($B141="","",IFERROR(XLOOKUP($C141,MakerWorld_Verileri!$A:$A,MakerWorld_Verileri!$C:$C,""),""))</x:f>
      </x:c>
      <x:c r="F141" s="75" t="str"/>
      <x:c r="G141" s="75" t="str">
        <x:f>IF($B141&lt;&gt;"",Ayarlar!$B$7,"")</x:f>
      </x:c>
      <x:c r="H141" s="82" t="str">
        <x:f>IF($B141&lt;&gt;"",1,"")</x:f>
      </x:c>
      <x:c r="I141" s="82" t="str">
        <x:f>IF($B141="","",IFERROR(XLOOKUP($C141,MakerWorld_Verileri!$A:$A,MakerWorld_Verileri!$D:$D,""),""))</x:f>
      </x:c>
      <x:c r="J141" s="82" t="str"/>
      <x:c r="K141" s="82" t="str">
        <x:f>IF($I141&lt;&gt;"",$I141,$J141)</x:f>
      </x:c>
      <x:c r="L141" s="82" t="str">
        <x:f>IF($B141="","",IFERROR(XLOOKUP($C141,MakerWorld_Verileri!$A:$A,MakerWorld_Verileri!$E:$E,""),""))</x:f>
      </x:c>
      <x:c r="M141" s="82" t="str"/>
      <x:c r="N141" s="82" t="str">
        <x:f>IF($L141&lt;&gt;"",$L141,$M141)</x:f>
      </x:c>
      <x:c r="O141" s="82" t="str">
        <x:f>IF($B141&lt;&gt;"",0,"")</x:f>
      </x:c>
      <x:c r="P141" s="75" t="str">
        <x:f>IF($B141&lt;&gt;"","Orta","")</x:f>
      </x:c>
      <x:c r="Q141" s="82" t="str">
        <x:f>IF($B141&lt;&gt;"",10,"")</x:f>
      </x:c>
      <x:c r="R141" s="83" t="str">
        <x:f>IF($B141&lt;&gt;"",Ayarlar!$B$10,"")</x:f>
      </x:c>
      <x:c r="S141" s="83" t="str">
        <x:f>IF($B141&lt;&gt;"",0,"")</x:f>
      </x:c>
      <x:c r="T141" s="83" t="n">
        <x:f>IFERROR(($K141+$O141)*XLOOKUP($G141,Ayarlar!$A$19:$A$28,Ayarlar!$C$19:$C$28,0)*(1+Ayarlar!$B$11),0)</x:f>
        <x:v>0</x:v>
      </x:c>
      <x:c r="U141" s="83" t="n">
        <x:f>IFERROR($N141/60*Ayarlar!$B$8,0)</x:f>
        <x:v>0</x:v>
      </x:c>
      <x:c r="V141" s="83" t="n">
        <x:f>IF($B141&lt;&gt;"",Ayarlar!$B$12+($Q141/60*Ayarlar!$B$9),0)</x:f>
        <x:v>0</x:v>
      </x:c>
      <x:c r="W141" s="83" t="n">
        <x:f>IF($B141&lt;&gt;"",SUM($T141:$V141,$R141:$S141),0)</x:f>
        <x:v>0</x:v>
      </x:c>
      <x:c r="X141" s="83" t="n">
        <x:f>IF($B141&lt;&gt;"",$W141*Ayarlar!$B$15,0)</x:f>
        <x:v>0</x:v>
      </x:c>
      <x:c r="Y141" s="83" t="n">
        <x:f>IF($B141&lt;&gt;"",($W141+$X141)*Ayarlar!$B$13,0)</x:f>
        <x:v>0</x:v>
      </x:c>
      <x:c r="Z141" s="83" t="n">
        <x:f>IF($B141&lt;&gt;"",($W141+$X141+$Y141)*Ayarlar!$B$14,0)</x:f>
        <x:v>0</x:v>
      </x:c>
      <x:c r="AA141" s="83" t="str">
        <x:f>IF($B141="","",IF(OR($K141="",$N141=""),"",CEILING($W141+$X141+$Y141+$Z141,Ayarlar!$B$16)))</x:f>
      </x:c>
      <x:c r="AB141" s="83" t="str">
        <x:f>IFERROR($AA141/$H141,"")</x:f>
      </x:c>
      <x:c r="AC141" s="75" t="str">
        <x:f>IF($B141="","",IF(OR($K141="",$N141=""),"Veri Eksik","Fiyat Hazır"))</x:f>
      </x:c>
      <x:c r="AD141" s="75" t="str">
        <x:f>IF($C141&lt;&gt;"","MW-"&amp;$C141,"")</x:f>
        <x:v>MW-80</x:v>
      </x:c>
      <x:c r="AE141" s="75" t="str">
        <x:f>IF($G141&lt;&gt;"","3D Baskı / "&amp;$G141,"3D Baskı")</x:f>
        <x:v>3D Baskı</x:v>
      </x:c>
      <x:c r="AF141" s="75" t="str">
        <x:f>IF($D141&lt;&gt;"",$D141&amp;" - "&amp;$G141,$AD141&amp;" - "&amp;$G141)</x:f>
        <x:v>MW-80 - </x:v>
      </x:c>
      <x:c r="AG141" s="75" t="str"/>
    </x:row>
    <x:row r="142">
      <x:c r="A142" s="75" t="str">
        <x:f>IF($B142&lt;&gt;"",ROW()-4,"")</x:f>
      </x:c>
      <x:c r="B142" s="75" t="str"/>
      <x:c r="C142" s="75" t="n">
        <x:f>IFERROR(LET(x,MID($B142,FIND("/models/",$B142)+8,80),y,LEFT(x,FIND("-",x&amp;"-")-1),LEFT(y,FIND("?",y&amp;"?")-1)),"")</x:f>
        <x:v>80</x:v>
      </x:c>
      <x:c r="D142" s="75" t="str">
        <x:f>IF($B142="","",IFERROR(XLOOKUP($C142,MakerWorld_Verileri!$A:$A,MakerWorld_Verileri!$B:$B,""),""))</x:f>
      </x:c>
      <x:c r="E142" s="75" t="str">
        <x:f>IF($B142="","",IFERROR(XLOOKUP($C142,MakerWorld_Verileri!$A:$A,MakerWorld_Verileri!$C:$C,""),""))</x:f>
      </x:c>
      <x:c r="F142" s="75" t="str"/>
      <x:c r="G142" s="75" t="str">
        <x:f>IF($B142&lt;&gt;"",Ayarlar!$B$7,"")</x:f>
      </x:c>
      <x:c r="H142" s="82" t="str">
        <x:f>IF($B142&lt;&gt;"",1,"")</x:f>
      </x:c>
      <x:c r="I142" s="82" t="str">
        <x:f>IF($B142="","",IFERROR(XLOOKUP($C142,MakerWorld_Verileri!$A:$A,MakerWorld_Verileri!$D:$D,""),""))</x:f>
      </x:c>
      <x:c r="J142" s="82" t="str"/>
      <x:c r="K142" s="82" t="str">
        <x:f>IF($I142&lt;&gt;"",$I142,$J142)</x:f>
      </x:c>
      <x:c r="L142" s="82" t="str">
        <x:f>IF($B142="","",IFERROR(XLOOKUP($C142,MakerWorld_Verileri!$A:$A,MakerWorld_Verileri!$E:$E,""),""))</x:f>
      </x:c>
      <x:c r="M142" s="82" t="str"/>
      <x:c r="N142" s="82" t="str">
        <x:f>IF($L142&lt;&gt;"",$L142,$M142)</x:f>
      </x:c>
      <x:c r="O142" s="82" t="str">
        <x:f>IF($B142&lt;&gt;"",0,"")</x:f>
      </x:c>
      <x:c r="P142" s="75" t="str">
        <x:f>IF($B142&lt;&gt;"","Orta","")</x:f>
      </x:c>
      <x:c r="Q142" s="82" t="str">
        <x:f>IF($B142&lt;&gt;"",10,"")</x:f>
      </x:c>
      <x:c r="R142" s="83" t="str">
        <x:f>IF($B142&lt;&gt;"",Ayarlar!$B$10,"")</x:f>
      </x:c>
      <x:c r="S142" s="83" t="str">
        <x:f>IF($B142&lt;&gt;"",0,"")</x:f>
      </x:c>
      <x:c r="T142" s="83" t="n">
        <x:f>IFERROR(($K142+$O142)*XLOOKUP($G142,Ayarlar!$A$19:$A$28,Ayarlar!$C$19:$C$28,0)*(1+Ayarlar!$B$11),0)</x:f>
        <x:v>0</x:v>
      </x:c>
      <x:c r="U142" s="83" t="n">
        <x:f>IFERROR($N142/60*Ayarlar!$B$8,0)</x:f>
        <x:v>0</x:v>
      </x:c>
      <x:c r="V142" s="83" t="n">
        <x:f>IF($B142&lt;&gt;"",Ayarlar!$B$12+($Q142/60*Ayarlar!$B$9),0)</x:f>
        <x:v>0</x:v>
      </x:c>
      <x:c r="W142" s="83" t="n">
        <x:f>IF($B142&lt;&gt;"",SUM($T142:$V142,$R142:$S142),0)</x:f>
        <x:v>0</x:v>
      </x:c>
      <x:c r="X142" s="83" t="n">
        <x:f>IF($B142&lt;&gt;"",$W142*Ayarlar!$B$15,0)</x:f>
        <x:v>0</x:v>
      </x:c>
      <x:c r="Y142" s="83" t="n">
        <x:f>IF($B142&lt;&gt;"",($W142+$X142)*Ayarlar!$B$13,0)</x:f>
        <x:v>0</x:v>
      </x:c>
      <x:c r="Z142" s="83" t="n">
        <x:f>IF($B142&lt;&gt;"",($W142+$X142+$Y142)*Ayarlar!$B$14,0)</x:f>
        <x:v>0</x:v>
      </x:c>
      <x:c r="AA142" s="83" t="str">
        <x:f>IF($B142="","",IF(OR($K142="",$N142=""),"",CEILING($W142+$X142+$Y142+$Z142,Ayarlar!$B$16)))</x:f>
      </x:c>
      <x:c r="AB142" s="83" t="str">
        <x:f>IFERROR($AA142/$H142,"")</x:f>
      </x:c>
      <x:c r="AC142" s="75" t="str">
        <x:f>IF($B142="","",IF(OR($K142="",$N142=""),"Veri Eksik","Fiyat Hazır"))</x:f>
      </x:c>
      <x:c r="AD142" s="75" t="str">
        <x:f>IF($C142&lt;&gt;"","MW-"&amp;$C142,"")</x:f>
        <x:v>MW-80</x:v>
      </x:c>
      <x:c r="AE142" s="75" t="str">
        <x:f>IF($G142&lt;&gt;"","3D Baskı / "&amp;$G142,"3D Baskı")</x:f>
        <x:v>3D Baskı</x:v>
      </x:c>
      <x:c r="AF142" s="75" t="str">
        <x:f>IF($D142&lt;&gt;"",$D142&amp;" - "&amp;$G142,$AD142&amp;" - "&amp;$G142)</x:f>
        <x:v>MW-80 - </x:v>
      </x:c>
      <x:c r="AG142" s="75" t="str"/>
    </x:row>
    <x:row r="143">
      <x:c r="A143" s="75" t="str">
        <x:f>IF($B143&lt;&gt;"",ROW()-4,"")</x:f>
      </x:c>
      <x:c r="B143" s="75" t="str"/>
      <x:c r="C143" s="75" t="n">
        <x:f>IFERROR(LET(x,MID($B143,FIND("/models/",$B143)+8,80),y,LEFT(x,FIND("-",x&amp;"-")-1),LEFT(y,FIND("?",y&amp;"?")-1)),"")</x:f>
        <x:v>80</x:v>
      </x:c>
      <x:c r="D143" s="75" t="str">
        <x:f>IF($B143="","",IFERROR(XLOOKUP($C143,MakerWorld_Verileri!$A:$A,MakerWorld_Verileri!$B:$B,""),""))</x:f>
      </x:c>
      <x:c r="E143" s="75" t="str">
        <x:f>IF($B143="","",IFERROR(XLOOKUP($C143,MakerWorld_Verileri!$A:$A,MakerWorld_Verileri!$C:$C,""),""))</x:f>
      </x:c>
      <x:c r="F143" s="75" t="str"/>
      <x:c r="G143" s="75" t="str">
        <x:f>IF($B143&lt;&gt;"",Ayarlar!$B$7,"")</x:f>
      </x:c>
      <x:c r="H143" s="82" t="str">
        <x:f>IF($B143&lt;&gt;"",1,"")</x:f>
      </x:c>
      <x:c r="I143" s="82" t="str">
        <x:f>IF($B143="","",IFERROR(XLOOKUP($C143,MakerWorld_Verileri!$A:$A,MakerWorld_Verileri!$D:$D,""),""))</x:f>
      </x:c>
      <x:c r="J143" s="82" t="str"/>
      <x:c r="K143" s="82" t="str">
        <x:f>IF($I143&lt;&gt;"",$I143,$J143)</x:f>
      </x:c>
      <x:c r="L143" s="82" t="str">
        <x:f>IF($B143="","",IFERROR(XLOOKUP($C143,MakerWorld_Verileri!$A:$A,MakerWorld_Verileri!$E:$E,""),""))</x:f>
      </x:c>
      <x:c r="M143" s="82" t="str"/>
      <x:c r="N143" s="82" t="str">
        <x:f>IF($L143&lt;&gt;"",$L143,$M143)</x:f>
      </x:c>
      <x:c r="O143" s="82" t="str">
        <x:f>IF($B143&lt;&gt;"",0,"")</x:f>
      </x:c>
      <x:c r="P143" s="75" t="str">
        <x:f>IF($B143&lt;&gt;"","Orta","")</x:f>
      </x:c>
      <x:c r="Q143" s="82" t="str">
        <x:f>IF($B143&lt;&gt;"",10,"")</x:f>
      </x:c>
      <x:c r="R143" s="83" t="str">
        <x:f>IF($B143&lt;&gt;"",Ayarlar!$B$10,"")</x:f>
      </x:c>
      <x:c r="S143" s="83" t="str">
        <x:f>IF($B143&lt;&gt;"",0,"")</x:f>
      </x:c>
      <x:c r="T143" s="83" t="n">
        <x:f>IFERROR(($K143+$O143)*XLOOKUP($G143,Ayarlar!$A$19:$A$28,Ayarlar!$C$19:$C$28,0)*(1+Ayarlar!$B$11),0)</x:f>
        <x:v>0</x:v>
      </x:c>
      <x:c r="U143" s="83" t="n">
        <x:f>IFERROR($N143/60*Ayarlar!$B$8,0)</x:f>
        <x:v>0</x:v>
      </x:c>
      <x:c r="V143" s="83" t="n">
        <x:f>IF($B143&lt;&gt;"",Ayarlar!$B$12+($Q143/60*Ayarlar!$B$9),0)</x:f>
        <x:v>0</x:v>
      </x:c>
      <x:c r="W143" s="83" t="n">
        <x:f>IF($B143&lt;&gt;"",SUM($T143:$V143,$R143:$S143),0)</x:f>
        <x:v>0</x:v>
      </x:c>
      <x:c r="X143" s="83" t="n">
        <x:f>IF($B143&lt;&gt;"",$W143*Ayarlar!$B$15,0)</x:f>
        <x:v>0</x:v>
      </x:c>
      <x:c r="Y143" s="83" t="n">
        <x:f>IF($B143&lt;&gt;"",($W143+$X143)*Ayarlar!$B$13,0)</x:f>
        <x:v>0</x:v>
      </x:c>
      <x:c r="Z143" s="83" t="n">
        <x:f>IF($B143&lt;&gt;"",($W143+$X143+$Y143)*Ayarlar!$B$14,0)</x:f>
        <x:v>0</x:v>
      </x:c>
      <x:c r="AA143" s="83" t="str">
        <x:f>IF($B143="","",IF(OR($K143="",$N143=""),"",CEILING($W143+$X143+$Y143+$Z143,Ayarlar!$B$16)))</x:f>
      </x:c>
      <x:c r="AB143" s="83" t="str">
        <x:f>IFERROR($AA143/$H143,"")</x:f>
      </x:c>
      <x:c r="AC143" s="75" t="str">
        <x:f>IF($B143="","",IF(OR($K143="",$N143=""),"Veri Eksik","Fiyat Hazır"))</x:f>
      </x:c>
      <x:c r="AD143" s="75" t="str">
        <x:f>IF($C143&lt;&gt;"","MW-"&amp;$C143,"")</x:f>
        <x:v>MW-80</x:v>
      </x:c>
      <x:c r="AE143" s="75" t="str">
        <x:f>IF($G143&lt;&gt;"","3D Baskı / "&amp;$G143,"3D Baskı")</x:f>
        <x:v>3D Baskı</x:v>
      </x:c>
      <x:c r="AF143" s="75" t="str">
        <x:f>IF($D143&lt;&gt;"",$D143&amp;" - "&amp;$G143,$AD143&amp;" - "&amp;$G143)</x:f>
        <x:v>MW-80 - </x:v>
      </x:c>
      <x:c r="AG143" s="75" t="str"/>
    </x:row>
    <x:row r="144">
      <x:c r="A144" s="75" t="str">
        <x:f>IF($B144&lt;&gt;"",ROW()-4,"")</x:f>
      </x:c>
      <x:c r="B144" s="75" t="str"/>
      <x:c r="C144" s="75" t="n">
        <x:f>IFERROR(LET(x,MID($B144,FIND("/models/",$B144)+8,80),y,LEFT(x,FIND("-",x&amp;"-")-1),LEFT(y,FIND("?",y&amp;"?")-1)),"")</x:f>
        <x:v>80</x:v>
      </x:c>
      <x:c r="D144" s="75" t="str">
        <x:f>IF($B144="","",IFERROR(XLOOKUP($C144,MakerWorld_Verileri!$A:$A,MakerWorld_Verileri!$B:$B,""),""))</x:f>
      </x:c>
      <x:c r="E144" s="75" t="str">
        <x:f>IF($B144="","",IFERROR(XLOOKUP($C144,MakerWorld_Verileri!$A:$A,MakerWorld_Verileri!$C:$C,""),""))</x:f>
      </x:c>
      <x:c r="F144" s="75" t="str"/>
      <x:c r="G144" s="75" t="str">
        <x:f>IF($B144&lt;&gt;"",Ayarlar!$B$7,"")</x:f>
      </x:c>
      <x:c r="H144" s="82" t="str">
        <x:f>IF($B144&lt;&gt;"",1,"")</x:f>
      </x:c>
      <x:c r="I144" s="82" t="str">
        <x:f>IF($B144="","",IFERROR(XLOOKUP($C144,MakerWorld_Verileri!$A:$A,MakerWorld_Verileri!$D:$D,""),""))</x:f>
      </x:c>
      <x:c r="J144" s="82" t="str"/>
      <x:c r="K144" s="82" t="str">
        <x:f>IF($I144&lt;&gt;"",$I144,$J144)</x:f>
      </x:c>
      <x:c r="L144" s="82" t="str">
        <x:f>IF($B144="","",IFERROR(XLOOKUP($C144,MakerWorld_Verileri!$A:$A,MakerWorld_Verileri!$E:$E,""),""))</x:f>
      </x:c>
      <x:c r="M144" s="82" t="str"/>
      <x:c r="N144" s="82" t="str">
        <x:f>IF($L144&lt;&gt;"",$L144,$M144)</x:f>
      </x:c>
      <x:c r="O144" s="82" t="str">
        <x:f>IF($B144&lt;&gt;"",0,"")</x:f>
      </x:c>
      <x:c r="P144" s="75" t="str">
        <x:f>IF($B144&lt;&gt;"","Orta","")</x:f>
      </x:c>
      <x:c r="Q144" s="82" t="str">
        <x:f>IF($B144&lt;&gt;"",10,"")</x:f>
      </x:c>
      <x:c r="R144" s="83" t="str">
        <x:f>IF($B144&lt;&gt;"",Ayarlar!$B$10,"")</x:f>
      </x:c>
      <x:c r="S144" s="83" t="str">
        <x:f>IF($B144&lt;&gt;"",0,"")</x:f>
      </x:c>
      <x:c r="T144" s="83" t="n">
        <x:f>IFERROR(($K144+$O144)*XLOOKUP($G144,Ayarlar!$A$19:$A$28,Ayarlar!$C$19:$C$28,0)*(1+Ayarlar!$B$11),0)</x:f>
        <x:v>0</x:v>
      </x:c>
      <x:c r="U144" s="83" t="n">
        <x:f>IFERROR($N144/60*Ayarlar!$B$8,0)</x:f>
        <x:v>0</x:v>
      </x:c>
      <x:c r="V144" s="83" t="n">
        <x:f>IF($B144&lt;&gt;"",Ayarlar!$B$12+($Q144/60*Ayarlar!$B$9),0)</x:f>
        <x:v>0</x:v>
      </x:c>
      <x:c r="W144" s="83" t="n">
        <x:f>IF($B144&lt;&gt;"",SUM($T144:$V144,$R144:$S144),0)</x:f>
        <x:v>0</x:v>
      </x:c>
      <x:c r="X144" s="83" t="n">
        <x:f>IF($B144&lt;&gt;"",$W144*Ayarlar!$B$15,0)</x:f>
        <x:v>0</x:v>
      </x:c>
      <x:c r="Y144" s="83" t="n">
        <x:f>IF($B144&lt;&gt;"",($W144+$X144)*Ayarlar!$B$13,0)</x:f>
        <x:v>0</x:v>
      </x:c>
      <x:c r="Z144" s="83" t="n">
        <x:f>IF($B144&lt;&gt;"",($W144+$X144+$Y144)*Ayarlar!$B$14,0)</x:f>
        <x:v>0</x:v>
      </x:c>
      <x:c r="AA144" s="83" t="str">
        <x:f>IF($B144="","",IF(OR($K144="",$N144=""),"",CEILING($W144+$X144+$Y144+$Z144,Ayarlar!$B$16)))</x:f>
      </x:c>
      <x:c r="AB144" s="83" t="str">
        <x:f>IFERROR($AA144/$H144,"")</x:f>
      </x:c>
      <x:c r="AC144" s="75" t="str">
        <x:f>IF($B144="","",IF(OR($K144="",$N144=""),"Veri Eksik","Fiyat Hazır"))</x:f>
      </x:c>
      <x:c r="AD144" s="75" t="str">
        <x:f>IF($C144&lt;&gt;"","MW-"&amp;$C144,"")</x:f>
        <x:v>MW-80</x:v>
      </x:c>
      <x:c r="AE144" s="75" t="str">
        <x:f>IF($G144&lt;&gt;"","3D Baskı / "&amp;$G144,"3D Baskı")</x:f>
        <x:v>3D Baskı</x:v>
      </x:c>
      <x:c r="AF144" s="75" t="str">
        <x:f>IF($D144&lt;&gt;"",$D144&amp;" - "&amp;$G144,$AD144&amp;" - "&amp;$G144)</x:f>
        <x:v>MW-80 - </x:v>
      </x:c>
      <x:c r="AG144" s="75" t="str"/>
    </x:row>
    <x:row r="145">
      <x:c r="A145" s="75" t="str">
        <x:f>IF($B145&lt;&gt;"",ROW()-4,"")</x:f>
      </x:c>
      <x:c r="B145" s="75" t="str"/>
      <x:c r="C145" s="75" t="n">
        <x:f>IFERROR(LET(x,MID($B145,FIND("/models/",$B145)+8,80),y,LEFT(x,FIND("-",x&amp;"-")-1),LEFT(y,FIND("?",y&amp;"?")-1)),"")</x:f>
        <x:v>80</x:v>
      </x:c>
      <x:c r="D145" s="75" t="str">
        <x:f>IF($B145="","",IFERROR(XLOOKUP($C145,MakerWorld_Verileri!$A:$A,MakerWorld_Verileri!$B:$B,""),""))</x:f>
      </x:c>
      <x:c r="E145" s="75" t="str">
        <x:f>IF($B145="","",IFERROR(XLOOKUP($C145,MakerWorld_Verileri!$A:$A,MakerWorld_Verileri!$C:$C,""),""))</x:f>
      </x:c>
      <x:c r="F145" s="75" t="str"/>
      <x:c r="G145" s="75" t="str">
        <x:f>IF($B145&lt;&gt;"",Ayarlar!$B$7,"")</x:f>
      </x:c>
      <x:c r="H145" s="82" t="str">
        <x:f>IF($B145&lt;&gt;"",1,"")</x:f>
      </x:c>
      <x:c r="I145" s="82" t="str">
        <x:f>IF($B145="","",IFERROR(XLOOKUP($C145,MakerWorld_Verileri!$A:$A,MakerWorld_Verileri!$D:$D,""),""))</x:f>
      </x:c>
      <x:c r="J145" s="82" t="str"/>
      <x:c r="K145" s="82" t="str">
        <x:f>IF($I145&lt;&gt;"",$I145,$J145)</x:f>
      </x:c>
      <x:c r="L145" s="82" t="str">
        <x:f>IF($B145="","",IFERROR(XLOOKUP($C145,MakerWorld_Verileri!$A:$A,MakerWorld_Verileri!$E:$E,""),""))</x:f>
      </x:c>
      <x:c r="M145" s="82" t="str"/>
      <x:c r="N145" s="82" t="str">
        <x:f>IF($L145&lt;&gt;"",$L145,$M145)</x:f>
      </x:c>
      <x:c r="O145" s="82" t="str">
        <x:f>IF($B145&lt;&gt;"",0,"")</x:f>
      </x:c>
      <x:c r="P145" s="75" t="str">
        <x:f>IF($B145&lt;&gt;"","Orta","")</x:f>
      </x:c>
      <x:c r="Q145" s="82" t="str">
        <x:f>IF($B145&lt;&gt;"",10,"")</x:f>
      </x:c>
      <x:c r="R145" s="83" t="str">
        <x:f>IF($B145&lt;&gt;"",Ayarlar!$B$10,"")</x:f>
      </x:c>
      <x:c r="S145" s="83" t="str">
        <x:f>IF($B145&lt;&gt;"",0,"")</x:f>
      </x:c>
      <x:c r="T145" s="83" t="n">
        <x:f>IFERROR(($K145+$O145)*XLOOKUP($G145,Ayarlar!$A$19:$A$28,Ayarlar!$C$19:$C$28,0)*(1+Ayarlar!$B$11),0)</x:f>
        <x:v>0</x:v>
      </x:c>
      <x:c r="U145" s="83" t="n">
        <x:f>IFERROR($N145/60*Ayarlar!$B$8,0)</x:f>
        <x:v>0</x:v>
      </x:c>
      <x:c r="V145" s="83" t="n">
        <x:f>IF($B145&lt;&gt;"",Ayarlar!$B$12+($Q145/60*Ayarlar!$B$9),0)</x:f>
        <x:v>0</x:v>
      </x:c>
      <x:c r="W145" s="83" t="n">
        <x:f>IF($B145&lt;&gt;"",SUM($T145:$V145,$R145:$S145),0)</x:f>
        <x:v>0</x:v>
      </x:c>
      <x:c r="X145" s="83" t="n">
        <x:f>IF($B145&lt;&gt;"",$W145*Ayarlar!$B$15,0)</x:f>
        <x:v>0</x:v>
      </x:c>
      <x:c r="Y145" s="83" t="n">
        <x:f>IF($B145&lt;&gt;"",($W145+$X145)*Ayarlar!$B$13,0)</x:f>
        <x:v>0</x:v>
      </x:c>
      <x:c r="Z145" s="83" t="n">
        <x:f>IF($B145&lt;&gt;"",($W145+$X145+$Y145)*Ayarlar!$B$14,0)</x:f>
        <x:v>0</x:v>
      </x:c>
      <x:c r="AA145" s="83" t="str">
        <x:f>IF($B145="","",IF(OR($K145="",$N145=""),"",CEILING($W145+$X145+$Y145+$Z145,Ayarlar!$B$16)))</x:f>
      </x:c>
      <x:c r="AB145" s="83" t="str">
        <x:f>IFERROR($AA145/$H145,"")</x:f>
      </x:c>
      <x:c r="AC145" s="75" t="str">
        <x:f>IF($B145="","",IF(OR($K145="",$N145=""),"Veri Eksik","Fiyat Hazır"))</x:f>
      </x:c>
      <x:c r="AD145" s="75" t="str">
        <x:f>IF($C145&lt;&gt;"","MW-"&amp;$C145,"")</x:f>
        <x:v>MW-80</x:v>
      </x:c>
      <x:c r="AE145" s="75" t="str">
        <x:f>IF($G145&lt;&gt;"","3D Baskı / "&amp;$G145,"3D Baskı")</x:f>
        <x:v>3D Baskı</x:v>
      </x:c>
      <x:c r="AF145" s="75" t="str">
        <x:f>IF($D145&lt;&gt;"",$D145&amp;" - "&amp;$G145,$AD145&amp;" - "&amp;$G145)</x:f>
        <x:v>MW-80 - </x:v>
      </x:c>
      <x:c r="AG145" s="75" t="str"/>
    </x:row>
    <x:row r="146">
      <x:c r="A146" s="75" t="str">
        <x:f>IF($B146&lt;&gt;"",ROW()-4,"")</x:f>
      </x:c>
      <x:c r="B146" s="75" t="str"/>
      <x:c r="C146" s="75" t="n">
        <x:f>IFERROR(LET(x,MID($B146,FIND("/models/",$B146)+8,80),y,LEFT(x,FIND("-",x&amp;"-")-1),LEFT(y,FIND("?",y&amp;"?")-1)),"")</x:f>
        <x:v>80</x:v>
      </x:c>
      <x:c r="D146" s="75" t="str">
        <x:f>IF($B146="","",IFERROR(XLOOKUP($C146,MakerWorld_Verileri!$A:$A,MakerWorld_Verileri!$B:$B,""),""))</x:f>
      </x:c>
      <x:c r="E146" s="75" t="str">
        <x:f>IF($B146="","",IFERROR(XLOOKUP($C146,MakerWorld_Verileri!$A:$A,MakerWorld_Verileri!$C:$C,""),""))</x:f>
      </x:c>
      <x:c r="F146" s="75" t="str"/>
      <x:c r="G146" s="75" t="str">
        <x:f>IF($B146&lt;&gt;"",Ayarlar!$B$7,"")</x:f>
      </x:c>
      <x:c r="H146" s="82" t="str">
        <x:f>IF($B146&lt;&gt;"",1,"")</x:f>
      </x:c>
      <x:c r="I146" s="82" t="str">
        <x:f>IF($B146="","",IFERROR(XLOOKUP($C146,MakerWorld_Verileri!$A:$A,MakerWorld_Verileri!$D:$D,""),""))</x:f>
      </x:c>
      <x:c r="J146" s="82" t="str"/>
      <x:c r="K146" s="82" t="str">
        <x:f>IF($I146&lt;&gt;"",$I146,$J146)</x:f>
      </x:c>
      <x:c r="L146" s="82" t="str">
        <x:f>IF($B146="","",IFERROR(XLOOKUP($C146,MakerWorld_Verileri!$A:$A,MakerWorld_Verileri!$E:$E,""),""))</x:f>
      </x:c>
      <x:c r="M146" s="82" t="str"/>
      <x:c r="N146" s="82" t="str">
        <x:f>IF($L146&lt;&gt;"",$L146,$M146)</x:f>
      </x:c>
      <x:c r="O146" s="82" t="str">
        <x:f>IF($B146&lt;&gt;"",0,"")</x:f>
      </x:c>
      <x:c r="P146" s="75" t="str">
        <x:f>IF($B146&lt;&gt;"","Orta","")</x:f>
      </x:c>
      <x:c r="Q146" s="82" t="str">
        <x:f>IF($B146&lt;&gt;"",10,"")</x:f>
      </x:c>
      <x:c r="R146" s="83" t="str">
        <x:f>IF($B146&lt;&gt;"",Ayarlar!$B$10,"")</x:f>
      </x:c>
      <x:c r="S146" s="83" t="str">
        <x:f>IF($B146&lt;&gt;"",0,"")</x:f>
      </x:c>
      <x:c r="T146" s="83" t="n">
        <x:f>IFERROR(($K146+$O146)*XLOOKUP($G146,Ayarlar!$A$19:$A$28,Ayarlar!$C$19:$C$28,0)*(1+Ayarlar!$B$11),0)</x:f>
        <x:v>0</x:v>
      </x:c>
      <x:c r="U146" s="83" t="n">
        <x:f>IFERROR($N146/60*Ayarlar!$B$8,0)</x:f>
        <x:v>0</x:v>
      </x:c>
      <x:c r="V146" s="83" t="n">
        <x:f>IF($B146&lt;&gt;"",Ayarlar!$B$12+($Q146/60*Ayarlar!$B$9),0)</x:f>
        <x:v>0</x:v>
      </x:c>
      <x:c r="W146" s="83" t="n">
        <x:f>IF($B146&lt;&gt;"",SUM($T146:$V146,$R146:$S146),0)</x:f>
        <x:v>0</x:v>
      </x:c>
      <x:c r="X146" s="83" t="n">
        <x:f>IF($B146&lt;&gt;"",$W146*Ayarlar!$B$15,0)</x:f>
        <x:v>0</x:v>
      </x:c>
      <x:c r="Y146" s="83" t="n">
        <x:f>IF($B146&lt;&gt;"",($W146+$X146)*Ayarlar!$B$13,0)</x:f>
        <x:v>0</x:v>
      </x:c>
      <x:c r="Z146" s="83" t="n">
        <x:f>IF($B146&lt;&gt;"",($W146+$X146+$Y146)*Ayarlar!$B$14,0)</x:f>
        <x:v>0</x:v>
      </x:c>
      <x:c r="AA146" s="83" t="str">
        <x:f>IF($B146="","",IF(OR($K146="",$N146=""),"",CEILING($W146+$X146+$Y146+$Z146,Ayarlar!$B$16)))</x:f>
      </x:c>
      <x:c r="AB146" s="83" t="str">
        <x:f>IFERROR($AA146/$H146,"")</x:f>
      </x:c>
      <x:c r="AC146" s="75" t="str">
        <x:f>IF($B146="","",IF(OR($K146="",$N146=""),"Veri Eksik","Fiyat Hazır"))</x:f>
      </x:c>
      <x:c r="AD146" s="75" t="str">
        <x:f>IF($C146&lt;&gt;"","MW-"&amp;$C146,"")</x:f>
        <x:v>MW-80</x:v>
      </x:c>
      <x:c r="AE146" s="75" t="str">
        <x:f>IF($G146&lt;&gt;"","3D Baskı / "&amp;$G146,"3D Baskı")</x:f>
        <x:v>3D Baskı</x:v>
      </x:c>
      <x:c r="AF146" s="75" t="str">
        <x:f>IF($D146&lt;&gt;"",$D146&amp;" - "&amp;$G146,$AD146&amp;" - "&amp;$G146)</x:f>
        <x:v>MW-80 - </x:v>
      </x:c>
      <x:c r="AG146" s="75" t="str"/>
    </x:row>
    <x:row r="147">
      <x:c r="A147" s="75" t="str">
        <x:f>IF($B147&lt;&gt;"",ROW()-4,"")</x:f>
      </x:c>
      <x:c r="B147" s="75" t="str"/>
      <x:c r="C147" s="75" t="n">
        <x:f>IFERROR(LET(x,MID($B147,FIND("/models/",$B147)+8,80),y,LEFT(x,FIND("-",x&amp;"-")-1),LEFT(y,FIND("?",y&amp;"?")-1)),"")</x:f>
        <x:v>80</x:v>
      </x:c>
      <x:c r="D147" s="75" t="str">
        <x:f>IF($B147="","",IFERROR(XLOOKUP($C147,MakerWorld_Verileri!$A:$A,MakerWorld_Verileri!$B:$B,""),""))</x:f>
      </x:c>
      <x:c r="E147" s="75" t="str">
        <x:f>IF($B147="","",IFERROR(XLOOKUP($C147,MakerWorld_Verileri!$A:$A,MakerWorld_Verileri!$C:$C,""),""))</x:f>
      </x:c>
      <x:c r="F147" s="75" t="str"/>
      <x:c r="G147" s="75" t="str">
        <x:f>IF($B147&lt;&gt;"",Ayarlar!$B$7,"")</x:f>
      </x:c>
      <x:c r="H147" s="82" t="str">
        <x:f>IF($B147&lt;&gt;"",1,"")</x:f>
      </x:c>
      <x:c r="I147" s="82" t="str">
        <x:f>IF($B147="","",IFERROR(XLOOKUP($C147,MakerWorld_Verileri!$A:$A,MakerWorld_Verileri!$D:$D,""),""))</x:f>
      </x:c>
      <x:c r="J147" s="82" t="str"/>
      <x:c r="K147" s="82" t="str">
        <x:f>IF($I147&lt;&gt;"",$I147,$J147)</x:f>
      </x:c>
      <x:c r="L147" s="82" t="str">
        <x:f>IF($B147="","",IFERROR(XLOOKUP($C147,MakerWorld_Verileri!$A:$A,MakerWorld_Verileri!$E:$E,""),""))</x:f>
      </x:c>
      <x:c r="M147" s="82" t="str"/>
      <x:c r="N147" s="82" t="str">
        <x:f>IF($L147&lt;&gt;"",$L147,$M147)</x:f>
      </x:c>
      <x:c r="O147" s="82" t="str">
        <x:f>IF($B147&lt;&gt;"",0,"")</x:f>
      </x:c>
      <x:c r="P147" s="75" t="str">
        <x:f>IF($B147&lt;&gt;"","Orta","")</x:f>
      </x:c>
      <x:c r="Q147" s="82" t="str">
        <x:f>IF($B147&lt;&gt;"",10,"")</x:f>
      </x:c>
      <x:c r="R147" s="83" t="str">
        <x:f>IF($B147&lt;&gt;"",Ayarlar!$B$10,"")</x:f>
      </x:c>
      <x:c r="S147" s="83" t="str">
        <x:f>IF($B147&lt;&gt;"",0,"")</x:f>
      </x:c>
      <x:c r="T147" s="83" t="n">
        <x:f>IFERROR(($K147+$O147)*XLOOKUP($G147,Ayarlar!$A$19:$A$28,Ayarlar!$C$19:$C$28,0)*(1+Ayarlar!$B$11),0)</x:f>
        <x:v>0</x:v>
      </x:c>
      <x:c r="U147" s="83" t="n">
        <x:f>IFERROR($N147/60*Ayarlar!$B$8,0)</x:f>
        <x:v>0</x:v>
      </x:c>
      <x:c r="V147" s="83" t="n">
        <x:f>IF($B147&lt;&gt;"",Ayarlar!$B$12+($Q147/60*Ayarlar!$B$9),0)</x:f>
        <x:v>0</x:v>
      </x:c>
      <x:c r="W147" s="83" t="n">
        <x:f>IF($B147&lt;&gt;"",SUM($T147:$V147,$R147:$S147),0)</x:f>
        <x:v>0</x:v>
      </x:c>
      <x:c r="X147" s="83" t="n">
        <x:f>IF($B147&lt;&gt;"",$W147*Ayarlar!$B$15,0)</x:f>
        <x:v>0</x:v>
      </x:c>
      <x:c r="Y147" s="83" t="n">
        <x:f>IF($B147&lt;&gt;"",($W147+$X147)*Ayarlar!$B$13,0)</x:f>
        <x:v>0</x:v>
      </x:c>
      <x:c r="Z147" s="83" t="n">
        <x:f>IF($B147&lt;&gt;"",($W147+$X147+$Y147)*Ayarlar!$B$14,0)</x:f>
        <x:v>0</x:v>
      </x:c>
      <x:c r="AA147" s="83" t="str">
        <x:f>IF($B147="","",IF(OR($K147="",$N147=""),"",CEILING($W147+$X147+$Y147+$Z147,Ayarlar!$B$16)))</x:f>
      </x:c>
      <x:c r="AB147" s="83" t="str">
        <x:f>IFERROR($AA147/$H147,"")</x:f>
      </x:c>
      <x:c r="AC147" s="75" t="str">
        <x:f>IF($B147="","",IF(OR($K147="",$N147=""),"Veri Eksik","Fiyat Hazır"))</x:f>
      </x:c>
      <x:c r="AD147" s="75" t="str">
        <x:f>IF($C147&lt;&gt;"","MW-"&amp;$C147,"")</x:f>
        <x:v>MW-80</x:v>
      </x:c>
      <x:c r="AE147" s="75" t="str">
        <x:f>IF($G147&lt;&gt;"","3D Baskı / "&amp;$G147,"3D Baskı")</x:f>
        <x:v>3D Baskı</x:v>
      </x:c>
      <x:c r="AF147" s="75" t="str">
        <x:f>IF($D147&lt;&gt;"",$D147&amp;" - "&amp;$G147,$AD147&amp;" - "&amp;$G147)</x:f>
        <x:v>MW-80 - </x:v>
      </x:c>
      <x:c r="AG147" s="75" t="str"/>
    </x:row>
    <x:row r="148">
      <x:c r="A148" s="75" t="str">
        <x:f>IF($B148&lt;&gt;"",ROW()-4,"")</x:f>
      </x:c>
      <x:c r="B148" s="75" t="str"/>
      <x:c r="C148" s="75" t="n">
        <x:f>IFERROR(LET(x,MID($B148,FIND("/models/",$B148)+8,80),y,LEFT(x,FIND("-",x&amp;"-")-1),LEFT(y,FIND("?",y&amp;"?")-1)),"")</x:f>
        <x:v>80</x:v>
      </x:c>
      <x:c r="D148" s="75" t="str">
        <x:f>IF($B148="","",IFERROR(XLOOKUP($C148,MakerWorld_Verileri!$A:$A,MakerWorld_Verileri!$B:$B,""),""))</x:f>
      </x:c>
      <x:c r="E148" s="75" t="str">
        <x:f>IF($B148="","",IFERROR(XLOOKUP($C148,MakerWorld_Verileri!$A:$A,MakerWorld_Verileri!$C:$C,""),""))</x:f>
      </x:c>
      <x:c r="F148" s="75" t="str"/>
      <x:c r="G148" s="75" t="str">
        <x:f>IF($B148&lt;&gt;"",Ayarlar!$B$7,"")</x:f>
      </x:c>
      <x:c r="H148" s="82" t="str">
        <x:f>IF($B148&lt;&gt;"",1,"")</x:f>
      </x:c>
      <x:c r="I148" s="82" t="str">
        <x:f>IF($B148="","",IFERROR(XLOOKUP($C148,MakerWorld_Verileri!$A:$A,MakerWorld_Verileri!$D:$D,""),""))</x:f>
      </x:c>
      <x:c r="J148" s="82" t="str"/>
      <x:c r="K148" s="82" t="str">
        <x:f>IF($I148&lt;&gt;"",$I148,$J148)</x:f>
      </x:c>
      <x:c r="L148" s="82" t="str">
        <x:f>IF($B148="","",IFERROR(XLOOKUP($C148,MakerWorld_Verileri!$A:$A,MakerWorld_Verileri!$E:$E,""),""))</x:f>
      </x:c>
      <x:c r="M148" s="82" t="str"/>
      <x:c r="N148" s="82" t="str">
        <x:f>IF($L148&lt;&gt;"",$L148,$M148)</x:f>
      </x:c>
      <x:c r="O148" s="82" t="str">
        <x:f>IF($B148&lt;&gt;"",0,"")</x:f>
      </x:c>
      <x:c r="P148" s="75" t="str">
        <x:f>IF($B148&lt;&gt;"","Orta","")</x:f>
      </x:c>
      <x:c r="Q148" s="82" t="str">
        <x:f>IF($B148&lt;&gt;"",10,"")</x:f>
      </x:c>
      <x:c r="R148" s="83" t="str">
        <x:f>IF($B148&lt;&gt;"",Ayarlar!$B$10,"")</x:f>
      </x:c>
      <x:c r="S148" s="83" t="str">
        <x:f>IF($B148&lt;&gt;"",0,"")</x:f>
      </x:c>
      <x:c r="T148" s="83" t="n">
        <x:f>IFERROR(($K148+$O148)*XLOOKUP($G148,Ayarlar!$A$19:$A$28,Ayarlar!$C$19:$C$28,0)*(1+Ayarlar!$B$11),0)</x:f>
        <x:v>0</x:v>
      </x:c>
      <x:c r="U148" s="83" t="n">
        <x:f>IFERROR($N148/60*Ayarlar!$B$8,0)</x:f>
        <x:v>0</x:v>
      </x:c>
      <x:c r="V148" s="83" t="n">
        <x:f>IF($B148&lt;&gt;"",Ayarlar!$B$12+($Q148/60*Ayarlar!$B$9),0)</x:f>
        <x:v>0</x:v>
      </x:c>
      <x:c r="W148" s="83" t="n">
        <x:f>IF($B148&lt;&gt;"",SUM($T148:$V148,$R148:$S148),0)</x:f>
        <x:v>0</x:v>
      </x:c>
      <x:c r="X148" s="83" t="n">
        <x:f>IF($B148&lt;&gt;"",$W148*Ayarlar!$B$15,0)</x:f>
        <x:v>0</x:v>
      </x:c>
      <x:c r="Y148" s="83" t="n">
        <x:f>IF($B148&lt;&gt;"",($W148+$X148)*Ayarlar!$B$13,0)</x:f>
        <x:v>0</x:v>
      </x:c>
      <x:c r="Z148" s="83" t="n">
        <x:f>IF($B148&lt;&gt;"",($W148+$X148+$Y148)*Ayarlar!$B$14,0)</x:f>
        <x:v>0</x:v>
      </x:c>
      <x:c r="AA148" s="83" t="str">
        <x:f>IF($B148="","",IF(OR($K148="",$N148=""),"",CEILING($W148+$X148+$Y148+$Z148,Ayarlar!$B$16)))</x:f>
      </x:c>
      <x:c r="AB148" s="83" t="str">
        <x:f>IFERROR($AA148/$H148,"")</x:f>
      </x:c>
      <x:c r="AC148" s="75" t="str">
        <x:f>IF($B148="","",IF(OR($K148="",$N148=""),"Veri Eksik","Fiyat Hazır"))</x:f>
      </x:c>
      <x:c r="AD148" s="75" t="str">
        <x:f>IF($C148&lt;&gt;"","MW-"&amp;$C148,"")</x:f>
        <x:v>MW-80</x:v>
      </x:c>
      <x:c r="AE148" s="75" t="str">
        <x:f>IF($G148&lt;&gt;"","3D Baskı / "&amp;$G148,"3D Baskı")</x:f>
        <x:v>3D Baskı</x:v>
      </x:c>
      <x:c r="AF148" s="75" t="str">
        <x:f>IF($D148&lt;&gt;"",$D148&amp;" - "&amp;$G148,$AD148&amp;" - "&amp;$G148)</x:f>
        <x:v>MW-80 - </x:v>
      </x:c>
      <x:c r="AG148" s="75" t="str"/>
    </x:row>
    <x:row r="149">
      <x:c r="A149" s="75" t="str">
        <x:f>IF($B149&lt;&gt;"",ROW()-4,"")</x:f>
      </x:c>
      <x:c r="B149" s="75" t="str"/>
      <x:c r="C149" s="75" t="n">
        <x:f>IFERROR(LET(x,MID($B149,FIND("/models/",$B149)+8,80),y,LEFT(x,FIND("-",x&amp;"-")-1),LEFT(y,FIND("?",y&amp;"?")-1)),"")</x:f>
        <x:v>80</x:v>
      </x:c>
      <x:c r="D149" s="75" t="str">
        <x:f>IF($B149="","",IFERROR(XLOOKUP($C149,MakerWorld_Verileri!$A:$A,MakerWorld_Verileri!$B:$B,""),""))</x:f>
      </x:c>
      <x:c r="E149" s="75" t="str">
        <x:f>IF($B149="","",IFERROR(XLOOKUP($C149,MakerWorld_Verileri!$A:$A,MakerWorld_Verileri!$C:$C,""),""))</x:f>
      </x:c>
      <x:c r="F149" s="75" t="str"/>
      <x:c r="G149" s="75" t="str">
        <x:f>IF($B149&lt;&gt;"",Ayarlar!$B$7,"")</x:f>
      </x:c>
      <x:c r="H149" s="82" t="str">
        <x:f>IF($B149&lt;&gt;"",1,"")</x:f>
      </x:c>
      <x:c r="I149" s="82" t="str">
        <x:f>IF($B149="","",IFERROR(XLOOKUP($C149,MakerWorld_Verileri!$A:$A,MakerWorld_Verileri!$D:$D,""),""))</x:f>
      </x:c>
      <x:c r="J149" s="82" t="str"/>
      <x:c r="K149" s="82" t="str">
        <x:f>IF($I149&lt;&gt;"",$I149,$J149)</x:f>
      </x:c>
      <x:c r="L149" s="82" t="str">
        <x:f>IF($B149="","",IFERROR(XLOOKUP($C149,MakerWorld_Verileri!$A:$A,MakerWorld_Verileri!$E:$E,""),""))</x:f>
      </x:c>
      <x:c r="M149" s="82" t="str"/>
      <x:c r="N149" s="82" t="str">
        <x:f>IF($L149&lt;&gt;"",$L149,$M149)</x:f>
      </x:c>
      <x:c r="O149" s="82" t="str">
        <x:f>IF($B149&lt;&gt;"",0,"")</x:f>
      </x:c>
      <x:c r="P149" s="75" t="str">
        <x:f>IF($B149&lt;&gt;"","Orta","")</x:f>
      </x:c>
      <x:c r="Q149" s="82" t="str">
        <x:f>IF($B149&lt;&gt;"",10,"")</x:f>
      </x:c>
      <x:c r="R149" s="83" t="str">
        <x:f>IF($B149&lt;&gt;"",Ayarlar!$B$10,"")</x:f>
      </x:c>
      <x:c r="S149" s="83" t="str">
        <x:f>IF($B149&lt;&gt;"",0,"")</x:f>
      </x:c>
      <x:c r="T149" s="83" t="n">
        <x:f>IFERROR(($K149+$O149)*XLOOKUP($G149,Ayarlar!$A$19:$A$28,Ayarlar!$C$19:$C$28,0)*(1+Ayarlar!$B$11),0)</x:f>
        <x:v>0</x:v>
      </x:c>
      <x:c r="U149" s="83" t="n">
        <x:f>IFERROR($N149/60*Ayarlar!$B$8,0)</x:f>
        <x:v>0</x:v>
      </x:c>
      <x:c r="V149" s="83" t="n">
        <x:f>IF($B149&lt;&gt;"",Ayarlar!$B$12+($Q149/60*Ayarlar!$B$9),0)</x:f>
        <x:v>0</x:v>
      </x:c>
      <x:c r="W149" s="83" t="n">
        <x:f>IF($B149&lt;&gt;"",SUM($T149:$V149,$R149:$S149),0)</x:f>
        <x:v>0</x:v>
      </x:c>
      <x:c r="X149" s="83" t="n">
        <x:f>IF($B149&lt;&gt;"",$W149*Ayarlar!$B$15,0)</x:f>
        <x:v>0</x:v>
      </x:c>
      <x:c r="Y149" s="83" t="n">
        <x:f>IF($B149&lt;&gt;"",($W149+$X149)*Ayarlar!$B$13,0)</x:f>
        <x:v>0</x:v>
      </x:c>
      <x:c r="Z149" s="83" t="n">
        <x:f>IF($B149&lt;&gt;"",($W149+$X149+$Y149)*Ayarlar!$B$14,0)</x:f>
        <x:v>0</x:v>
      </x:c>
      <x:c r="AA149" s="83" t="str">
        <x:f>IF($B149="","",IF(OR($K149="",$N149=""),"",CEILING($W149+$X149+$Y149+$Z149,Ayarlar!$B$16)))</x:f>
      </x:c>
      <x:c r="AB149" s="83" t="str">
        <x:f>IFERROR($AA149/$H149,"")</x:f>
      </x:c>
      <x:c r="AC149" s="75" t="str">
        <x:f>IF($B149="","",IF(OR($K149="",$N149=""),"Veri Eksik","Fiyat Hazır"))</x:f>
      </x:c>
      <x:c r="AD149" s="75" t="str">
        <x:f>IF($C149&lt;&gt;"","MW-"&amp;$C149,"")</x:f>
        <x:v>MW-80</x:v>
      </x:c>
      <x:c r="AE149" s="75" t="str">
        <x:f>IF($G149&lt;&gt;"","3D Baskı / "&amp;$G149,"3D Baskı")</x:f>
        <x:v>3D Baskı</x:v>
      </x:c>
      <x:c r="AF149" s="75" t="str">
        <x:f>IF($D149&lt;&gt;"",$D149&amp;" - "&amp;$G149,$AD149&amp;" - "&amp;$G149)</x:f>
        <x:v>MW-80 - </x:v>
      </x:c>
      <x:c r="AG149" s="75" t="str"/>
    </x:row>
    <x:row r="150">
      <x:c r="A150" s="75" t="str">
        <x:f>IF($B150&lt;&gt;"",ROW()-4,"")</x:f>
      </x:c>
      <x:c r="B150" s="75" t="str"/>
      <x:c r="C150" s="75" t="n">
        <x:f>IFERROR(LET(x,MID($B150,FIND("/models/",$B150)+8,80),y,LEFT(x,FIND("-",x&amp;"-")-1),LEFT(y,FIND("?",y&amp;"?")-1)),"")</x:f>
        <x:v>80</x:v>
      </x:c>
      <x:c r="D150" s="75" t="str">
        <x:f>IF($B150="","",IFERROR(XLOOKUP($C150,MakerWorld_Verileri!$A:$A,MakerWorld_Verileri!$B:$B,""),""))</x:f>
      </x:c>
      <x:c r="E150" s="75" t="str">
        <x:f>IF($B150="","",IFERROR(XLOOKUP($C150,MakerWorld_Verileri!$A:$A,MakerWorld_Verileri!$C:$C,""),""))</x:f>
      </x:c>
      <x:c r="F150" s="75" t="str"/>
      <x:c r="G150" s="75" t="str">
        <x:f>IF($B150&lt;&gt;"",Ayarlar!$B$7,"")</x:f>
      </x:c>
      <x:c r="H150" s="82" t="str">
        <x:f>IF($B150&lt;&gt;"",1,"")</x:f>
      </x:c>
      <x:c r="I150" s="82" t="str">
        <x:f>IF($B150="","",IFERROR(XLOOKUP($C150,MakerWorld_Verileri!$A:$A,MakerWorld_Verileri!$D:$D,""),""))</x:f>
      </x:c>
      <x:c r="J150" s="82" t="str"/>
      <x:c r="K150" s="82" t="str">
        <x:f>IF($I150&lt;&gt;"",$I150,$J150)</x:f>
      </x:c>
      <x:c r="L150" s="82" t="str">
        <x:f>IF($B150="","",IFERROR(XLOOKUP($C150,MakerWorld_Verileri!$A:$A,MakerWorld_Verileri!$E:$E,""),""))</x:f>
      </x:c>
      <x:c r="M150" s="82" t="str"/>
      <x:c r="N150" s="82" t="str">
        <x:f>IF($L150&lt;&gt;"",$L150,$M150)</x:f>
      </x:c>
      <x:c r="O150" s="82" t="str">
        <x:f>IF($B150&lt;&gt;"",0,"")</x:f>
      </x:c>
      <x:c r="P150" s="75" t="str">
        <x:f>IF($B150&lt;&gt;"","Orta","")</x:f>
      </x:c>
      <x:c r="Q150" s="82" t="str">
        <x:f>IF($B150&lt;&gt;"",10,"")</x:f>
      </x:c>
      <x:c r="R150" s="83" t="str">
        <x:f>IF($B150&lt;&gt;"",Ayarlar!$B$10,"")</x:f>
      </x:c>
      <x:c r="S150" s="83" t="str">
        <x:f>IF($B150&lt;&gt;"",0,"")</x:f>
      </x:c>
      <x:c r="T150" s="83" t="n">
        <x:f>IFERROR(($K150+$O150)*XLOOKUP($G150,Ayarlar!$A$19:$A$28,Ayarlar!$C$19:$C$28,0)*(1+Ayarlar!$B$11),0)</x:f>
        <x:v>0</x:v>
      </x:c>
      <x:c r="U150" s="83" t="n">
        <x:f>IFERROR($N150/60*Ayarlar!$B$8,0)</x:f>
        <x:v>0</x:v>
      </x:c>
      <x:c r="V150" s="83" t="n">
        <x:f>IF($B150&lt;&gt;"",Ayarlar!$B$12+($Q150/60*Ayarlar!$B$9),0)</x:f>
        <x:v>0</x:v>
      </x:c>
      <x:c r="W150" s="83" t="n">
        <x:f>IF($B150&lt;&gt;"",SUM($T150:$V150,$R150:$S150),0)</x:f>
        <x:v>0</x:v>
      </x:c>
      <x:c r="X150" s="83" t="n">
        <x:f>IF($B150&lt;&gt;"",$W150*Ayarlar!$B$15,0)</x:f>
        <x:v>0</x:v>
      </x:c>
      <x:c r="Y150" s="83" t="n">
        <x:f>IF($B150&lt;&gt;"",($W150+$X150)*Ayarlar!$B$13,0)</x:f>
        <x:v>0</x:v>
      </x:c>
      <x:c r="Z150" s="83" t="n">
        <x:f>IF($B150&lt;&gt;"",($W150+$X150+$Y150)*Ayarlar!$B$14,0)</x:f>
        <x:v>0</x:v>
      </x:c>
      <x:c r="AA150" s="83" t="str">
        <x:f>IF($B150="","",IF(OR($K150="",$N150=""),"",CEILING($W150+$X150+$Y150+$Z150,Ayarlar!$B$16)))</x:f>
      </x:c>
      <x:c r="AB150" s="83" t="str">
        <x:f>IFERROR($AA150/$H150,"")</x:f>
      </x:c>
      <x:c r="AC150" s="75" t="str">
        <x:f>IF($B150="","",IF(OR($K150="",$N150=""),"Veri Eksik","Fiyat Hazır"))</x:f>
      </x:c>
      <x:c r="AD150" s="75" t="str">
        <x:f>IF($C150&lt;&gt;"","MW-"&amp;$C150,"")</x:f>
        <x:v>MW-80</x:v>
      </x:c>
      <x:c r="AE150" s="75" t="str">
        <x:f>IF($G150&lt;&gt;"","3D Baskı / "&amp;$G150,"3D Baskı")</x:f>
        <x:v>3D Baskı</x:v>
      </x:c>
      <x:c r="AF150" s="75" t="str">
        <x:f>IF($D150&lt;&gt;"",$D150&amp;" - "&amp;$G150,$AD150&amp;" - "&amp;$G150)</x:f>
        <x:v>MW-80 - </x:v>
      </x:c>
      <x:c r="AG150" s="75" t="str"/>
    </x:row>
    <x:row r="151">
      <x:c r="A151" s="75" t="str">
        <x:f>IF($B151&lt;&gt;"",ROW()-4,"")</x:f>
      </x:c>
      <x:c r="B151" s="75" t="str"/>
      <x:c r="C151" s="75" t="n">
        <x:f>IFERROR(LET(x,MID($B151,FIND("/models/",$B151)+8,80),y,LEFT(x,FIND("-",x&amp;"-")-1),LEFT(y,FIND("?",y&amp;"?")-1)),"")</x:f>
        <x:v>80</x:v>
      </x:c>
      <x:c r="D151" s="75" t="str">
        <x:f>IF($B151="","",IFERROR(XLOOKUP($C151,MakerWorld_Verileri!$A:$A,MakerWorld_Verileri!$B:$B,""),""))</x:f>
      </x:c>
      <x:c r="E151" s="75" t="str">
        <x:f>IF($B151="","",IFERROR(XLOOKUP($C151,MakerWorld_Verileri!$A:$A,MakerWorld_Verileri!$C:$C,""),""))</x:f>
      </x:c>
      <x:c r="F151" s="75" t="str"/>
      <x:c r="G151" s="75" t="str">
        <x:f>IF($B151&lt;&gt;"",Ayarlar!$B$7,"")</x:f>
      </x:c>
      <x:c r="H151" s="82" t="str">
        <x:f>IF($B151&lt;&gt;"",1,"")</x:f>
      </x:c>
      <x:c r="I151" s="82" t="str">
        <x:f>IF($B151="","",IFERROR(XLOOKUP($C151,MakerWorld_Verileri!$A:$A,MakerWorld_Verileri!$D:$D,""),""))</x:f>
      </x:c>
      <x:c r="J151" s="82" t="str"/>
      <x:c r="K151" s="82" t="str">
        <x:f>IF($I151&lt;&gt;"",$I151,$J151)</x:f>
      </x:c>
      <x:c r="L151" s="82" t="str">
        <x:f>IF($B151="","",IFERROR(XLOOKUP($C151,MakerWorld_Verileri!$A:$A,MakerWorld_Verileri!$E:$E,""),""))</x:f>
      </x:c>
      <x:c r="M151" s="82" t="str"/>
      <x:c r="N151" s="82" t="str">
        <x:f>IF($L151&lt;&gt;"",$L151,$M151)</x:f>
      </x:c>
      <x:c r="O151" s="82" t="str">
        <x:f>IF($B151&lt;&gt;"",0,"")</x:f>
      </x:c>
      <x:c r="P151" s="75" t="str">
        <x:f>IF($B151&lt;&gt;"","Orta","")</x:f>
      </x:c>
      <x:c r="Q151" s="82" t="str">
        <x:f>IF($B151&lt;&gt;"",10,"")</x:f>
      </x:c>
      <x:c r="R151" s="83" t="str">
        <x:f>IF($B151&lt;&gt;"",Ayarlar!$B$10,"")</x:f>
      </x:c>
      <x:c r="S151" s="83" t="str">
        <x:f>IF($B151&lt;&gt;"",0,"")</x:f>
      </x:c>
      <x:c r="T151" s="83" t="n">
        <x:f>IFERROR(($K151+$O151)*XLOOKUP($G151,Ayarlar!$A$19:$A$28,Ayarlar!$C$19:$C$28,0)*(1+Ayarlar!$B$11),0)</x:f>
        <x:v>0</x:v>
      </x:c>
      <x:c r="U151" s="83" t="n">
        <x:f>IFERROR($N151/60*Ayarlar!$B$8,0)</x:f>
        <x:v>0</x:v>
      </x:c>
      <x:c r="V151" s="83" t="n">
        <x:f>IF($B151&lt;&gt;"",Ayarlar!$B$12+($Q151/60*Ayarlar!$B$9),0)</x:f>
        <x:v>0</x:v>
      </x:c>
      <x:c r="W151" s="83" t="n">
        <x:f>IF($B151&lt;&gt;"",SUM($T151:$V151,$R151:$S151),0)</x:f>
        <x:v>0</x:v>
      </x:c>
      <x:c r="X151" s="83" t="n">
        <x:f>IF($B151&lt;&gt;"",$W151*Ayarlar!$B$15,0)</x:f>
        <x:v>0</x:v>
      </x:c>
      <x:c r="Y151" s="83" t="n">
        <x:f>IF($B151&lt;&gt;"",($W151+$X151)*Ayarlar!$B$13,0)</x:f>
        <x:v>0</x:v>
      </x:c>
      <x:c r="Z151" s="83" t="n">
        <x:f>IF($B151&lt;&gt;"",($W151+$X151+$Y151)*Ayarlar!$B$14,0)</x:f>
        <x:v>0</x:v>
      </x:c>
      <x:c r="AA151" s="83" t="str">
        <x:f>IF($B151="","",IF(OR($K151="",$N151=""),"",CEILING($W151+$X151+$Y151+$Z151,Ayarlar!$B$16)))</x:f>
      </x:c>
      <x:c r="AB151" s="83" t="str">
        <x:f>IFERROR($AA151/$H151,"")</x:f>
      </x:c>
      <x:c r="AC151" s="75" t="str">
        <x:f>IF($B151="","",IF(OR($K151="",$N151=""),"Veri Eksik","Fiyat Hazır"))</x:f>
      </x:c>
      <x:c r="AD151" s="75" t="str">
        <x:f>IF($C151&lt;&gt;"","MW-"&amp;$C151,"")</x:f>
        <x:v>MW-80</x:v>
      </x:c>
      <x:c r="AE151" s="75" t="str">
        <x:f>IF($G151&lt;&gt;"","3D Baskı / "&amp;$G151,"3D Baskı")</x:f>
        <x:v>3D Baskı</x:v>
      </x:c>
      <x:c r="AF151" s="75" t="str">
        <x:f>IF($D151&lt;&gt;"",$D151&amp;" - "&amp;$G151,$AD151&amp;" - "&amp;$G151)</x:f>
        <x:v>MW-80 - </x:v>
      </x:c>
      <x:c r="AG151" s="75" t="str"/>
    </x:row>
    <x:row r="152">
      <x:c r="A152" s="75" t="str">
        <x:f>IF($B152&lt;&gt;"",ROW()-4,"")</x:f>
      </x:c>
      <x:c r="B152" s="75" t="str"/>
      <x:c r="C152" s="75" t="n">
        <x:f>IFERROR(LET(x,MID($B152,FIND("/models/",$B152)+8,80),y,LEFT(x,FIND("-",x&amp;"-")-1),LEFT(y,FIND("?",y&amp;"?")-1)),"")</x:f>
        <x:v>80</x:v>
      </x:c>
      <x:c r="D152" s="75" t="str">
        <x:f>IF($B152="","",IFERROR(XLOOKUP($C152,MakerWorld_Verileri!$A:$A,MakerWorld_Verileri!$B:$B,""),""))</x:f>
      </x:c>
      <x:c r="E152" s="75" t="str">
        <x:f>IF($B152="","",IFERROR(XLOOKUP($C152,MakerWorld_Verileri!$A:$A,MakerWorld_Verileri!$C:$C,""),""))</x:f>
      </x:c>
      <x:c r="F152" s="75" t="str"/>
      <x:c r="G152" s="75" t="str">
        <x:f>IF($B152&lt;&gt;"",Ayarlar!$B$7,"")</x:f>
      </x:c>
      <x:c r="H152" s="82" t="str">
        <x:f>IF($B152&lt;&gt;"",1,"")</x:f>
      </x:c>
      <x:c r="I152" s="82" t="str">
        <x:f>IF($B152="","",IFERROR(XLOOKUP($C152,MakerWorld_Verileri!$A:$A,MakerWorld_Verileri!$D:$D,""),""))</x:f>
      </x:c>
      <x:c r="J152" s="82" t="str"/>
      <x:c r="K152" s="82" t="str">
        <x:f>IF($I152&lt;&gt;"",$I152,$J152)</x:f>
      </x:c>
      <x:c r="L152" s="82" t="str">
        <x:f>IF($B152="","",IFERROR(XLOOKUP($C152,MakerWorld_Verileri!$A:$A,MakerWorld_Verileri!$E:$E,""),""))</x:f>
      </x:c>
      <x:c r="M152" s="82" t="str"/>
      <x:c r="N152" s="82" t="str">
        <x:f>IF($L152&lt;&gt;"",$L152,$M152)</x:f>
      </x:c>
      <x:c r="O152" s="82" t="str">
        <x:f>IF($B152&lt;&gt;"",0,"")</x:f>
      </x:c>
      <x:c r="P152" s="75" t="str">
        <x:f>IF($B152&lt;&gt;"","Orta","")</x:f>
      </x:c>
      <x:c r="Q152" s="82" t="str">
        <x:f>IF($B152&lt;&gt;"",10,"")</x:f>
      </x:c>
      <x:c r="R152" s="83" t="str">
        <x:f>IF($B152&lt;&gt;"",Ayarlar!$B$10,"")</x:f>
      </x:c>
      <x:c r="S152" s="83" t="str">
        <x:f>IF($B152&lt;&gt;"",0,"")</x:f>
      </x:c>
      <x:c r="T152" s="83" t="n">
        <x:f>IFERROR(($K152+$O152)*XLOOKUP($G152,Ayarlar!$A$19:$A$28,Ayarlar!$C$19:$C$28,0)*(1+Ayarlar!$B$11),0)</x:f>
        <x:v>0</x:v>
      </x:c>
      <x:c r="U152" s="83" t="n">
        <x:f>IFERROR($N152/60*Ayarlar!$B$8,0)</x:f>
        <x:v>0</x:v>
      </x:c>
      <x:c r="V152" s="83" t="n">
        <x:f>IF($B152&lt;&gt;"",Ayarlar!$B$12+($Q152/60*Ayarlar!$B$9),0)</x:f>
        <x:v>0</x:v>
      </x:c>
      <x:c r="W152" s="83" t="n">
        <x:f>IF($B152&lt;&gt;"",SUM($T152:$V152,$R152:$S152),0)</x:f>
        <x:v>0</x:v>
      </x:c>
      <x:c r="X152" s="83" t="n">
        <x:f>IF($B152&lt;&gt;"",$W152*Ayarlar!$B$15,0)</x:f>
        <x:v>0</x:v>
      </x:c>
      <x:c r="Y152" s="83" t="n">
        <x:f>IF($B152&lt;&gt;"",($W152+$X152)*Ayarlar!$B$13,0)</x:f>
        <x:v>0</x:v>
      </x:c>
      <x:c r="Z152" s="83" t="n">
        <x:f>IF($B152&lt;&gt;"",($W152+$X152+$Y152)*Ayarlar!$B$14,0)</x:f>
        <x:v>0</x:v>
      </x:c>
      <x:c r="AA152" s="83" t="str">
        <x:f>IF($B152="","",IF(OR($K152="",$N152=""),"",CEILING($W152+$X152+$Y152+$Z152,Ayarlar!$B$16)))</x:f>
      </x:c>
      <x:c r="AB152" s="83" t="str">
        <x:f>IFERROR($AA152/$H152,"")</x:f>
      </x:c>
      <x:c r="AC152" s="75" t="str">
        <x:f>IF($B152="","",IF(OR($K152="",$N152=""),"Veri Eksik","Fiyat Hazır"))</x:f>
      </x:c>
      <x:c r="AD152" s="75" t="str">
        <x:f>IF($C152&lt;&gt;"","MW-"&amp;$C152,"")</x:f>
        <x:v>MW-80</x:v>
      </x:c>
      <x:c r="AE152" s="75" t="str">
        <x:f>IF($G152&lt;&gt;"","3D Baskı / "&amp;$G152,"3D Baskı")</x:f>
        <x:v>3D Baskı</x:v>
      </x:c>
      <x:c r="AF152" s="75" t="str">
        <x:f>IF($D152&lt;&gt;"",$D152&amp;" - "&amp;$G152,$AD152&amp;" - "&amp;$G152)</x:f>
        <x:v>MW-80 - </x:v>
      </x:c>
      <x:c r="AG152" s="75" t="str"/>
    </x:row>
    <x:row r="153">
      <x:c r="A153" s="75" t="str">
        <x:f>IF($B153&lt;&gt;"",ROW()-4,"")</x:f>
      </x:c>
      <x:c r="B153" s="75" t="str"/>
      <x:c r="C153" s="75" t="n">
        <x:f>IFERROR(LET(x,MID($B153,FIND("/models/",$B153)+8,80),y,LEFT(x,FIND("-",x&amp;"-")-1),LEFT(y,FIND("?",y&amp;"?")-1)),"")</x:f>
        <x:v>80</x:v>
      </x:c>
      <x:c r="D153" s="75" t="str">
        <x:f>IF($B153="","",IFERROR(XLOOKUP($C153,MakerWorld_Verileri!$A:$A,MakerWorld_Verileri!$B:$B,""),""))</x:f>
      </x:c>
      <x:c r="E153" s="75" t="str">
        <x:f>IF($B153="","",IFERROR(XLOOKUP($C153,MakerWorld_Verileri!$A:$A,MakerWorld_Verileri!$C:$C,""),""))</x:f>
      </x:c>
      <x:c r="F153" s="75" t="str"/>
      <x:c r="G153" s="75" t="str">
        <x:f>IF($B153&lt;&gt;"",Ayarlar!$B$7,"")</x:f>
      </x:c>
      <x:c r="H153" s="82" t="str">
        <x:f>IF($B153&lt;&gt;"",1,"")</x:f>
      </x:c>
      <x:c r="I153" s="82" t="str">
        <x:f>IF($B153="","",IFERROR(XLOOKUP($C153,MakerWorld_Verileri!$A:$A,MakerWorld_Verileri!$D:$D,""),""))</x:f>
      </x:c>
      <x:c r="J153" s="82" t="str"/>
      <x:c r="K153" s="82" t="str">
        <x:f>IF($I153&lt;&gt;"",$I153,$J153)</x:f>
      </x:c>
      <x:c r="L153" s="82" t="str">
        <x:f>IF($B153="","",IFERROR(XLOOKUP($C153,MakerWorld_Verileri!$A:$A,MakerWorld_Verileri!$E:$E,""),""))</x:f>
      </x:c>
      <x:c r="M153" s="82" t="str"/>
      <x:c r="N153" s="82" t="str">
        <x:f>IF($L153&lt;&gt;"",$L153,$M153)</x:f>
      </x:c>
      <x:c r="O153" s="82" t="str">
        <x:f>IF($B153&lt;&gt;"",0,"")</x:f>
      </x:c>
      <x:c r="P153" s="75" t="str">
        <x:f>IF($B153&lt;&gt;"","Orta","")</x:f>
      </x:c>
      <x:c r="Q153" s="82" t="str">
        <x:f>IF($B153&lt;&gt;"",10,"")</x:f>
      </x:c>
      <x:c r="R153" s="83" t="str">
        <x:f>IF($B153&lt;&gt;"",Ayarlar!$B$10,"")</x:f>
      </x:c>
      <x:c r="S153" s="83" t="str">
        <x:f>IF($B153&lt;&gt;"",0,"")</x:f>
      </x:c>
      <x:c r="T153" s="83" t="n">
        <x:f>IFERROR(($K153+$O153)*XLOOKUP($G153,Ayarlar!$A$19:$A$28,Ayarlar!$C$19:$C$28,0)*(1+Ayarlar!$B$11),0)</x:f>
        <x:v>0</x:v>
      </x:c>
      <x:c r="U153" s="83" t="n">
        <x:f>IFERROR($N153/60*Ayarlar!$B$8,0)</x:f>
        <x:v>0</x:v>
      </x:c>
      <x:c r="V153" s="83" t="n">
        <x:f>IF($B153&lt;&gt;"",Ayarlar!$B$12+($Q153/60*Ayarlar!$B$9),0)</x:f>
        <x:v>0</x:v>
      </x:c>
      <x:c r="W153" s="83" t="n">
        <x:f>IF($B153&lt;&gt;"",SUM($T153:$V153,$R153:$S153),0)</x:f>
        <x:v>0</x:v>
      </x:c>
      <x:c r="X153" s="83" t="n">
        <x:f>IF($B153&lt;&gt;"",$W153*Ayarlar!$B$15,0)</x:f>
        <x:v>0</x:v>
      </x:c>
      <x:c r="Y153" s="83" t="n">
        <x:f>IF($B153&lt;&gt;"",($W153+$X153)*Ayarlar!$B$13,0)</x:f>
        <x:v>0</x:v>
      </x:c>
      <x:c r="Z153" s="83" t="n">
        <x:f>IF($B153&lt;&gt;"",($W153+$X153+$Y153)*Ayarlar!$B$14,0)</x:f>
        <x:v>0</x:v>
      </x:c>
      <x:c r="AA153" s="83" t="str">
        <x:f>IF($B153="","",IF(OR($K153="",$N153=""),"",CEILING($W153+$X153+$Y153+$Z153,Ayarlar!$B$16)))</x:f>
      </x:c>
      <x:c r="AB153" s="83" t="str">
        <x:f>IFERROR($AA153/$H153,"")</x:f>
      </x:c>
      <x:c r="AC153" s="75" t="str">
        <x:f>IF($B153="","",IF(OR($K153="",$N153=""),"Veri Eksik","Fiyat Hazır"))</x:f>
      </x:c>
      <x:c r="AD153" s="75" t="str">
        <x:f>IF($C153&lt;&gt;"","MW-"&amp;$C153,"")</x:f>
        <x:v>MW-80</x:v>
      </x:c>
      <x:c r="AE153" s="75" t="str">
        <x:f>IF($G153&lt;&gt;"","3D Baskı / "&amp;$G153,"3D Baskı")</x:f>
        <x:v>3D Baskı</x:v>
      </x:c>
      <x:c r="AF153" s="75" t="str">
        <x:f>IF($D153&lt;&gt;"",$D153&amp;" - "&amp;$G153,$AD153&amp;" - "&amp;$G153)</x:f>
        <x:v>MW-80 - </x:v>
      </x:c>
      <x:c r="AG153" s="75" t="str"/>
    </x:row>
    <x:row r="154">
      <x:c r="A154" s="75" t="str">
        <x:f>IF($B154&lt;&gt;"",ROW()-4,"")</x:f>
      </x:c>
      <x:c r="B154" s="75" t="str"/>
      <x:c r="C154" s="75" t="n">
        <x:f>IFERROR(LET(x,MID($B154,FIND("/models/",$B154)+8,80),y,LEFT(x,FIND("-",x&amp;"-")-1),LEFT(y,FIND("?",y&amp;"?")-1)),"")</x:f>
        <x:v>80</x:v>
      </x:c>
      <x:c r="D154" s="75" t="str">
        <x:f>IF($B154="","",IFERROR(XLOOKUP($C154,MakerWorld_Verileri!$A:$A,MakerWorld_Verileri!$B:$B,""),""))</x:f>
      </x:c>
      <x:c r="E154" s="75" t="str">
        <x:f>IF($B154="","",IFERROR(XLOOKUP($C154,MakerWorld_Verileri!$A:$A,MakerWorld_Verileri!$C:$C,""),""))</x:f>
      </x:c>
      <x:c r="F154" s="75" t="str"/>
      <x:c r="G154" s="75" t="str">
        <x:f>IF($B154&lt;&gt;"",Ayarlar!$B$7,"")</x:f>
      </x:c>
      <x:c r="H154" s="82" t="str">
        <x:f>IF($B154&lt;&gt;"",1,"")</x:f>
      </x:c>
      <x:c r="I154" s="82" t="str">
        <x:f>IF($B154="","",IFERROR(XLOOKUP($C154,MakerWorld_Verileri!$A:$A,MakerWorld_Verileri!$D:$D,""),""))</x:f>
      </x:c>
      <x:c r="J154" s="82" t="str"/>
      <x:c r="K154" s="82" t="str">
        <x:f>IF($I154&lt;&gt;"",$I154,$J154)</x:f>
      </x:c>
      <x:c r="L154" s="82" t="str">
        <x:f>IF($B154="","",IFERROR(XLOOKUP($C154,MakerWorld_Verileri!$A:$A,MakerWorld_Verileri!$E:$E,""),""))</x:f>
      </x:c>
      <x:c r="M154" s="82" t="str"/>
      <x:c r="N154" s="82" t="str">
        <x:f>IF($L154&lt;&gt;"",$L154,$M154)</x:f>
      </x:c>
      <x:c r="O154" s="82" t="str">
        <x:f>IF($B154&lt;&gt;"",0,"")</x:f>
      </x:c>
      <x:c r="P154" s="75" t="str">
        <x:f>IF($B154&lt;&gt;"","Orta","")</x:f>
      </x:c>
      <x:c r="Q154" s="82" t="str">
        <x:f>IF($B154&lt;&gt;"",10,"")</x:f>
      </x:c>
      <x:c r="R154" s="83" t="str">
        <x:f>IF($B154&lt;&gt;"",Ayarlar!$B$10,"")</x:f>
      </x:c>
      <x:c r="S154" s="83" t="str">
        <x:f>IF($B154&lt;&gt;"",0,"")</x:f>
      </x:c>
      <x:c r="T154" s="83" t="n">
        <x:f>IFERROR(($K154+$O154)*XLOOKUP($G154,Ayarlar!$A$19:$A$28,Ayarlar!$C$19:$C$28,0)*(1+Ayarlar!$B$11),0)</x:f>
        <x:v>0</x:v>
      </x:c>
      <x:c r="U154" s="83" t="n">
        <x:f>IFERROR($N154/60*Ayarlar!$B$8,0)</x:f>
        <x:v>0</x:v>
      </x:c>
      <x:c r="V154" s="83" t="n">
        <x:f>IF($B154&lt;&gt;"",Ayarlar!$B$12+($Q154/60*Ayarlar!$B$9),0)</x:f>
        <x:v>0</x:v>
      </x:c>
      <x:c r="W154" s="83" t="n">
        <x:f>IF($B154&lt;&gt;"",SUM($T154:$V154,$R154:$S154),0)</x:f>
        <x:v>0</x:v>
      </x:c>
      <x:c r="X154" s="83" t="n">
        <x:f>IF($B154&lt;&gt;"",$W154*Ayarlar!$B$15,0)</x:f>
        <x:v>0</x:v>
      </x:c>
      <x:c r="Y154" s="83" t="n">
        <x:f>IF($B154&lt;&gt;"",($W154+$X154)*Ayarlar!$B$13,0)</x:f>
        <x:v>0</x:v>
      </x:c>
      <x:c r="Z154" s="83" t="n">
        <x:f>IF($B154&lt;&gt;"",($W154+$X154+$Y154)*Ayarlar!$B$14,0)</x:f>
        <x:v>0</x:v>
      </x:c>
      <x:c r="AA154" s="83" t="str">
        <x:f>IF($B154="","",IF(OR($K154="",$N154=""),"",CEILING($W154+$X154+$Y154+$Z154,Ayarlar!$B$16)))</x:f>
      </x:c>
      <x:c r="AB154" s="83" t="str">
        <x:f>IFERROR($AA154/$H154,"")</x:f>
      </x:c>
      <x:c r="AC154" s="75" t="str">
        <x:f>IF($B154="","",IF(OR($K154="",$N154=""),"Veri Eksik","Fiyat Hazır"))</x:f>
      </x:c>
      <x:c r="AD154" s="75" t="str">
        <x:f>IF($C154&lt;&gt;"","MW-"&amp;$C154,"")</x:f>
        <x:v>MW-80</x:v>
      </x:c>
      <x:c r="AE154" s="75" t="str">
        <x:f>IF($G154&lt;&gt;"","3D Baskı / "&amp;$G154,"3D Baskı")</x:f>
        <x:v>3D Baskı</x:v>
      </x:c>
      <x:c r="AF154" s="75" t="str">
        <x:f>IF($D154&lt;&gt;"",$D154&amp;" - "&amp;$G154,$AD154&amp;" - "&amp;$G154)</x:f>
        <x:v>MW-80 - </x:v>
      </x:c>
      <x:c r="AG154" s="75" t="str"/>
    </x:row>
    <x:row r="155">
      <x:c r="A155" s="75" t="str">
        <x:f>IF($B155&lt;&gt;"",ROW()-4,"")</x:f>
      </x:c>
      <x:c r="B155" s="75" t="str"/>
      <x:c r="C155" s="75" t="n">
        <x:f>IFERROR(LET(x,MID($B155,FIND("/models/",$B155)+8,80),y,LEFT(x,FIND("-",x&amp;"-")-1),LEFT(y,FIND("?",y&amp;"?")-1)),"")</x:f>
        <x:v>80</x:v>
      </x:c>
      <x:c r="D155" s="75" t="str">
        <x:f>IF($B155="","",IFERROR(XLOOKUP($C155,MakerWorld_Verileri!$A:$A,MakerWorld_Verileri!$B:$B,""),""))</x:f>
      </x:c>
      <x:c r="E155" s="75" t="str">
        <x:f>IF($B155="","",IFERROR(XLOOKUP($C155,MakerWorld_Verileri!$A:$A,MakerWorld_Verileri!$C:$C,""),""))</x:f>
      </x:c>
      <x:c r="F155" s="75" t="str"/>
      <x:c r="G155" s="75" t="str">
        <x:f>IF($B155&lt;&gt;"",Ayarlar!$B$7,"")</x:f>
      </x:c>
      <x:c r="H155" s="82" t="str">
        <x:f>IF($B155&lt;&gt;"",1,"")</x:f>
      </x:c>
      <x:c r="I155" s="82" t="str">
        <x:f>IF($B155="","",IFERROR(XLOOKUP($C155,MakerWorld_Verileri!$A:$A,MakerWorld_Verileri!$D:$D,""),""))</x:f>
      </x:c>
      <x:c r="J155" s="82" t="str"/>
      <x:c r="K155" s="82" t="str">
        <x:f>IF($I155&lt;&gt;"",$I155,$J155)</x:f>
      </x:c>
      <x:c r="L155" s="82" t="str">
        <x:f>IF($B155="","",IFERROR(XLOOKUP($C155,MakerWorld_Verileri!$A:$A,MakerWorld_Verileri!$E:$E,""),""))</x:f>
      </x:c>
      <x:c r="M155" s="82" t="str"/>
      <x:c r="N155" s="82" t="str">
        <x:f>IF($L155&lt;&gt;"",$L155,$M155)</x:f>
      </x:c>
      <x:c r="O155" s="82" t="str">
        <x:f>IF($B155&lt;&gt;"",0,"")</x:f>
      </x:c>
      <x:c r="P155" s="75" t="str">
        <x:f>IF($B155&lt;&gt;"","Orta","")</x:f>
      </x:c>
      <x:c r="Q155" s="82" t="str">
        <x:f>IF($B155&lt;&gt;"",10,"")</x:f>
      </x:c>
      <x:c r="R155" s="83" t="str">
        <x:f>IF($B155&lt;&gt;"",Ayarlar!$B$10,"")</x:f>
      </x:c>
      <x:c r="S155" s="83" t="str">
        <x:f>IF($B155&lt;&gt;"",0,"")</x:f>
      </x:c>
      <x:c r="T155" s="83" t="n">
        <x:f>IFERROR(($K155+$O155)*XLOOKUP($G155,Ayarlar!$A$19:$A$28,Ayarlar!$C$19:$C$28,0)*(1+Ayarlar!$B$11),0)</x:f>
        <x:v>0</x:v>
      </x:c>
      <x:c r="U155" s="83" t="n">
        <x:f>IFERROR($N155/60*Ayarlar!$B$8,0)</x:f>
        <x:v>0</x:v>
      </x:c>
      <x:c r="V155" s="83" t="n">
        <x:f>IF($B155&lt;&gt;"",Ayarlar!$B$12+($Q155/60*Ayarlar!$B$9),0)</x:f>
        <x:v>0</x:v>
      </x:c>
      <x:c r="W155" s="83" t="n">
        <x:f>IF($B155&lt;&gt;"",SUM($T155:$V155,$R155:$S155),0)</x:f>
        <x:v>0</x:v>
      </x:c>
      <x:c r="X155" s="83" t="n">
        <x:f>IF($B155&lt;&gt;"",$W155*Ayarlar!$B$15,0)</x:f>
        <x:v>0</x:v>
      </x:c>
      <x:c r="Y155" s="83" t="n">
        <x:f>IF($B155&lt;&gt;"",($W155+$X155)*Ayarlar!$B$13,0)</x:f>
        <x:v>0</x:v>
      </x:c>
      <x:c r="Z155" s="83" t="n">
        <x:f>IF($B155&lt;&gt;"",($W155+$X155+$Y155)*Ayarlar!$B$14,0)</x:f>
        <x:v>0</x:v>
      </x:c>
      <x:c r="AA155" s="83" t="str">
        <x:f>IF($B155="","",IF(OR($K155="",$N155=""),"",CEILING($W155+$X155+$Y155+$Z155,Ayarlar!$B$16)))</x:f>
      </x:c>
      <x:c r="AB155" s="83" t="str">
        <x:f>IFERROR($AA155/$H155,"")</x:f>
      </x:c>
      <x:c r="AC155" s="75" t="str">
        <x:f>IF($B155="","",IF(OR($K155="",$N155=""),"Veri Eksik","Fiyat Hazır"))</x:f>
      </x:c>
      <x:c r="AD155" s="75" t="str">
        <x:f>IF($C155&lt;&gt;"","MW-"&amp;$C155,"")</x:f>
        <x:v>MW-80</x:v>
      </x:c>
      <x:c r="AE155" s="75" t="str">
        <x:f>IF($G155&lt;&gt;"","3D Baskı / "&amp;$G155,"3D Baskı")</x:f>
        <x:v>3D Baskı</x:v>
      </x:c>
      <x:c r="AF155" s="75" t="str">
        <x:f>IF($D155&lt;&gt;"",$D155&amp;" - "&amp;$G155,$AD155&amp;" - "&amp;$G155)</x:f>
        <x:v>MW-80 - </x:v>
      </x:c>
      <x:c r="AG155" s="75" t="str"/>
    </x:row>
    <x:row r="156">
      <x:c r="A156" s="75" t="str">
        <x:f>IF($B156&lt;&gt;"",ROW()-4,"")</x:f>
      </x:c>
      <x:c r="B156" s="75" t="str"/>
      <x:c r="C156" s="75" t="n">
        <x:f>IFERROR(LET(x,MID($B156,FIND("/models/",$B156)+8,80),y,LEFT(x,FIND("-",x&amp;"-")-1),LEFT(y,FIND("?",y&amp;"?")-1)),"")</x:f>
        <x:v>80</x:v>
      </x:c>
      <x:c r="D156" s="75" t="str">
        <x:f>IF($B156="","",IFERROR(XLOOKUP($C156,MakerWorld_Verileri!$A:$A,MakerWorld_Verileri!$B:$B,""),""))</x:f>
      </x:c>
      <x:c r="E156" s="75" t="str">
        <x:f>IF($B156="","",IFERROR(XLOOKUP($C156,MakerWorld_Verileri!$A:$A,MakerWorld_Verileri!$C:$C,""),""))</x:f>
      </x:c>
      <x:c r="F156" s="75" t="str"/>
      <x:c r="G156" s="75" t="str">
        <x:f>IF($B156&lt;&gt;"",Ayarlar!$B$7,"")</x:f>
      </x:c>
      <x:c r="H156" s="82" t="str">
        <x:f>IF($B156&lt;&gt;"",1,"")</x:f>
      </x:c>
      <x:c r="I156" s="82" t="str">
        <x:f>IF($B156="","",IFERROR(XLOOKUP($C156,MakerWorld_Verileri!$A:$A,MakerWorld_Verileri!$D:$D,""),""))</x:f>
      </x:c>
      <x:c r="J156" s="82" t="str"/>
      <x:c r="K156" s="82" t="str">
        <x:f>IF($I156&lt;&gt;"",$I156,$J156)</x:f>
      </x:c>
      <x:c r="L156" s="82" t="str">
        <x:f>IF($B156="","",IFERROR(XLOOKUP($C156,MakerWorld_Verileri!$A:$A,MakerWorld_Verileri!$E:$E,""),""))</x:f>
      </x:c>
      <x:c r="M156" s="82" t="str"/>
      <x:c r="N156" s="82" t="str">
        <x:f>IF($L156&lt;&gt;"",$L156,$M156)</x:f>
      </x:c>
      <x:c r="O156" s="82" t="str">
        <x:f>IF($B156&lt;&gt;"",0,"")</x:f>
      </x:c>
      <x:c r="P156" s="75" t="str">
        <x:f>IF($B156&lt;&gt;"","Orta","")</x:f>
      </x:c>
      <x:c r="Q156" s="82" t="str">
        <x:f>IF($B156&lt;&gt;"",10,"")</x:f>
      </x:c>
      <x:c r="R156" s="83" t="str">
        <x:f>IF($B156&lt;&gt;"",Ayarlar!$B$10,"")</x:f>
      </x:c>
      <x:c r="S156" s="83" t="str">
        <x:f>IF($B156&lt;&gt;"",0,"")</x:f>
      </x:c>
      <x:c r="T156" s="83" t="n">
        <x:f>IFERROR(($K156+$O156)*XLOOKUP($G156,Ayarlar!$A$19:$A$28,Ayarlar!$C$19:$C$28,0)*(1+Ayarlar!$B$11),0)</x:f>
        <x:v>0</x:v>
      </x:c>
      <x:c r="U156" s="83" t="n">
        <x:f>IFERROR($N156/60*Ayarlar!$B$8,0)</x:f>
        <x:v>0</x:v>
      </x:c>
      <x:c r="V156" s="83" t="n">
        <x:f>IF($B156&lt;&gt;"",Ayarlar!$B$12+($Q156/60*Ayarlar!$B$9),0)</x:f>
        <x:v>0</x:v>
      </x:c>
      <x:c r="W156" s="83" t="n">
        <x:f>IF($B156&lt;&gt;"",SUM($T156:$V156,$R156:$S156),0)</x:f>
        <x:v>0</x:v>
      </x:c>
      <x:c r="X156" s="83" t="n">
        <x:f>IF($B156&lt;&gt;"",$W156*Ayarlar!$B$15,0)</x:f>
        <x:v>0</x:v>
      </x:c>
      <x:c r="Y156" s="83" t="n">
        <x:f>IF($B156&lt;&gt;"",($W156+$X156)*Ayarlar!$B$13,0)</x:f>
        <x:v>0</x:v>
      </x:c>
      <x:c r="Z156" s="83" t="n">
        <x:f>IF($B156&lt;&gt;"",($W156+$X156+$Y156)*Ayarlar!$B$14,0)</x:f>
        <x:v>0</x:v>
      </x:c>
      <x:c r="AA156" s="83" t="str">
        <x:f>IF($B156="","",IF(OR($K156="",$N156=""),"",CEILING($W156+$X156+$Y156+$Z156,Ayarlar!$B$16)))</x:f>
      </x:c>
      <x:c r="AB156" s="83" t="str">
        <x:f>IFERROR($AA156/$H156,"")</x:f>
      </x:c>
      <x:c r="AC156" s="75" t="str">
        <x:f>IF($B156="","",IF(OR($K156="",$N156=""),"Veri Eksik","Fiyat Hazır"))</x:f>
      </x:c>
      <x:c r="AD156" s="75" t="str">
        <x:f>IF($C156&lt;&gt;"","MW-"&amp;$C156,"")</x:f>
        <x:v>MW-80</x:v>
      </x:c>
      <x:c r="AE156" s="75" t="str">
        <x:f>IF($G156&lt;&gt;"","3D Baskı / "&amp;$G156,"3D Baskı")</x:f>
        <x:v>3D Baskı</x:v>
      </x:c>
      <x:c r="AF156" s="75" t="str">
        <x:f>IF($D156&lt;&gt;"",$D156&amp;" - "&amp;$G156,$AD156&amp;" - "&amp;$G156)</x:f>
        <x:v>MW-80 - </x:v>
      </x:c>
      <x:c r="AG156" s="75" t="str"/>
    </x:row>
    <x:row r="157">
      <x:c r="A157" s="75" t="str">
        <x:f>IF($B157&lt;&gt;"",ROW()-4,"")</x:f>
      </x:c>
      <x:c r="B157" s="75" t="str"/>
      <x:c r="C157" s="75" t="n">
        <x:f>IFERROR(LET(x,MID($B157,FIND("/models/",$B157)+8,80),y,LEFT(x,FIND("-",x&amp;"-")-1),LEFT(y,FIND("?",y&amp;"?")-1)),"")</x:f>
        <x:v>80</x:v>
      </x:c>
      <x:c r="D157" s="75" t="str">
        <x:f>IF($B157="","",IFERROR(XLOOKUP($C157,MakerWorld_Verileri!$A:$A,MakerWorld_Verileri!$B:$B,""),""))</x:f>
      </x:c>
      <x:c r="E157" s="75" t="str">
        <x:f>IF($B157="","",IFERROR(XLOOKUP($C157,MakerWorld_Verileri!$A:$A,MakerWorld_Verileri!$C:$C,""),""))</x:f>
      </x:c>
      <x:c r="F157" s="75" t="str"/>
      <x:c r="G157" s="75" t="str">
        <x:f>IF($B157&lt;&gt;"",Ayarlar!$B$7,"")</x:f>
      </x:c>
      <x:c r="H157" s="82" t="str">
        <x:f>IF($B157&lt;&gt;"",1,"")</x:f>
      </x:c>
      <x:c r="I157" s="82" t="str">
        <x:f>IF($B157="","",IFERROR(XLOOKUP($C157,MakerWorld_Verileri!$A:$A,MakerWorld_Verileri!$D:$D,""),""))</x:f>
      </x:c>
      <x:c r="J157" s="82" t="str"/>
      <x:c r="K157" s="82" t="str">
        <x:f>IF($I157&lt;&gt;"",$I157,$J157)</x:f>
      </x:c>
      <x:c r="L157" s="82" t="str">
        <x:f>IF($B157="","",IFERROR(XLOOKUP($C157,MakerWorld_Verileri!$A:$A,MakerWorld_Verileri!$E:$E,""),""))</x:f>
      </x:c>
      <x:c r="M157" s="82" t="str"/>
      <x:c r="N157" s="82" t="str">
        <x:f>IF($L157&lt;&gt;"",$L157,$M157)</x:f>
      </x:c>
      <x:c r="O157" s="82" t="str">
        <x:f>IF($B157&lt;&gt;"",0,"")</x:f>
      </x:c>
      <x:c r="P157" s="75" t="str">
        <x:f>IF($B157&lt;&gt;"","Orta","")</x:f>
      </x:c>
      <x:c r="Q157" s="82" t="str">
        <x:f>IF($B157&lt;&gt;"",10,"")</x:f>
      </x:c>
      <x:c r="R157" s="83" t="str">
        <x:f>IF($B157&lt;&gt;"",Ayarlar!$B$10,"")</x:f>
      </x:c>
      <x:c r="S157" s="83" t="str">
        <x:f>IF($B157&lt;&gt;"",0,"")</x:f>
      </x:c>
      <x:c r="T157" s="83" t="n">
        <x:f>IFERROR(($K157+$O157)*XLOOKUP($G157,Ayarlar!$A$19:$A$28,Ayarlar!$C$19:$C$28,0)*(1+Ayarlar!$B$11),0)</x:f>
        <x:v>0</x:v>
      </x:c>
      <x:c r="U157" s="83" t="n">
        <x:f>IFERROR($N157/60*Ayarlar!$B$8,0)</x:f>
        <x:v>0</x:v>
      </x:c>
      <x:c r="V157" s="83" t="n">
        <x:f>IF($B157&lt;&gt;"",Ayarlar!$B$12+($Q157/60*Ayarlar!$B$9),0)</x:f>
        <x:v>0</x:v>
      </x:c>
      <x:c r="W157" s="83" t="n">
        <x:f>IF($B157&lt;&gt;"",SUM($T157:$V157,$R157:$S157),0)</x:f>
        <x:v>0</x:v>
      </x:c>
      <x:c r="X157" s="83" t="n">
        <x:f>IF($B157&lt;&gt;"",$W157*Ayarlar!$B$15,0)</x:f>
        <x:v>0</x:v>
      </x:c>
      <x:c r="Y157" s="83" t="n">
        <x:f>IF($B157&lt;&gt;"",($W157+$X157)*Ayarlar!$B$13,0)</x:f>
        <x:v>0</x:v>
      </x:c>
      <x:c r="Z157" s="83" t="n">
        <x:f>IF($B157&lt;&gt;"",($W157+$X157+$Y157)*Ayarlar!$B$14,0)</x:f>
        <x:v>0</x:v>
      </x:c>
      <x:c r="AA157" s="83" t="str">
        <x:f>IF($B157="","",IF(OR($K157="",$N157=""),"",CEILING($W157+$X157+$Y157+$Z157,Ayarlar!$B$16)))</x:f>
      </x:c>
      <x:c r="AB157" s="83" t="str">
        <x:f>IFERROR($AA157/$H157,"")</x:f>
      </x:c>
      <x:c r="AC157" s="75" t="str">
        <x:f>IF($B157="","",IF(OR($K157="",$N157=""),"Veri Eksik","Fiyat Hazır"))</x:f>
      </x:c>
      <x:c r="AD157" s="75" t="str">
        <x:f>IF($C157&lt;&gt;"","MW-"&amp;$C157,"")</x:f>
        <x:v>MW-80</x:v>
      </x:c>
      <x:c r="AE157" s="75" t="str">
        <x:f>IF($G157&lt;&gt;"","3D Baskı / "&amp;$G157,"3D Baskı")</x:f>
        <x:v>3D Baskı</x:v>
      </x:c>
      <x:c r="AF157" s="75" t="str">
        <x:f>IF($D157&lt;&gt;"",$D157&amp;" - "&amp;$G157,$AD157&amp;" - "&amp;$G157)</x:f>
        <x:v>MW-80 - </x:v>
      </x:c>
      <x:c r="AG157" s="75" t="str"/>
    </x:row>
    <x:row r="158">
      <x:c r="A158" s="75" t="str">
        <x:f>IF($B158&lt;&gt;"",ROW()-4,"")</x:f>
      </x:c>
      <x:c r="B158" s="75" t="str"/>
      <x:c r="C158" s="75" t="n">
        <x:f>IFERROR(LET(x,MID($B158,FIND("/models/",$B158)+8,80),y,LEFT(x,FIND("-",x&amp;"-")-1),LEFT(y,FIND("?",y&amp;"?")-1)),"")</x:f>
        <x:v>80</x:v>
      </x:c>
      <x:c r="D158" s="75" t="str">
        <x:f>IF($B158="","",IFERROR(XLOOKUP($C158,MakerWorld_Verileri!$A:$A,MakerWorld_Verileri!$B:$B,""),""))</x:f>
      </x:c>
      <x:c r="E158" s="75" t="str">
        <x:f>IF($B158="","",IFERROR(XLOOKUP($C158,MakerWorld_Verileri!$A:$A,MakerWorld_Verileri!$C:$C,""),""))</x:f>
      </x:c>
      <x:c r="F158" s="75" t="str"/>
      <x:c r="G158" s="75" t="str">
        <x:f>IF($B158&lt;&gt;"",Ayarlar!$B$7,"")</x:f>
      </x:c>
      <x:c r="H158" s="82" t="str">
        <x:f>IF($B158&lt;&gt;"",1,"")</x:f>
      </x:c>
      <x:c r="I158" s="82" t="str">
        <x:f>IF($B158="","",IFERROR(XLOOKUP($C158,MakerWorld_Verileri!$A:$A,MakerWorld_Verileri!$D:$D,""),""))</x:f>
      </x:c>
      <x:c r="J158" s="82" t="str"/>
      <x:c r="K158" s="82" t="str">
        <x:f>IF($I158&lt;&gt;"",$I158,$J158)</x:f>
      </x:c>
      <x:c r="L158" s="82" t="str">
        <x:f>IF($B158="","",IFERROR(XLOOKUP($C158,MakerWorld_Verileri!$A:$A,MakerWorld_Verileri!$E:$E,""),""))</x:f>
      </x:c>
      <x:c r="M158" s="82" t="str"/>
      <x:c r="N158" s="82" t="str">
        <x:f>IF($L158&lt;&gt;"",$L158,$M158)</x:f>
      </x:c>
      <x:c r="O158" s="82" t="str">
        <x:f>IF($B158&lt;&gt;"",0,"")</x:f>
      </x:c>
      <x:c r="P158" s="75" t="str">
        <x:f>IF($B158&lt;&gt;"","Orta","")</x:f>
      </x:c>
      <x:c r="Q158" s="82" t="str">
        <x:f>IF($B158&lt;&gt;"",10,"")</x:f>
      </x:c>
      <x:c r="R158" s="83" t="str">
        <x:f>IF($B158&lt;&gt;"",Ayarlar!$B$10,"")</x:f>
      </x:c>
      <x:c r="S158" s="83" t="str">
        <x:f>IF($B158&lt;&gt;"",0,"")</x:f>
      </x:c>
      <x:c r="T158" s="83" t="n">
        <x:f>IFERROR(($K158+$O158)*XLOOKUP($G158,Ayarlar!$A$19:$A$28,Ayarlar!$C$19:$C$28,0)*(1+Ayarlar!$B$11),0)</x:f>
        <x:v>0</x:v>
      </x:c>
      <x:c r="U158" s="83" t="n">
        <x:f>IFERROR($N158/60*Ayarlar!$B$8,0)</x:f>
        <x:v>0</x:v>
      </x:c>
      <x:c r="V158" s="83" t="n">
        <x:f>IF($B158&lt;&gt;"",Ayarlar!$B$12+($Q158/60*Ayarlar!$B$9),0)</x:f>
        <x:v>0</x:v>
      </x:c>
      <x:c r="W158" s="83" t="n">
        <x:f>IF($B158&lt;&gt;"",SUM($T158:$V158,$R158:$S158),0)</x:f>
        <x:v>0</x:v>
      </x:c>
      <x:c r="X158" s="83" t="n">
        <x:f>IF($B158&lt;&gt;"",$W158*Ayarlar!$B$15,0)</x:f>
        <x:v>0</x:v>
      </x:c>
      <x:c r="Y158" s="83" t="n">
        <x:f>IF($B158&lt;&gt;"",($W158+$X158)*Ayarlar!$B$13,0)</x:f>
        <x:v>0</x:v>
      </x:c>
      <x:c r="Z158" s="83" t="n">
        <x:f>IF($B158&lt;&gt;"",($W158+$X158+$Y158)*Ayarlar!$B$14,0)</x:f>
        <x:v>0</x:v>
      </x:c>
      <x:c r="AA158" s="83" t="str">
        <x:f>IF($B158="","",IF(OR($K158="",$N158=""),"",CEILING($W158+$X158+$Y158+$Z158,Ayarlar!$B$16)))</x:f>
      </x:c>
      <x:c r="AB158" s="83" t="str">
        <x:f>IFERROR($AA158/$H158,"")</x:f>
      </x:c>
      <x:c r="AC158" s="75" t="str">
        <x:f>IF($B158="","",IF(OR($K158="",$N158=""),"Veri Eksik","Fiyat Hazır"))</x:f>
      </x:c>
      <x:c r="AD158" s="75" t="str">
        <x:f>IF($C158&lt;&gt;"","MW-"&amp;$C158,"")</x:f>
        <x:v>MW-80</x:v>
      </x:c>
      <x:c r="AE158" s="75" t="str">
        <x:f>IF($G158&lt;&gt;"","3D Baskı / "&amp;$G158,"3D Baskı")</x:f>
        <x:v>3D Baskı</x:v>
      </x:c>
      <x:c r="AF158" s="75" t="str">
        <x:f>IF($D158&lt;&gt;"",$D158&amp;" - "&amp;$G158,$AD158&amp;" - "&amp;$G158)</x:f>
        <x:v>MW-80 - </x:v>
      </x:c>
      <x:c r="AG158" s="75" t="str"/>
    </x:row>
    <x:row r="159">
      <x:c r="A159" s="75" t="str">
        <x:f>IF($B159&lt;&gt;"",ROW()-4,"")</x:f>
      </x:c>
      <x:c r="B159" s="75" t="str"/>
      <x:c r="C159" s="75" t="n">
        <x:f>IFERROR(LET(x,MID($B159,FIND("/models/",$B159)+8,80),y,LEFT(x,FIND("-",x&amp;"-")-1),LEFT(y,FIND("?",y&amp;"?")-1)),"")</x:f>
        <x:v>80</x:v>
      </x:c>
      <x:c r="D159" s="75" t="str">
        <x:f>IF($B159="","",IFERROR(XLOOKUP($C159,MakerWorld_Verileri!$A:$A,MakerWorld_Verileri!$B:$B,""),""))</x:f>
      </x:c>
      <x:c r="E159" s="75" t="str">
        <x:f>IF($B159="","",IFERROR(XLOOKUP($C159,MakerWorld_Verileri!$A:$A,MakerWorld_Verileri!$C:$C,""),""))</x:f>
      </x:c>
      <x:c r="F159" s="75" t="str"/>
      <x:c r="G159" s="75" t="str">
        <x:f>IF($B159&lt;&gt;"",Ayarlar!$B$7,"")</x:f>
      </x:c>
      <x:c r="H159" s="82" t="str">
        <x:f>IF($B159&lt;&gt;"",1,"")</x:f>
      </x:c>
      <x:c r="I159" s="82" t="str">
        <x:f>IF($B159="","",IFERROR(XLOOKUP($C159,MakerWorld_Verileri!$A:$A,MakerWorld_Verileri!$D:$D,""),""))</x:f>
      </x:c>
      <x:c r="J159" s="82" t="str"/>
      <x:c r="K159" s="82" t="str">
        <x:f>IF($I159&lt;&gt;"",$I159,$J159)</x:f>
      </x:c>
      <x:c r="L159" s="82" t="str">
        <x:f>IF($B159="","",IFERROR(XLOOKUP($C159,MakerWorld_Verileri!$A:$A,MakerWorld_Verileri!$E:$E,""),""))</x:f>
      </x:c>
      <x:c r="M159" s="82" t="str"/>
      <x:c r="N159" s="82" t="str">
        <x:f>IF($L159&lt;&gt;"",$L159,$M159)</x:f>
      </x:c>
      <x:c r="O159" s="82" t="str">
        <x:f>IF($B159&lt;&gt;"",0,"")</x:f>
      </x:c>
      <x:c r="P159" s="75" t="str">
        <x:f>IF($B159&lt;&gt;"","Orta","")</x:f>
      </x:c>
      <x:c r="Q159" s="82" t="str">
        <x:f>IF($B159&lt;&gt;"",10,"")</x:f>
      </x:c>
      <x:c r="R159" s="83" t="str">
        <x:f>IF($B159&lt;&gt;"",Ayarlar!$B$10,"")</x:f>
      </x:c>
      <x:c r="S159" s="83" t="str">
        <x:f>IF($B159&lt;&gt;"",0,"")</x:f>
      </x:c>
      <x:c r="T159" s="83" t="n">
        <x:f>IFERROR(($K159+$O159)*XLOOKUP($G159,Ayarlar!$A$19:$A$28,Ayarlar!$C$19:$C$28,0)*(1+Ayarlar!$B$11),0)</x:f>
        <x:v>0</x:v>
      </x:c>
      <x:c r="U159" s="83" t="n">
        <x:f>IFERROR($N159/60*Ayarlar!$B$8,0)</x:f>
        <x:v>0</x:v>
      </x:c>
      <x:c r="V159" s="83" t="n">
        <x:f>IF($B159&lt;&gt;"",Ayarlar!$B$12+($Q159/60*Ayarlar!$B$9),0)</x:f>
        <x:v>0</x:v>
      </x:c>
      <x:c r="W159" s="83" t="n">
        <x:f>IF($B159&lt;&gt;"",SUM($T159:$V159,$R159:$S159),0)</x:f>
        <x:v>0</x:v>
      </x:c>
      <x:c r="X159" s="83" t="n">
        <x:f>IF($B159&lt;&gt;"",$W159*Ayarlar!$B$15,0)</x:f>
        <x:v>0</x:v>
      </x:c>
      <x:c r="Y159" s="83" t="n">
        <x:f>IF($B159&lt;&gt;"",($W159+$X159)*Ayarlar!$B$13,0)</x:f>
        <x:v>0</x:v>
      </x:c>
      <x:c r="Z159" s="83" t="n">
        <x:f>IF($B159&lt;&gt;"",($W159+$X159+$Y159)*Ayarlar!$B$14,0)</x:f>
        <x:v>0</x:v>
      </x:c>
      <x:c r="AA159" s="83" t="str">
        <x:f>IF($B159="","",IF(OR($K159="",$N159=""),"",CEILING($W159+$X159+$Y159+$Z159,Ayarlar!$B$16)))</x:f>
      </x:c>
      <x:c r="AB159" s="83" t="str">
        <x:f>IFERROR($AA159/$H159,"")</x:f>
      </x:c>
      <x:c r="AC159" s="75" t="str">
        <x:f>IF($B159="","",IF(OR($K159="",$N159=""),"Veri Eksik","Fiyat Hazır"))</x:f>
      </x:c>
      <x:c r="AD159" s="75" t="str">
        <x:f>IF($C159&lt;&gt;"","MW-"&amp;$C159,"")</x:f>
        <x:v>MW-80</x:v>
      </x:c>
      <x:c r="AE159" s="75" t="str">
        <x:f>IF($G159&lt;&gt;"","3D Baskı / "&amp;$G159,"3D Baskı")</x:f>
        <x:v>3D Baskı</x:v>
      </x:c>
      <x:c r="AF159" s="75" t="str">
        <x:f>IF($D159&lt;&gt;"",$D159&amp;" - "&amp;$G159,$AD159&amp;" - "&amp;$G159)</x:f>
        <x:v>MW-80 - </x:v>
      </x:c>
      <x:c r="AG159" s="75" t="str"/>
    </x:row>
    <x:row r="160">
      <x:c r="A160" s="75" t="str">
        <x:f>IF($B160&lt;&gt;"",ROW()-4,"")</x:f>
      </x:c>
      <x:c r="B160" s="75" t="str"/>
      <x:c r="C160" s="75" t="n">
        <x:f>IFERROR(LET(x,MID($B160,FIND("/models/",$B160)+8,80),y,LEFT(x,FIND("-",x&amp;"-")-1),LEFT(y,FIND("?",y&amp;"?")-1)),"")</x:f>
        <x:v>80</x:v>
      </x:c>
      <x:c r="D160" s="75" t="str">
        <x:f>IF($B160="","",IFERROR(XLOOKUP($C160,MakerWorld_Verileri!$A:$A,MakerWorld_Verileri!$B:$B,""),""))</x:f>
      </x:c>
      <x:c r="E160" s="75" t="str">
        <x:f>IF($B160="","",IFERROR(XLOOKUP($C160,MakerWorld_Verileri!$A:$A,MakerWorld_Verileri!$C:$C,""),""))</x:f>
      </x:c>
      <x:c r="F160" s="75" t="str"/>
      <x:c r="G160" s="75" t="str">
        <x:f>IF($B160&lt;&gt;"",Ayarlar!$B$7,"")</x:f>
      </x:c>
      <x:c r="H160" s="82" t="str">
        <x:f>IF($B160&lt;&gt;"",1,"")</x:f>
      </x:c>
      <x:c r="I160" s="82" t="str">
        <x:f>IF($B160="","",IFERROR(XLOOKUP($C160,MakerWorld_Verileri!$A:$A,MakerWorld_Verileri!$D:$D,""),""))</x:f>
      </x:c>
      <x:c r="J160" s="82" t="str"/>
      <x:c r="K160" s="82" t="str">
        <x:f>IF($I160&lt;&gt;"",$I160,$J160)</x:f>
      </x:c>
      <x:c r="L160" s="82" t="str">
        <x:f>IF($B160="","",IFERROR(XLOOKUP($C160,MakerWorld_Verileri!$A:$A,MakerWorld_Verileri!$E:$E,""),""))</x:f>
      </x:c>
      <x:c r="M160" s="82" t="str"/>
      <x:c r="N160" s="82" t="str">
        <x:f>IF($L160&lt;&gt;"",$L160,$M160)</x:f>
      </x:c>
      <x:c r="O160" s="82" t="str">
        <x:f>IF($B160&lt;&gt;"",0,"")</x:f>
      </x:c>
      <x:c r="P160" s="75" t="str">
        <x:f>IF($B160&lt;&gt;"","Orta","")</x:f>
      </x:c>
      <x:c r="Q160" s="82" t="str">
        <x:f>IF($B160&lt;&gt;"",10,"")</x:f>
      </x:c>
      <x:c r="R160" s="83" t="str">
        <x:f>IF($B160&lt;&gt;"",Ayarlar!$B$10,"")</x:f>
      </x:c>
      <x:c r="S160" s="83" t="str">
        <x:f>IF($B160&lt;&gt;"",0,"")</x:f>
      </x:c>
      <x:c r="T160" s="83" t="n">
        <x:f>IFERROR(($K160+$O160)*XLOOKUP($G160,Ayarlar!$A$19:$A$28,Ayarlar!$C$19:$C$28,0)*(1+Ayarlar!$B$11),0)</x:f>
        <x:v>0</x:v>
      </x:c>
      <x:c r="U160" s="83" t="n">
        <x:f>IFERROR($N160/60*Ayarlar!$B$8,0)</x:f>
        <x:v>0</x:v>
      </x:c>
      <x:c r="V160" s="83" t="n">
        <x:f>IF($B160&lt;&gt;"",Ayarlar!$B$12+($Q160/60*Ayarlar!$B$9),0)</x:f>
        <x:v>0</x:v>
      </x:c>
      <x:c r="W160" s="83" t="n">
        <x:f>IF($B160&lt;&gt;"",SUM($T160:$V160,$R160:$S160),0)</x:f>
        <x:v>0</x:v>
      </x:c>
      <x:c r="X160" s="83" t="n">
        <x:f>IF($B160&lt;&gt;"",$W160*Ayarlar!$B$15,0)</x:f>
        <x:v>0</x:v>
      </x:c>
      <x:c r="Y160" s="83" t="n">
        <x:f>IF($B160&lt;&gt;"",($W160+$X160)*Ayarlar!$B$13,0)</x:f>
        <x:v>0</x:v>
      </x:c>
      <x:c r="Z160" s="83" t="n">
        <x:f>IF($B160&lt;&gt;"",($W160+$X160+$Y160)*Ayarlar!$B$14,0)</x:f>
        <x:v>0</x:v>
      </x:c>
      <x:c r="AA160" s="83" t="str">
        <x:f>IF($B160="","",IF(OR($K160="",$N160=""),"",CEILING($W160+$X160+$Y160+$Z160,Ayarlar!$B$16)))</x:f>
      </x:c>
      <x:c r="AB160" s="83" t="str">
        <x:f>IFERROR($AA160/$H160,"")</x:f>
      </x:c>
      <x:c r="AC160" s="75" t="str">
        <x:f>IF($B160="","",IF(OR($K160="",$N160=""),"Veri Eksik","Fiyat Hazır"))</x:f>
      </x:c>
      <x:c r="AD160" s="75" t="str">
        <x:f>IF($C160&lt;&gt;"","MW-"&amp;$C160,"")</x:f>
        <x:v>MW-80</x:v>
      </x:c>
      <x:c r="AE160" s="75" t="str">
        <x:f>IF($G160&lt;&gt;"","3D Baskı / "&amp;$G160,"3D Baskı")</x:f>
        <x:v>3D Baskı</x:v>
      </x:c>
      <x:c r="AF160" s="75" t="str">
        <x:f>IF($D160&lt;&gt;"",$D160&amp;" - "&amp;$G160,$AD160&amp;" - "&amp;$G160)</x:f>
        <x:v>MW-80 - </x:v>
      </x:c>
      <x:c r="AG160" s="75" t="str"/>
    </x:row>
    <x:row r="161">
      <x:c r="A161" s="75" t="str">
        <x:f>IF($B161&lt;&gt;"",ROW()-4,"")</x:f>
      </x:c>
      <x:c r="B161" s="75" t="str"/>
      <x:c r="C161" s="75" t="n">
        <x:f>IFERROR(LET(x,MID($B161,FIND("/models/",$B161)+8,80),y,LEFT(x,FIND("-",x&amp;"-")-1),LEFT(y,FIND("?",y&amp;"?")-1)),"")</x:f>
        <x:v>80</x:v>
      </x:c>
      <x:c r="D161" s="75" t="str">
        <x:f>IF($B161="","",IFERROR(XLOOKUP($C161,MakerWorld_Verileri!$A:$A,MakerWorld_Verileri!$B:$B,""),""))</x:f>
      </x:c>
      <x:c r="E161" s="75" t="str">
        <x:f>IF($B161="","",IFERROR(XLOOKUP($C161,MakerWorld_Verileri!$A:$A,MakerWorld_Verileri!$C:$C,""),""))</x:f>
      </x:c>
      <x:c r="F161" s="75" t="str"/>
      <x:c r="G161" s="75" t="str">
        <x:f>IF($B161&lt;&gt;"",Ayarlar!$B$7,"")</x:f>
      </x:c>
      <x:c r="H161" s="82" t="str">
        <x:f>IF($B161&lt;&gt;"",1,"")</x:f>
      </x:c>
      <x:c r="I161" s="82" t="str">
        <x:f>IF($B161="","",IFERROR(XLOOKUP($C161,MakerWorld_Verileri!$A:$A,MakerWorld_Verileri!$D:$D,""),""))</x:f>
      </x:c>
      <x:c r="J161" s="82" t="str"/>
      <x:c r="K161" s="82" t="str">
        <x:f>IF($I161&lt;&gt;"",$I161,$J161)</x:f>
      </x:c>
      <x:c r="L161" s="82" t="str">
        <x:f>IF($B161="","",IFERROR(XLOOKUP($C161,MakerWorld_Verileri!$A:$A,MakerWorld_Verileri!$E:$E,""),""))</x:f>
      </x:c>
      <x:c r="M161" s="82" t="str"/>
      <x:c r="N161" s="82" t="str">
        <x:f>IF($L161&lt;&gt;"",$L161,$M161)</x:f>
      </x:c>
      <x:c r="O161" s="82" t="str">
        <x:f>IF($B161&lt;&gt;"",0,"")</x:f>
      </x:c>
      <x:c r="P161" s="75" t="str">
        <x:f>IF($B161&lt;&gt;"","Orta","")</x:f>
      </x:c>
      <x:c r="Q161" s="82" t="str">
        <x:f>IF($B161&lt;&gt;"",10,"")</x:f>
      </x:c>
      <x:c r="R161" s="83" t="str">
        <x:f>IF($B161&lt;&gt;"",Ayarlar!$B$10,"")</x:f>
      </x:c>
      <x:c r="S161" s="83" t="str">
        <x:f>IF($B161&lt;&gt;"",0,"")</x:f>
      </x:c>
      <x:c r="T161" s="83" t="n">
        <x:f>IFERROR(($K161+$O161)*XLOOKUP($G161,Ayarlar!$A$19:$A$28,Ayarlar!$C$19:$C$28,0)*(1+Ayarlar!$B$11),0)</x:f>
        <x:v>0</x:v>
      </x:c>
      <x:c r="U161" s="83" t="n">
        <x:f>IFERROR($N161/60*Ayarlar!$B$8,0)</x:f>
        <x:v>0</x:v>
      </x:c>
      <x:c r="V161" s="83" t="n">
        <x:f>IF($B161&lt;&gt;"",Ayarlar!$B$12+($Q161/60*Ayarlar!$B$9),0)</x:f>
        <x:v>0</x:v>
      </x:c>
      <x:c r="W161" s="83" t="n">
        <x:f>IF($B161&lt;&gt;"",SUM($T161:$V161,$R161:$S161),0)</x:f>
        <x:v>0</x:v>
      </x:c>
      <x:c r="X161" s="83" t="n">
        <x:f>IF($B161&lt;&gt;"",$W161*Ayarlar!$B$15,0)</x:f>
        <x:v>0</x:v>
      </x:c>
      <x:c r="Y161" s="83" t="n">
        <x:f>IF($B161&lt;&gt;"",($W161+$X161)*Ayarlar!$B$13,0)</x:f>
        <x:v>0</x:v>
      </x:c>
      <x:c r="Z161" s="83" t="n">
        <x:f>IF($B161&lt;&gt;"",($W161+$X161+$Y161)*Ayarlar!$B$14,0)</x:f>
        <x:v>0</x:v>
      </x:c>
      <x:c r="AA161" s="83" t="str">
        <x:f>IF($B161="","",IF(OR($K161="",$N161=""),"",CEILING($W161+$X161+$Y161+$Z161,Ayarlar!$B$16)))</x:f>
      </x:c>
      <x:c r="AB161" s="83" t="str">
        <x:f>IFERROR($AA161/$H161,"")</x:f>
      </x:c>
      <x:c r="AC161" s="75" t="str">
        <x:f>IF($B161="","",IF(OR($K161="",$N161=""),"Veri Eksik","Fiyat Hazır"))</x:f>
      </x:c>
      <x:c r="AD161" s="75" t="str">
        <x:f>IF($C161&lt;&gt;"","MW-"&amp;$C161,"")</x:f>
        <x:v>MW-80</x:v>
      </x:c>
      <x:c r="AE161" s="75" t="str">
        <x:f>IF($G161&lt;&gt;"","3D Baskı / "&amp;$G161,"3D Baskı")</x:f>
        <x:v>3D Baskı</x:v>
      </x:c>
      <x:c r="AF161" s="75" t="str">
        <x:f>IF($D161&lt;&gt;"",$D161&amp;" - "&amp;$G161,$AD161&amp;" - "&amp;$G161)</x:f>
        <x:v>MW-80 - </x:v>
      </x:c>
      <x:c r="AG161" s="75" t="str"/>
    </x:row>
    <x:row r="162">
      <x:c r="A162" s="75" t="str">
        <x:f>IF($B162&lt;&gt;"",ROW()-4,"")</x:f>
      </x:c>
      <x:c r="B162" s="75" t="str"/>
      <x:c r="C162" s="75" t="n">
        <x:f>IFERROR(LET(x,MID($B162,FIND("/models/",$B162)+8,80),y,LEFT(x,FIND("-",x&amp;"-")-1),LEFT(y,FIND("?",y&amp;"?")-1)),"")</x:f>
        <x:v>80</x:v>
      </x:c>
      <x:c r="D162" s="75" t="str">
        <x:f>IF($B162="","",IFERROR(XLOOKUP($C162,MakerWorld_Verileri!$A:$A,MakerWorld_Verileri!$B:$B,""),""))</x:f>
      </x:c>
      <x:c r="E162" s="75" t="str">
        <x:f>IF($B162="","",IFERROR(XLOOKUP($C162,MakerWorld_Verileri!$A:$A,MakerWorld_Verileri!$C:$C,""),""))</x:f>
      </x:c>
      <x:c r="F162" s="75" t="str"/>
      <x:c r="G162" s="75" t="str">
        <x:f>IF($B162&lt;&gt;"",Ayarlar!$B$7,"")</x:f>
      </x:c>
      <x:c r="H162" s="82" t="str">
        <x:f>IF($B162&lt;&gt;"",1,"")</x:f>
      </x:c>
      <x:c r="I162" s="82" t="str">
        <x:f>IF($B162="","",IFERROR(XLOOKUP($C162,MakerWorld_Verileri!$A:$A,MakerWorld_Verileri!$D:$D,""),""))</x:f>
      </x:c>
      <x:c r="J162" s="82" t="str"/>
      <x:c r="K162" s="82" t="str">
        <x:f>IF($I162&lt;&gt;"",$I162,$J162)</x:f>
      </x:c>
      <x:c r="L162" s="82" t="str">
        <x:f>IF($B162="","",IFERROR(XLOOKUP($C162,MakerWorld_Verileri!$A:$A,MakerWorld_Verileri!$E:$E,""),""))</x:f>
      </x:c>
      <x:c r="M162" s="82" t="str"/>
      <x:c r="N162" s="82" t="str">
        <x:f>IF($L162&lt;&gt;"",$L162,$M162)</x:f>
      </x:c>
      <x:c r="O162" s="82" t="str">
        <x:f>IF($B162&lt;&gt;"",0,"")</x:f>
      </x:c>
      <x:c r="P162" s="75" t="str">
        <x:f>IF($B162&lt;&gt;"","Orta","")</x:f>
      </x:c>
      <x:c r="Q162" s="82" t="str">
        <x:f>IF($B162&lt;&gt;"",10,"")</x:f>
      </x:c>
      <x:c r="R162" s="83" t="str">
        <x:f>IF($B162&lt;&gt;"",Ayarlar!$B$10,"")</x:f>
      </x:c>
      <x:c r="S162" s="83" t="str">
        <x:f>IF($B162&lt;&gt;"",0,"")</x:f>
      </x:c>
      <x:c r="T162" s="83" t="n">
        <x:f>IFERROR(($K162+$O162)*XLOOKUP($G162,Ayarlar!$A$19:$A$28,Ayarlar!$C$19:$C$28,0)*(1+Ayarlar!$B$11),0)</x:f>
        <x:v>0</x:v>
      </x:c>
      <x:c r="U162" s="83" t="n">
        <x:f>IFERROR($N162/60*Ayarlar!$B$8,0)</x:f>
        <x:v>0</x:v>
      </x:c>
      <x:c r="V162" s="83" t="n">
        <x:f>IF($B162&lt;&gt;"",Ayarlar!$B$12+($Q162/60*Ayarlar!$B$9),0)</x:f>
        <x:v>0</x:v>
      </x:c>
      <x:c r="W162" s="83" t="n">
        <x:f>IF($B162&lt;&gt;"",SUM($T162:$V162,$R162:$S162),0)</x:f>
        <x:v>0</x:v>
      </x:c>
      <x:c r="X162" s="83" t="n">
        <x:f>IF($B162&lt;&gt;"",$W162*Ayarlar!$B$15,0)</x:f>
        <x:v>0</x:v>
      </x:c>
      <x:c r="Y162" s="83" t="n">
        <x:f>IF($B162&lt;&gt;"",($W162+$X162)*Ayarlar!$B$13,0)</x:f>
        <x:v>0</x:v>
      </x:c>
      <x:c r="Z162" s="83" t="n">
        <x:f>IF($B162&lt;&gt;"",($W162+$X162+$Y162)*Ayarlar!$B$14,0)</x:f>
        <x:v>0</x:v>
      </x:c>
      <x:c r="AA162" s="83" t="str">
        <x:f>IF($B162="","",IF(OR($K162="",$N162=""),"",CEILING($W162+$X162+$Y162+$Z162,Ayarlar!$B$16)))</x:f>
      </x:c>
      <x:c r="AB162" s="83" t="str">
        <x:f>IFERROR($AA162/$H162,"")</x:f>
      </x:c>
      <x:c r="AC162" s="75" t="str">
        <x:f>IF($B162="","",IF(OR($K162="",$N162=""),"Veri Eksik","Fiyat Hazır"))</x:f>
      </x:c>
      <x:c r="AD162" s="75" t="str">
        <x:f>IF($C162&lt;&gt;"","MW-"&amp;$C162,"")</x:f>
        <x:v>MW-80</x:v>
      </x:c>
      <x:c r="AE162" s="75" t="str">
        <x:f>IF($G162&lt;&gt;"","3D Baskı / "&amp;$G162,"3D Baskı")</x:f>
        <x:v>3D Baskı</x:v>
      </x:c>
      <x:c r="AF162" s="75" t="str">
        <x:f>IF($D162&lt;&gt;"",$D162&amp;" - "&amp;$G162,$AD162&amp;" - "&amp;$G162)</x:f>
        <x:v>MW-80 - </x:v>
      </x:c>
      <x:c r="AG162" s="75" t="str"/>
    </x:row>
    <x:row r="163">
      <x:c r="A163" s="75" t="str">
        <x:f>IF($B163&lt;&gt;"",ROW()-4,"")</x:f>
      </x:c>
      <x:c r="B163" s="75" t="str"/>
      <x:c r="C163" s="75" t="n">
        <x:f>IFERROR(LET(x,MID($B163,FIND("/models/",$B163)+8,80),y,LEFT(x,FIND("-",x&amp;"-")-1),LEFT(y,FIND("?",y&amp;"?")-1)),"")</x:f>
        <x:v>80</x:v>
      </x:c>
      <x:c r="D163" s="75" t="str">
        <x:f>IF($B163="","",IFERROR(XLOOKUP($C163,MakerWorld_Verileri!$A:$A,MakerWorld_Verileri!$B:$B,""),""))</x:f>
      </x:c>
      <x:c r="E163" s="75" t="str">
        <x:f>IF($B163="","",IFERROR(XLOOKUP($C163,MakerWorld_Verileri!$A:$A,MakerWorld_Verileri!$C:$C,""),""))</x:f>
      </x:c>
      <x:c r="F163" s="75" t="str"/>
      <x:c r="G163" s="75" t="str">
        <x:f>IF($B163&lt;&gt;"",Ayarlar!$B$7,"")</x:f>
      </x:c>
      <x:c r="H163" s="82" t="str">
        <x:f>IF($B163&lt;&gt;"",1,"")</x:f>
      </x:c>
      <x:c r="I163" s="82" t="str">
        <x:f>IF($B163="","",IFERROR(XLOOKUP($C163,MakerWorld_Verileri!$A:$A,MakerWorld_Verileri!$D:$D,""),""))</x:f>
      </x:c>
      <x:c r="J163" s="82" t="str"/>
      <x:c r="K163" s="82" t="str">
        <x:f>IF($I163&lt;&gt;"",$I163,$J163)</x:f>
      </x:c>
      <x:c r="L163" s="82" t="str">
        <x:f>IF($B163="","",IFERROR(XLOOKUP($C163,MakerWorld_Verileri!$A:$A,MakerWorld_Verileri!$E:$E,""),""))</x:f>
      </x:c>
      <x:c r="M163" s="82" t="str"/>
      <x:c r="N163" s="82" t="str">
        <x:f>IF($L163&lt;&gt;"",$L163,$M163)</x:f>
      </x:c>
      <x:c r="O163" s="82" t="str">
        <x:f>IF($B163&lt;&gt;"",0,"")</x:f>
      </x:c>
      <x:c r="P163" s="75" t="str">
        <x:f>IF($B163&lt;&gt;"","Orta","")</x:f>
      </x:c>
      <x:c r="Q163" s="82" t="str">
        <x:f>IF($B163&lt;&gt;"",10,"")</x:f>
      </x:c>
      <x:c r="R163" s="83" t="str">
        <x:f>IF($B163&lt;&gt;"",Ayarlar!$B$10,"")</x:f>
      </x:c>
      <x:c r="S163" s="83" t="str">
        <x:f>IF($B163&lt;&gt;"",0,"")</x:f>
      </x:c>
      <x:c r="T163" s="83" t="n">
        <x:f>IFERROR(($K163+$O163)*XLOOKUP($G163,Ayarlar!$A$19:$A$28,Ayarlar!$C$19:$C$28,0)*(1+Ayarlar!$B$11),0)</x:f>
        <x:v>0</x:v>
      </x:c>
      <x:c r="U163" s="83" t="n">
        <x:f>IFERROR($N163/60*Ayarlar!$B$8,0)</x:f>
        <x:v>0</x:v>
      </x:c>
      <x:c r="V163" s="83" t="n">
        <x:f>IF($B163&lt;&gt;"",Ayarlar!$B$12+($Q163/60*Ayarlar!$B$9),0)</x:f>
        <x:v>0</x:v>
      </x:c>
      <x:c r="W163" s="83" t="n">
        <x:f>IF($B163&lt;&gt;"",SUM($T163:$V163,$R163:$S163),0)</x:f>
        <x:v>0</x:v>
      </x:c>
      <x:c r="X163" s="83" t="n">
        <x:f>IF($B163&lt;&gt;"",$W163*Ayarlar!$B$15,0)</x:f>
        <x:v>0</x:v>
      </x:c>
      <x:c r="Y163" s="83" t="n">
        <x:f>IF($B163&lt;&gt;"",($W163+$X163)*Ayarlar!$B$13,0)</x:f>
        <x:v>0</x:v>
      </x:c>
      <x:c r="Z163" s="83" t="n">
        <x:f>IF($B163&lt;&gt;"",($W163+$X163+$Y163)*Ayarlar!$B$14,0)</x:f>
        <x:v>0</x:v>
      </x:c>
      <x:c r="AA163" s="83" t="str">
        <x:f>IF($B163="","",IF(OR($K163="",$N163=""),"",CEILING($W163+$X163+$Y163+$Z163,Ayarlar!$B$16)))</x:f>
      </x:c>
      <x:c r="AB163" s="83" t="str">
        <x:f>IFERROR($AA163/$H163,"")</x:f>
      </x:c>
      <x:c r="AC163" s="75" t="str">
        <x:f>IF($B163="","",IF(OR($K163="",$N163=""),"Veri Eksik","Fiyat Hazır"))</x:f>
      </x:c>
      <x:c r="AD163" s="75" t="str">
        <x:f>IF($C163&lt;&gt;"","MW-"&amp;$C163,"")</x:f>
        <x:v>MW-80</x:v>
      </x:c>
      <x:c r="AE163" s="75" t="str">
        <x:f>IF($G163&lt;&gt;"","3D Baskı / "&amp;$G163,"3D Baskı")</x:f>
        <x:v>3D Baskı</x:v>
      </x:c>
      <x:c r="AF163" s="75" t="str">
        <x:f>IF($D163&lt;&gt;"",$D163&amp;" - "&amp;$G163,$AD163&amp;" - "&amp;$G163)</x:f>
        <x:v>MW-80 - </x:v>
      </x:c>
      <x:c r="AG163" s="75" t="str"/>
    </x:row>
    <x:row r="164">
      <x:c r="A164" s="75" t="str">
        <x:f>IF($B164&lt;&gt;"",ROW()-4,"")</x:f>
      </x:c>
      <x:c r="B164" s="75" t="str"/>
      <x:c r="C164" s="75" t="n">
        <x:f>IFERROR(LET(x,MID($B164,FIND("/models/",$B164)+8,80),y,LEFT(x,FIND("-",x&amp;"-")-1),LEFT(y,FIND("?",y&amp;"?")-1)),"")</x:f>
        <x:v>80</x:v>
      </x:c>
      <x:c r="D164" s="75" t="str">
        <x:f>IF($B164="","",IFERROR(XLOOKUP($C164,MakerWorld_Verileri!$A:$A,MakerWorld_Verileri!$B:$B,""),""))</x:f>
      </x:c>
      <x:c r="E164" s="75" t="str">
        <x:f>IF($B164="","",IFERROR(XLOOKUP($C164,MakerWorld_Verileri!$A:$A,MakerWorld_Verileri!$C:$C,""),""))</x:f>
      </x:c>
      <x:c r="F164" s="75" t="str"/>
      <x:c r="G164" s="75" t="str">
        <x:f>IF($B164&lt;&gt;"",Ayarlar!$B$7,"")</x:f>
      </x:c>
      <x:c r="H164" s="82" t="str">
        <x:f>IF($B164&lt;&gt;"",1,"")</x:f>
      </x:c>
      <x:c r="I164" s="82" t="str">
        <x:f>IF($B164="","",IFERROR(XLOOKUP($C164,MakerWorld_Verileri!$A:$A,MakerWorld_Verileri!$D:$D,""),""))</x:f>
      </x:c>
      <x:c r="J164" s="82" t="str"/>
      <x:c r="K164" s="82" t="str">
        <x:f>IF($I164&lt;&gt;"",$I164,$J164)</x:f>
      </x:c>
      <x:c r="L164" s="82" t="str">
        <x:f>IF($B164="","",IFERROR(XLOOKUP($C164,MakerWorld_Verileri!$A:$A,MakerWorld_Verileri!$E:$E,""),""))</x:f>
      </x:c>
      <x:c r="M164" s="82" t="str"/>
      <x:c r="N164" s="82" t="str">
        <x:f>IF($L164&lt;&gt;"",$L164,$M164)</x:f>
      </x:c>
      <x:c r="O164" s="82" t="str">
        <x:f>IF($B164&lt;&gt;"",0,"")</x:f>
      </x:c>
      <x:c r="P164" s="75" t="str">
        <x:f>IF($B164&lt;&gt;"","Orta","")</x:f>
      </x:c>
      <x:c r="Q164" s="82" t="str">
        <x:f>IF($B164&lt;&gt;"",10,"")</x:f>
      </x:c>
      <x:c r="R164" s="83" t="str">
        <x:f>IF($B164&lt;&gt;"",Ayarlar!$B$10,"")</x:f>
      </x:c>
      <x:c r="S164" s="83" t="str">
        <x:f>IF($B164&lt;&gt;"",0,"")</x:f>
      </x:c>
      <x:c r="T164" s="83" t="n">
        <x:f>IFERROR(($K164+$O164)*XLOOKUP($G164,Ayarlar!$A$19:$A$28,Ayarlar!$C$19:$C$28,0)*(1+Ayarlar!$B$11),0)</x:f>
        <x:v>0</x:v>
      </x:c>
      <x:c r="U164" s="83" t="n">
        <x:f>IFERROR($N164/60*Ayarlar!$B$8,0)</x:f>
        <x:v>0</x:v>
      </x:c>
      <x:c r="V164" s="83" t="n">
        <x:f>IF($B164&lt;&gt;"",Ayarlar!$B$12+($Q164/60*Ayarlar!$B$9),0)</x:f>
        <x:v>0</x:v>
      </x:c>
      <x:c r="W164" s="83" t="n">
        <x:f>IF($B164&lt;&gt;"",SUM($T164:$V164,$R164:$S164),0)</x:f>
        <x:v>0</x:v>
      </x:c>
      <x:c r="X164" s="83" t="n">
        <x:f>IF($B164&lt;&gt;"",$W164*Ayarlar!$B$15,0)</x:f>
        <x:v>0</x:v>
      </x:c>
      <x:c r="Y164" s="83" t="n">
        <x:f>IF($B164&lt;&gt;"",($W164+$X164)*Ayarlar!$B$13,0)</x:f>
        <x:v>0</x:v>
      </x:c>
      <x:c r="Z164" s="83" t="n">
        <x:f>IF($B164&lt;&gt;"",($W164+$X164+$Y164)*Ayarlar!$B$14,0)</x:f>
        <x:v>0</x:v>
      </x:c>
      <x:c r="AA164" s="83" t="str">
        <x:f>IF($B164="","",IF(OR($K164="",$N164=""),"",CEILING($W164+$X164+$Y164+$Z164,Ayarlar!$B$16)))</x:f>
      </x:c>
      <x:c r="AB164" s="83" t="str">
        <x:f>IFERROR($AA164/$H164,"")</x:f>
      </x:c>
      <x:c r="AC164" s="75" t="str">
        <x:f>IF($B164="","",IF(OR($K164="",$N164=""),"Veri Eksik","Fiyat Hazır"))</x:f>
      </x:c>
      <x:c r="AD164" s="75" t="str">
        <x:f>IF($C164&lt;&gt;"","MW-"&amp;$C164,"")</x:f>
        <x:v>MW-80</x:v>
      </x:c>
      <x:c r="AE164" s="75" t="str">
        <x:f>IF($G164&lt;&gt;"","3D Baskı / "&amp;$G164,"3D Baskı")</x:f>
        <x:v>3D Baskı</x:v>
      </x:c>
      <x:c r="AF164" s="75" t="str">
        <x:f>IF($D164&lt;&gt;"",$D164&amp;" - "&amp;$G164,$AD164&amp;" - "&amp;$G164)</x:f>
        <x:v>MW-80 - </x:v>
      </x:c>
      <x:c r="AG164" s="75" t="str"/>
    </x:row>
    <x:row r="165">
      <x:c r="A165" s="75" t="str">
        <x:f>IF($B165&lt;&gt;"",ROW()-4,"")</x:f>
      </x:c>
      <x:c r="B165" s="75" t="str"/>
      <x:c r="C165" s="75" t="n">
        <x:f>IFERROR(LET(x,MID($B165,FIND("/models/",$B165)+8,80),y,LEFT(x,FIND("-",x&amp;"-")-1),LEFT(y,FIND("?",y&amp;"?")-1)),"")</x:f>
        <x:v>80</x:v>
      </x:c>
      <x:c r="D165" s="75" t="str">
        <x:f>IF($B165="","",IFERROR(XLOOKUP($C165,MakerWorld_Verileri!$A:$A,MakerWorld_Verileri!$B:$B,""),""))</x:f>
      </x:c>
      <x:c r="E165" s="75" t="str">
        <x:f>IF($B165="","",IFERROR(XLOOKUP($C165,MakerWorld_Verileri!$A:$A,MakerWorld_Verileri!$C:$C,""),""))</x:f>
      </x:c>
      <x:c r="F165" s="75" t="str"/>
      <x:c r="G165" s="75" t="str">
        <x:f>IF($B165&lt;&gt;"",Ayarlar!$B$7,"")</x:f>
      </x:c>
      <x:c r="H165" s="82" t="str">
        <x:f>IF($B165&lt;&gt;"",1,"")</x:f>
      </x:c>
      <x:c r="I165" s="82" t="str">
        <x:f>IF($B165="","",IFERROR(XLOOKUP($C165,MakerWorld_Verileri!$A:$A,MakerWorld_Verileri!$D:$D,""),""))</x:f>
      </x:c>
      <x:c r="J165" s="82" t="str"/>
      <x:c r="K165" s="82" t="str">
        <x:f>IF($I165&lt;&gt;"",$I165,$J165)</x:f>
      </x:c>
      <x:c r="L165" s="82" t="str">
        <x:f>IF($B165="","",IFERROR(XLOOKUP($C165,MakerWorld_Verileri!$A:$A,MakerWorld_Verileri!$E:$E,""),""))</x:f>
      </x:c>
      <x:c r="M165" s="82" t="str"/>
      <x:c r="N165" s="82" t="str">
        <x:f>IF($L165&lt;&gt;"",$L165,$M165)</x:f>
      </x:c>
      <x:c r="O165" s="82" t="str">
        <x:f>IF($B165&lt;&gt;"",0,"")</x:f>
      </x:c>
      <x:c r="P165" s="75" t="str">
        <x:f>IF($B165&lt;&gt;"","Orta","")</x:f>
      </x:c>
      <x:c r="Q165" s="82" t="str">
        <x:f>IF($B165&lt;&gt;"",10,"")</x:f>
      </x:c>
      <x:c r="R165" s="83" t="str">
        <x:f>IF($B165&lt;&gt;"",Ayarlar!$B$10,"")</x:f>
      </x:c>
      <x:c r="S165" s="83" t="str">
        <x:f>IF($B165&lt;&gt;"",0,"")</x:f>
      </x:c>
      <x:c r="T165" s="83" t="n">
        <x:f>IFERROR(($K165+$O165)*XLOOKUP($G165,Ayarlar!$A$19:$A$28,Ayarlar!$C$19:$C$28,0)*(1+Ayarlar!$B$11),0)</x:f>
        <x:v>0</x:v>
      </x:c>
      <x:c r="U165" s="83" t="n">
        <x:f>IFERROR($N165/60*Ayarlar!$B$8,0)</x:f>
        <x:v>0</x:v>
      </x:c>
      <x:c r="V165" s="83" t="n">
        <x:f>IF($B165&lt;&gt;"",Ayarlar!$B$12+($Q165/60*Ayarlar!$B$9),0)</x:f>
        <x:v>0</x:v>
      </x:c>
      <x:c r="W165" s="83" t="n">
        <x:f>IF($B165&lt;&gt;"",SUM($T165:$V165,$R165:$S165),0)</x:f>
        <x:v>0</x:v>
      </x:c>
      <x:c r="X165" s="83" t="n">
        <x:f>IF($B165&lt;&gt;"",$W165*Ayarlar!$B$15,0)</x:f>
        <x:v>0</x:v>
      </x:c>
      <x:c r="Y165" s="83" t="n">
        <x:f>IF($B165&lt;&gt;"",($W165+$X165)*Ayarlar!$B$13,0)</x:f>
        <x:v>0</x:v>
      </x:c>
      <x:c r="Z165" s="83" t="n">
        <x:f>IF($B165&lt;&gt;"",($W165+$X165+$Y165)*Ayarlar!$B$14,0)</x:f>
        <x:v>0</x:v>
      </x:c>
      <x:c r="AA165" s="83" t="str">
        <x:f>IF($B165="","",IF(OR($K165="",$N165=""),"",CEILING($W165+$X165+$Y165+$Z165,Ayarlar!$B$16)))</x:f>
      </x:c>
      <x:c r="AB165" s="83" t="str">
        <x:f>IFERROR($AA165/$H165,"")</x:f>
      </x:c>
      <x:c r="AC165" s="75" t="str">
        <x:f>IF($B165="","",IF(OR($K165="",$N165=""),"Veri Eksik","Fiyat Hazır"))</x:f>
      </x:c>
      <x:c r="AD165" s="75" t="str">
        <x:f>IF($C165&lt;&gt;"","MW-"&amp;$C165,"")</x:f>
        <x:v>MW-80</x:v>
      </x:c>
      <x:c r="AE165" s="75" t="str">
        <x:f>IF($G165&lt;&gt;"","3D Baskı / "&amp;$G165,"3D Baskı")</x:f>
        <x:v>3D Baskı</x:v>
      </x:c>
      <x:c r="AF165" s="75" t="str">
        <x:f>IF($D165&lt;&gt;"",$D165&amp;" - "&amp;$G165,$AD165&amp;" - "&amp;$G165)</x:f>
        <x:v>MW-80 - </x:v>
      </x:c>
      <x:c r="AG165" s="75" t="str"/>
    </x:row>
    <x:row r="166">
      <x:c r="A166" s="75" t="str">
        <x:f>IF($B166&lt;&gt;"",ROW()-4,"")</x:f>
      </x:c>
      <x:c r="B166" s="75" t="str"/>
      <x:c r="C166" s="75" t="n">
        <x:f>IFERROR(LET(x,MID($B166,FIND("/models/",$B166)+8,80),y,LEFT(x,FIND("-",x&amp;"-")-1),LEFT(y,FIND("?",y&amp;"?")-1)),"")</x:f>
        <x:v>80</x:v>
      </x:c>
      <x:c r="D166" s="75" t="str">
        <x:f>IF($B166="","",IFERROR(XLOOKUP($C166,MakerWorld_Verileri!$A:$A,MakerWorld_Verileri!$B:$B,""),""))</x:f>
      </x:c>
      <x:c r="E166" s="75" t="str">
        <x:f>IF($B166="","",IFERROR(XLOOKUP($C166,MakerWorld_Verileri!$A:$A,MakerWorld_Verileri!$C:$C,""),""))</x:f>
      </x:c>
      <x:c r="F166" s="75" t="str"/>
      <x:c r="G166" s="75" t="str">
        <x:f>IF($B166&lt;&gt;"",Ayarlar!$B$7,"")</x:f>
      </x:c>
      <x:c r="H166" s="82" t="str">
        <x:f>IF($B166&lt;&gt;"",1,"")</x:f>
      </x:c>
      <x:c r="I166" s="82" t="str">
        <x:f>IF($B166="","",IFERROR(XLOOKUP($C166,MakerWorld_Verileri!$A:$A,MakerWorld_Verileri!$D:$D,""),""))</x:f>
      </x:c>
      <x:c r="J166" s="82" t="str"/>
      <x:c r="K166" s="82" t="str">
        <x:f>IF($I166&lt;&gt;"",$I166,$J166)</x:f>
      </x:c>
      <x:c r="L166" s="82" t="str">
        <x:f>IF($B166="","",IFERROR(XLOOKUP($C166,MakerWorld_Verileri!$A:$A,MakerWorld_Verileri!$E:$E,""),""))</x:f>
      </x:c>
      <x:c r="M166" s="82" t="str"/>
      <x:c r="N166" s="82" t="str">
        <x:f>IF($L166&lt;&gt;"",$L166,$M166)</x:f>
      </x:c>
      <x:c r="O166" s="82" t="str">
        <x:f>IF($B166&lt;&gt;"",0,"")</x:f>
      </x:c>
      <x:c r="P166" s="75" t="str">
        <x:f>IF($B166&lt;&gt;"","Orta","")</x:f>
      </x:c>
      <x:c r="Q166" s="82" t="str">
        <x:f>IF($B166&lt;&gt;"",10,"")</x:f>
      </x:c>
      <x:c r="R166" s="83" t="str">
        <x:f>IF($B166&lt;&gt;"",Ayarlar!$B$10,"")</x:f>
      </x:c>
      <x:c r="S166" s="83" t="str">
        <x:f>IF($B166&lt;&gt;"",0,"")</x:f>
      </x:c>
      <x:c r="T166" s="83" t="n">
        <x:f>IFERROR(($K166+$O166)*XLOOKUP($G166,Ayarlar!$A$19:$A$28,Ayarlar!$C$19:$C$28,0)*(1+Ayarlar!$B$11),0)</x:f>
        <x:v>0</x:v>
      </x:c>
      <x:c r="U166" s="83" t="n">
        <x:f>IFERROR($N166/60*Ayarlar!$B$8,0)</x:f>
        <x:v>0</x:v>
      </x:c>
      <x:c r="V166" s="83" t="n">
        <x:f>IF($B166&lt;&gt;"",Ayarlar!$B$12+($Q166/60*Ayarlar!$B$9),0)</x:f>
        <x:v>0</x:v>
      </x:c>
      <x:c r="W166" s="83" t="n">
        <x:f>IF($B166&lt;&gt;"",SUM($T166:$V166,$R166:$S166),0)</x:f>
        <x:v>0</x:v>
      </x:c>
      <x:c r="X166" s="83" t="n">
        <x:f>IF($B166&lt;&gt;"",$W166*Ayarlar!$B$15,0)</x:f>
        <x:v>0</x:v>
      </x:c>
      <x:c r="Y166" s="83" t="n">
        <x:f>IF($B166&lt;&gt;"",($W166+$X166)*Ayarlar!$B$13,0)</x:f>
        <x:v>0</x:v>
      </x:c>
      <x:c r="Z166" s="83" t="n">
        <x:f>IF($B166&lt;&gt;"",($W166+$X166+$Y166)*Ayarlar!$B$14,0)</x:f>
        <x:v>0</x:v>
      </x:c>
      <x:c r="AA166" s="83" t="str">
        <x:f>IF($B166="","",IF(OR($K166="",$N166=""),"",CEILING($W166+$X166+$Y166+$Z166,Ayarlar!$B$16)))</x:f>
      </x:c>
      <x:c r="AB166" s="83" t="str">
        <x:f>IFERROR($AA166/$H166,"")</x:f>
      </x:c>
      <x:c r="AC166" s="75" t="str">
        <x:f>IF($B166="","",IF(OR($K166="",$N166=""),"Veri Eksik","Fiyat Hazır"))</x:f>
      </x:c>
      <x:c r="AD166" s="75" t="str">
        <x:f>IF($C166&lt;&gt;"","MW-"&amp;$C166,"")</x:f>
        <x:v>MW-80</x:v>
      </x:c>
      <x:c r="AE166" s="75" t="str">
        <x:f>IF($G166&lt;&gt;"","3D Baskı / "&amp;$G166,"3D Baskı")</x:f>
        <x:v>3D Baskı</x:v>
      </x:c>
      <x:c r="AF166" s="75" t="str">
        <x:f>IF($D166&lt;&gt;"",$D166&amp;" - "&amp;$G166,$AD166&amp;" - "&amp;$G166)</x:f>
        <x:v>MW-80 - </x:v>
      </x:c>
      <x:c r="AG166" s="75" t="str"/>
    </x:row>
    <x:row r="167">
      <x:c r="A167" s="75" t="str">
        <x:f>IF($B167&lt;&gt;"",ROW()-4,"")</x:f>
      </x:c>
      <x:c r="B167" s="75" t="str"/>
      <x:c r="C167" s="75" t="n">
        <x:f>IFERROR(LET(x,MID($B167,FIND("/models/",$B167)+8,80),y,LEFT(x,FIND("-",x&amp;"-")-1),LEFT(y,FIND("?",y&amp;"?")-1)),"")</x:f>
        <x:v>80</x:v>
      </x:c>
      <x:c r="D167" s="75" t="str">
        <x:f>IF($B167="","",IFERROR(XLOOKUP($C167,MakerWorld_Verileri!$A:$A,MakerWorld_Verileri!$B:$B,""),""))</x:f>
      </x:c>
      <x:c r="E167" s="75" t="str">
        <x:f>IF($B167="","",IFERROR(XLOOKUP($C167,MakerWorld_Verileri!$A:$A,MakerWorld_Verileri!$C:$C,""),""))</x:f>
      </x:c>
      <x:c r="F167" s="75" t="str"/>
      <x:c r="G167" s="75" t="str">
        <x:f>IF($B167&lt;&gt;"",Ayarlar!$B$7,"")</x:f>
      </x:c>
      <x:c r="H167" s="82" t="str">
        <x:f>IF($B167&lt;&gt;"",1,"")</x:f>
      </x:c>
      <x:c r="I167" s="82" t="str">
        <x:f>IF($B167="","",IFERROR(XLOOKUP($C167,MakerWorld_Verileri!$A:$A,MakerWorld_Verileri!$D:$D,""),""))</x:f>
      </x:c>
      <x:c r="J167" s="82" t="str"/>
      <x:c r="K167" s="82" t="str">
        <x:f>IF($I167&lt;&gt;"",$I167,$J167)</x:f>
      </x:c>
      <x:c r="L167" s="82" t="str">
        <x:f>IF($B167="","",IFERROR(XLOOKUP($C167,MakerWorld_Verileri!$A:$A,MakerWorld_Verileri!$E:$E,""),""))</x:f>
      </x:c>
      <x:c r="M167" s="82" t="str"/>
      <x:c r="N167" s="82" t="str">
        <x:f>IF($L167&lt;&gt;"",$L167,$M167)</x:f>
      </x:c>
      <x:c r="O167" s="82" t="str">
        <x:f>IF($B167&lt;&gt;"",0,"")</x:f>
      </x:c>
      <x:c r="P167" s="75" t="str">
        <x:f>IF($B167&lt;&gt;"","Orta","")</x:f>
      </x:c>
      <x:c r="Q167" s="82" t="str">
        <x:f>IF($B167&lt;&gt;"",10,"")</x:f>
      </x:c>
      <x:c r="R167" s="83" t="str">
        <x:f>IF($B167&lt;&gt;"",Ayarlar!$B$10,"")</x:f>
      </x:c>
      <x:c r="S167" s="83" t="str">
        <x:f>IF($B167&lt;&gt;"",0,"")</x:f>
      </x:c>
      <x:c r="T167" s="83" t="n">
        <x:f>IFERROR(($K167+$O167)*XLOOKUP($G167,Ayarlar!$A$19:$A$28,Ayarlar!$C$19:$C$28,0)*(1+Ayarlar!$B$11),0)</x:f>
        <x:v>0</x:v>
      </x:c>
      <x:c r="U167" s="83" t="n">
        <x:f>IFERROR($N167/60*Ayarlar!$B$8,0)</x:f>
        <x:v>0</x:v>
      </x:c>
      <x:c r="V167" s="83" t="n">
        <x:f>IF($B167&lt;&gt;"",Ayarlar!$B$12+($Q167/60*Ayarlar!$B$9),0)</x:f>
        <x:v>0</x:v>
      </x:c>
      <x:c r="W167" s="83" t="n">
        <x:f>IF($B167&lt;&gt;"",SUM($T167:$V167,$R167:$S167),0)</x:f>
        <x:v>0</x:v>
      </x:c>
      <x:c r="X167" s="83" t="n">
        <x:f>IF($B167&lt;&gt;"",$W167*Ayarlar!$B$15,0)</x:f>
        <x:v>0</x:v>
      </x:c>
      <x:c r="Y167" s="83" t="n">
        <x:f>IF($B167&lt;&gt;"",($W167+$X167)*Ayarlar!$B$13,0)</x:f>
        <x:v>0</x:v>
      </x:c>
      <x:c r="Z167" s="83" t="n">
        <x:f>IF($B167&lt;&gt;"",($W167+$X167+$Y167)*Ayarlar!$B$14,0)</x:f>
        <x:v>0</x:v>
      </x:c>
      <x:c r="AA167" s="83" t="str">
        <x:f>IF($B167="","",IF(OR($K167="",$N167=""),"",CEILING($W167+$X167+$Y167+$Z167,Ayarlar!$B$16)))</x:f>
      </x:c>
      <x:c r="AB167" s="83" t="str">
        <x:f>IFERROR($AA167/$H167,"")</x:f>
      </x:c>
      <x:c r="AC167" s="75" t="str">
        <x:f>IF($B167="","",IF(OR($K167="",$N167=""),"Veri Eksik","Fiyat Hazır"))</x:f>
      </x:c>
      <x:c r="AD167" s="75" t="str">
        <x:f>IF($C167&lt;&gt;"","MW-"&amp;$C167,"")</x:f>
        <x:v>MW-80</x:v>
      </x:c>
      <x:c r="AE167" s="75" t="str">
        <x:f>IF($G167&lt;&gt;"","3D Baskı / "&amp;$G167,"3D Baskı")</x:f>
        <x:v>3D Baskı</x:v>
      </x:c>
      <x:c r="AF167" s="75" t="str">
        <x:f>IF($D167&lt;&gt;"",$D167&amp;" - "&amp;$G167,$AD167&amp;" - "&amp;$G167)</x:f>
        <x:v>MW-80 - </x:v>
      </x:c>
      <x:c r="AG167" s="75" t="str"/>
    </x:row>
    <x:row r="168">
      <x:c r="A168" s="75" t="str">
        <x:f>IF($B168&lt;&gt;"",ROW()-4,"")</x:f>
      </x:c>
      <x:c r="B168" s="75" t="str"/>
      <x:c r="C168" s="75" t="n">
        <x:f>IFERROR(LET(x,MID($B168,FIND("/models/",$B168)+8,80),y,LEFT(x,FIND("-",x&amp;"-")-1),LEFT(y,FIND("?",y&amp;"?")-1)),"")</x:f>
        <x:v>80</x:v>
      </x:c>
      <x:c r="D168" s="75" t="str">
        <x:f>IF($B168="","",IFERROR(XLOOKUP($C168,MakerWorld_Verileri!$A:$A,MakerWorld_Verileri!$B:$B,""),""))</x:f>
      </x:c>
      <x:c r="E168" s="75" t="str">
        <x:f>IF($B168="","",IFERROR(XLOOKUP($C168,MakerWorld_Verileri!$A:$A,MakerWorld_Verileri!$C:$C,""),""))</x:f>
      </x:c>
      <x:c r="F168" s="75" t="str"/>
      <x:c r="G168" s="75" t="str">
        <x:f>IF($B168&lt;&gt;"",Ayarlar!$B$7,"")</x:f>
      </x:c>
      <x:c r="H168" s="82" t="str">
        <x:f>IF($B168&lt;&gt;"",1,"")</x:f>
      </x:c>
      <x:c r="I168" s="82" t="str">
        <x:f>IF($B168="","",IFERROR(XLOOKUP($C168,MakerWorld_Verileri!$A:$A,MakerWorld_Verileri!$D:$D,""),""))</x:f>
      </x:c>
      <x:c r="J168" s="82" t="str"/>
      <x:c r="K168" s="82" t="str">
        <x:f>IF($I168&lt;&gt;"",$I168,$J168)</x:f>
      </x:c>
      <x:c r="L168" s="82" t="str">
        <x:f>IF($B168="","",IFERROR(XLOOKUP($C168,MakerWorld_Verileri!$A:$A,MakerWorld_Verileri!$E:$E,""),""))</x:f>
      </x:c>
      <x:c r="M168" s="82" t="str"/>
      <x:c r="N168" s="82" t="str">
        <x:f>IF($L168&lt;&gt;"",$L168,$M168)</x:f>
      </x:c>
      <x:c r="O168" s="82" t="str">
        <x:f>IF($B168&lt;&gt;"",0,"")</x:f>
      </x:c>
      <x:c r="P168" s="75" t="str">
        <x:f>IF($B168&lt;&gt;"","Orta","")</x:f>
      </x:c>
      <x:c r="Q168" s="82" t="str">
        <x:f>IF($B168&lt;&gt;"",10,"")</x:f>
      </x:c>
      <x:c r="R168" s="83" t="str">
        <x:f>IF($B168&lt;&gt;"",Ayarlar!$B$10,"")</x:f>
      </x:c>
      <x:c r="S168" s="83" t="str">
        <x:f>IF($B168&lt;&gt;"",0,"")</x:f>
      </x:c>
      <x:c r="T168" s="83" t="n">
        <x:f>IFERROR(($K168+$O168)*XLOOKUP($G168,Ayarlar!$A$19:$A$28,Ayarlar!$C$19:$C$28,0)*(1+Ayarlar!$B$11),0)</x:f>
        <x:v>0</x:v>
      </x:c>
      <x:c r="U168" s="83" t="n">
        <x:f>IFERROR($N168/60*Ayarlar!$B$8,0)</x:f>
        <x:v>0</x:v>
      </x:c>
      <x:c r="V168" s="83" t="n">
        <x:f>IF($B168&lt;&gt;"",Ayarlar!$B$12+($Q168/60*Ayarlar!$B$9),0)</x:f>
        <x:v>0</x:v>
      </x:c>
      <x:c r="W168" s="83" t="n">
        <x:f>IF($B168&lt;&gt;"",SUM($T168:$V168,$R168:$S168),0)</x:f>
        <x:v>0</x:v>
      </x:c>
      <x:c r="X168" s="83" t="n">
        <x:f>IF($B168&lt;&gt;"",$W168*Ayarlar!$B$15,0)</x:f>
        <x:v>0</x:v>
      </x:c>
      <x:c r="Y168" s="83" t="n">
        <x:f>IF($B168&lt;&gt;"",($W168+$X168)*Ayarlar!$B$13,0)</x:f>
        <x:v>0</x:v>
      </x:c>
      <x:c r="Z168" s="83" t="n">
        <x:f>IF($B168&lt;&gt;"",($W168+$X168+$Y168)*Ayarlar!$B$14,0)</x:f>
        <x:v>0</x:v>
      </x:c>
      <x:c r="AA168" s="83" t="str">
        <x:f>IF($B168="","",IF(OR($K168="",$N168=""),"",CEILING($W168+$X168+$Y168+$Z168,Ayarlar!$B$16)))</x:f>
      </x:c>
      <x:c r="AB168" s="83" t="str">
        <x:f>IFERROR($AA168/$H168,"")</x:f>
      </x:c>
      <x:c r="AC168" s="75" t="str">
        <x:f>IF($B168="","",IF(OR($K168="",$N168=""),"Veri Eksik","Fiyat Hazır"))</x:f>
      </x:c>
      <x:c r="AD168" s="75" t="str">
        <x:f>IF($C168&lt;&gt;"","MW-"&amp;$C168,"")</x:f>
        <x:v>MW-80</x:v>
      </x:c>
      <x:c r="AE168" s="75" t="str">
        <x:f>IF($G168&lt;&gt;"","3D Baskı / "&amp;$G168,"3D Baskı")</x:f>
        <x:v>3D Baskı</x:v>
      </x:c>
      <x:c r="AF168" s="75" t="str">
        <x:f>IF($D168&lt;&gt;"",$D168&amp;" - "&amp;$G168,$AD168&amp;" - "&amp;$G168)</x:f>
        <x:v>MW-80 - </x:v>
      </x:c>
      <x:c r="AG168" s="75" t="str"/>
    </x:row>
    <x:row r="169">
      <x:c r="A169" s="75" t="str">
        <x:f>IF($B169&lt;&gt;"",ROW()-4,"")</x:f>
      </x:c>
      <x:c r="B169" s="75" t="str"/>
      <x:c r="C169" s="75" t="n">
        <x:f>IFERROR(LET(x,MID($B169,FIND("/models/",$B169)+8,80),y,LEFT(x,FIND("-",x&amp;"-")-1),LEFT(y,FIND("?",y&amp;"?")-1)),"")</x:f>
        <x:v>80</x:v>
      </x:c>
      <x:c r="D169" s="75" t="str">
        <x:f>IF($B169="","",IFERROR(XLOOKUP($C169,MakerWorld_Verileri!$A:$A,MakerWorld_Verileri!$B:$B,""),""))</x:f>
      </x:c>
      <x:c r="E169" s="75" t="str">
        <x:f>IF($B169="","",IFERROR(XLOOKUP($C169,MakerWorld_Verileri!$A:$A,MakerWorld_Verileri!$C:$C,""),""))</x:f>
      </x:c>
      <x:c r="F169" s="75" t="str"/>
      <x:c r="G169" s="75" t="str">
        <x:f>IF($B169&lt;&gt;"",Ayarlar!$B$7,"")</x:f>
      </x:c>
      <x:c r="H169" s="82" t="str">
        <x:f>IF($B169&lt;&gt;"",1,"")</x:f>
      </x:c>
      <x:c r="I169" s="82" t="str">
        <x:f>IF($B169="","",IFERROR(XLOOKUP($C169,MakerWorld_Verileri!$A:$A,MakerWorld_Verileri!$D:$D,""),""))</x:f>
      </x:c>
      <x:c r="J169" s="82" t="str"/>
      <x:c r="K169" s="82" t="str">
        <x:f>IF($I169&lt;&gt;"",$I169,$J169)</x:f>
      </x:c>
      <x:c r="L169" s="82" t="str">
        <x:f>IF($B169="","",IFERROR(XLOOKUP($C169,MakerWorld_Verileri!$A:$A,MakerWorld_Verileri!$E:$E,""),""))</x:f>
      </x:c>
      <x:c r="M169" s="82" t="str"/>
      <x:c r="N169" s="82" t="str">
        <x:f>IF($L169&lt;&gt;"",$L169,$M169)</x:f>
      </x:c>
      <x:c r="O169" s="82" t="str">
        <x:f>IF($B169&lt;&gt;"",0,"")</x:f>
      </x:c>
      <x:c r="P169" s="75" t="str">
        <x:f>IF($B169&lt;&gt;"","Orta","")</x:f>
      </x:c>
      <x:c r="Q169" s="82" t="str">
        <x:f>IF($B169&lt;&gt;"",10,"")</x:f>
      </x:c>
      <x:c r="R169" s="83" t="str">
        <x:f>IF($B169&lt;&gt;"",Ayarlar!$B$10,"")</x:f>
      </x:c>
      <x:c r="S169" s="83" t="str">
        <x:f>IF($B169&lt;&gt;"",0,"")</x:f>
      </x:c>
      <x:c r="T169" s="83" t="n">
        <x:f>IFERROR(($K169+$O169)*XLOOKUP($G169,Ayarlar!$A$19:$A$28,Ayarlar!$C$19:$C$28,0)*(1+Ayarlar!$B$11),0)</x:f>
        <x:v>0</x:v>
      </x:c>
      <x:c r="U169" s="83" t="n">
        <x:f>IFERROR($N169/60*Ayarlar!$B$8,0)</x:f>
        <x:v>0</x:v>
      </x:c>
      <x:c r="V169" s="83" t="n">
        <x:f>IF($B169&lt;&gt;"",Ayarlar!$B$12+($Q169/60*Ayarlar!$B$9),0)</x:f>
        <x:v>0</x:v>
      </x:c>
      <x:c r="W169" s="83" t="n">
        <x:f>IF($B169&lt;&gt;"",SUM($T169:$V169,$R169:$S169),0)</x:f>
        <x:v>0</x:v>
      </x:c>
      <x:c r="X169" s="83" t="n">
        <x:f>IF($B169&lt;&gt;"",$W169*Ayarlar!$B$15,0)</x:f>
        <x:v>0</x:v>
      </x:c>
      <x:c r="Y169" s="83" t="n">
        <x:f>IF($B169&lt;&gt;"",($W169+$X169)*Ayarlar!$B$13,0)</x:f>
        <x:v>0</x:v>
      </x:c>
      <x:c r="Z169" s="83" t="n">
        <x:f>IF($B169&lt;&gt;"",($W169+$X169+$Y169)*Ayarlar!$B$14,0)</x:f>
        <x:v>0</x:v>
      </x:c>
      <x:c r="AA169" s="83" t="str">
        <x:f>IF($B169="","",IF(OR($K169="",$N169=""),"",CEILING($W169+$X169+$Y169+$Z169,Ayarlar!$B$16)))</x:f>
      </x:c>
      <x:c r="AB169" s="83" t="str">
        <x:f>IFERROR($AA169/$H169,"")</x:f>
      </x:c>
      <x:c r="AC169" s="75" t="str">
        <x:f>IF($B169="","",IF(OR($K169="",$N169=""),"Veri Eksik","Fiyat Hazır"))</x:f>
      </x:c>
      <x:c r="AD169" s="75" t="str">
        <x:f>IF($C169&lt;&gt;"","MW-"&amp;$C169,"")</x:f>
        <x:v>MW-80</x:v>
      </x:c>
      <x:c r="AE169" s="75" t="str">
        <x:f>IF($G169&lt;&gt;"","3D Baskı / "&amp;$G169,"3D Baskı")</x:f>
        <x:v>3D Baskı</x:v>
      </x:c>
      <x:c r="AF169" s="75" t="str">
        <x:f>IF($D169&lt;&gt;"",$D169&amp;" - "&amp;$G169,$AD169&amp;" - "&amp;$G169)</x:f>
        <x:v>MW-80 - </x:v>
      </x:c>
      <x:c r="AG169" s="75" t="str"/>
    </x:row>
    <x:row r="170">
      <x:c r="A170" s="75" t="str">
        <x:f>IF($B170&lt;&gt;"",ROW()-4,"")</x:f>
      </x:c>
      <x:c r="B170" s="75" t="str"/>
      <x:c r="C170" s="75" t="n">
        <x:f>IFERROR(LET(x,MID($B170,FIND("/models/",$B170)+8,80),y,LEFT(x,FIND("-",x&amp;"-")-1),LEFT(y,FIND("?",y&amp;"?")-1)),"")</x:f>
        <x:v>80</x:v>
      </x:c>
      <x:c r="D170" s="75" t="str">
        <x:f>IF($B170="","",IFERROR(XLOOKUP($C170,MakerWorld_Verileri!$A:$A,MakerWorld_Verileri!$B:$B,""),""))</x:f>
      </x:c>
      <x:c r="E170" s="75" t="str">
        <x:f>IF($B170="","",IFERROR(XLOOKUP($C170,MakerWorld_Verileri!$A:$A,MakerWorld_Verileri!$C:$C,""),""))</x:f>
      </x:c>
      <x:c r="F170" s="75" t="str"/>
      <x:c r="G170" s="75" t="str">
        <x:f>IF($B170&lt;&gt;"",Ayarlar!$B$7,"")</x:f>
      </x:c>
      <x:c r="H170" s="82" t="str">
        <x:f>IF($B170&lt;&gt;"",1,"")</x:f>
      </x:c>
      <x:c r="I170" s="82" t="str">
        <x:f>IF($B170="","",IFERROR(XLOOKUP($C170,MakerWorld_Verileri!$A:$A,MakerWorld_Verileri!$D:$D,""),""))</x:f>
      </x:c>
      <x:c r="J170" s="82" t="str"/>
      <x:c r="K170" s="82" t="str">
        <x:f>IF($I170&lt;&gt;"",$I170,$J170)</x:f>
      </x:c>
      <x:c r="L170" s="82" t="str">
        <x:f>IF($B170="","",IFERROR(XLOOKUP($C170,MakerWorld_Verileri!$A:$A,MakerWorld_Verileri!$E:$E,""),""))</x:f>
      </x:c>
      <x:c r="M170" s="82" t="str"/>
      <x:c r="N170" s="82" t="str">
        <x:f>IF($L170&lt;&gt;"",$L170,$M170)</x:f>
      </x:c>
      <x:c r="O170" s="82" t="str">
        <x:f>IF($B170&lt;&gt;"",0,"")</x:f>
      </x:c>
      <x:c r="P170" s="75" t="str">
        <x:f>IF($B170&lt;&gt;"","Orta","")</x:f>
      </x:c>
      <x:c r="Q170" s="82" t="str">
        <x:f>IF($B170&lt;&gt;"",10,"")</x:f>
      </x:c>
      <x:c r="R170" s="83" t="str">
        <x:f>IF($B170&lt;&gt;"",Ayarlar!$B$10,"")</x:f>
      </x:c>
      <x:c r="S170" s="83" t="str">
        <x:f>IF($B170&lt;&gt;"",0,"")</x:f>
      </x:c>
      <x:c r="T170" s="83" t="n">
        <x:f>IFERROR(($K170+$O170)*XLOOKUP($G170,Ayarlar!$A$19:$A$28,Ayarlar!$C$19:$C$28,0)*(1+Ayarlar!$B$11),0)</x:f>
        <x:v>0</x:v>
      </x:c>
      <x:c r="U170" s="83" t="n">
        <x:f>IFERROR($N170/60*Ayarlar!$B$8,0)</x:f>
        <x:v>0</x:v>
      </x:c>
      <x:c r="V170" s="83" t="n">
        <x:f>IF($B170&lt;&gt;"",Ayarlar!$B$12+($Q170/60*Ayarlar!$B$9),0)</x:f>
        <x:v>0</x:v>
      </x:c>
      <x:c r="W170" s="83" t="n">
        <x:f>IF($B170&lt;&gt;"",SUM($T170:$V170,$R170:$S170),0)</x:f>
        <x:v>0</x:v>
      </x:c>
      <x:c r="X170" s="83" t="n">
        <x:f>IF($B170&lt;&gt;"",$W170*Ayarlar!$B$15,0)</x:f>
        <x:v>0</x:v>
      </x:c>
      <x:c r="Y170" s="83" t="n">
        <x:f>IF($B170&lt;&gt;"",($W170+$X170)*Ayarlar!$B$13,0)</x:f>
        <x:v>0</x:v>
      </x:c>
      <x:c r="Z170" s="83" t="n">
        <x:f>IF($B170&lt;&gt;"",($W170+$X170+$Y170)*Ayarlar!$B$14,0)</x:f>
        <x:v>0</x:v>
      </x:c>
      <x:c r="AA170" s="83" t="str">
        <x:f>IF($B170="","",IF(OR($K170="",$N170=""),"",CEILING($W170+$X170+$Y170+$Z170,Ayarlar!$B$16)))</x:f>
      </x:c>
      <x:c r="AB170" s="83" t="str">
        <x:f>IFERROR($AA170/$H170,"")</x:f>
      </x:c>
      <x:c r="AC170" s="75" t="str">
        <x:f>IF($B170="","",IF(OR($K170="",$N170=""),"Veri Eksik","Fiyat Hazır"))</x:f>
      </x:c>
      <x:c r="AD170" s="75" t="str">
        <x:f>IF($C170&lt;&gt;"","MW-"&amp;$C170,"")</x:f>
        <x:v>MW-80</x:v>
      </x:c>
      <x:c r="AE170" s="75" t="str">
        <x:f>IF($G170&lt;&gt;"","3D Baskı / "&amp;$G170,"3D Baskı")</x:f>
        <x:v>3D Baskı</x:v>
      </x:c>
      <x:c r="AF170" s="75" t="str">
        <x:f>IF($D170&lt;&gt;"",$D170&amp;" - "&amp;$G170,$AD170&amp;" - "&amp;$G170)</x:f>
        <x:v>MW-80 - </x:v>
      </x:c>
      <x:c r="AG170" s="75" t="str"/>
    </x:row>
    <x:row r="171">
      <x:c r="A171" s="75" t="str">
        <x:f>IF($B171&lt;&gt;"",ROW()-4,"")</x:f>
      </x:c>
      <x:c r="B171" s="75" t="str"/>
      <x:c r="C171" s="75" t="n">
        <x:f>IFERROR(LET(x,MID($B171,FIND("/models/",$B171)+8,80),y,LEFT(x,FIND("-",x&amp;"-")-1),LEFT(y,FIND("?",y&amp;"?")-1)),"")</x:f>
        <x:v>80</x:v>
      </x:c>
      <x:c r="D171" s="75" t="str">
        <x:f>IF($B171="","",IFERROR(XLOOKUP($C171,MakerWorld_Verileri!$A:$A,MakerWorld_Verileri!$B:$B,""),""))</x:f>
      </x:c>
      <x:c r="E171" s="75" t="str">
        <x:f>IF($B171="","",IFERROR(XLOOKUP($C171,MakerWorld_Verileri!$A:$A,MakerWorld_Verileri!$C:$C,""),""))</x:f>
      </x:c>
      <x:c r="F171" s="75" t="str"/>
      <x:c r="G171" s="75" t="str">
        <x:f>IF($B171&lt;&gt;"",Ayarlar!$B$7,"")</x:f>
      </x:c>
      <x:c r="H171" s="82" t="str">
        <x:f>IF($B171&lt;&gt;"",1,"")</x:f>
      </x:c>
      <x:c r="I171" s="82" t="str">
        <x:f>IF($B171="","",IFERROR(XLOOKUP($C171,MakerWorld_Verileri!$A:$A,MakerWorld_Verileri!$D:$D,""),""))</x:f>
      </x:c>
      <x:c r="J171" s="82" t="str"/>
      <x:c r="K171" s="82" t="str">
        <x:f>IF($I171&lt;&gt;"",$I171,$J171)</x:f>
      </x:c>
      <x:c r="L171" s="82" t="str">
        <x:f>IF($B171="","",IFERROR(XLOOKUP($C171,MakerWorld_Verileri!$A:$A,MakerWorld_Verileri!$E:$E,""),""))</x:f>
      </x:c>
      <x:c r="M171" s="82" t="str"/>
      <x:c r="N171" s="82" t="str">
        <x:f>IF($L171&lt;&gt;"",$L171,$M171)</x:f>
      </x:c>
      <x:c r="O171" s="82" t="str">
        <x:f>IF($B171&lt;&gt;"",0,"")</x:f>
      </x:c>
      <x:c r="P171" s="75" t="str">
        <x:f>IF($B171&lt;&gt;"","Orta","")</x:f>
      </x:c>
      <x:c r="Q171" s="82" t="str">
        <x:f>IF($B171&lt;&gt;"",10,"")</x:f>
      </x:c>
      <x:c r="R171" s="83" t="str">
        <x:f>IF($B171&lt;&gt;"",Ayarlar!$B$10,"")</x:f>
      </x:c>
      <x:c r="S171" s="83" t="str">
        <x:f>IF($B171&lt;&gt;"",0,"")</x:f>
      </x:c>
      <x:c r="T171" s="83" t="n">
        <x:f>IFERROR(($K171+$O171)*XLOOKUP($G171,Ayarlar!$A$19:$A$28,Ayarlar!$C$19:$C$28,0)*(1+Ayarlar!$B$11),0)</x:f>
        <x:v>0</x:v>
      </x:c>
      <x:c r="U171" s="83" t="n">
        <x:f>IFERROR($N171/60*Ayarlar!$B$8,0)</x:f>
        <x:v>0</x:v>
      </x:c>
      <x:c r="V171" s="83" t="n">
        <x:f>IF($B171&lt;&gt;"",Ayarlar!$B$12+($Q171/60*Ayarlar!$B$9),0)</x:f>
        <x:v>0</x:v>
      </x:c>
      <x:c r="W171" s="83" t="n">
        <x:f>IF($B171&lt;&gt;"",SUM($T171:$V171,$R171:$S171),0)</x:f>
        <x:v>0</x:v>
      </x:c>
      <x:c r="X171" s="83" t="n">
        <x:f>IF($B171&lt;&gt;"",$W171*Ayarlar!$B$15,0)</x:f>
        <x:v>0</x:v>
      </x:c>
      <x:c r="Y171" s="83" t="n">
        <x:f>IF($B171&lt;&gt;"",($W171+$X171)*Ayarlar!$B$13,0)</x:f>
        <x:v>0</x:v>
      </x:c>
      <x:c r="Z171" s="83" t="n">
        <x:f>IF($B171&lt;&gt;"",($W171+$X171+$Y171)*Ayarlar!$B$14,0)</x:f>
        <x:v>0</x:v>
      </x:c>
      <x:c r="AA171" s="83" t="str">
        <x:f>IF($B171="","",IF(OR($K171="",$N171=""),"",CEILING($W171+$X171+$Y171+$Z171,Ayarlar!$B$16)))</x:f>
      </x:c>
      <x:c r="AB171" s="83" t="str">
        <x:f>IFERROR($AA171/$H171,"")</x:f>
      </x:c>
      <x:c r="AC171" s="75" t="str">
        <x:f>IF($B171="","",IF(OR($K171="",$N171=""),"Veri Eksik","Fiyat Hazır"))</x:f>
      </x:c>
      <x:c r="AD171" s="75" t="str">
        <x:f>IF($C171&lt;&gt;"","MW-"&amp;$C171,"")</x:f>
        <x:v>MW-80</x:v>
      </x:c>
      <x:c r="AE171" s="75" t="str">
        <x:f>IF($G171&lt;&gt;"","3D Baskı / "&amp;$G171,"3D Baskı")</x:f>
        <x:v>3D Baskı</x:v>
      </x:c>
      <x:c r="AF171" s="75" t="str">
        <x:f>IF($D171&lt;&gt;"",$D171&amp;" - "&amp;$G171,$AD171&amp;" - "&amp;$G171)</x:f>
        <x:v>MW-80 - </x:v>
      </x:c>
      <x:c r="AG171" s="75" t="str"/>
    </x:row>
    <x:row r="172">
      <x:c r="A172" s="75" t="str">
        <x:f>IF($B172&lt;&gt;"",ROW()-4,"")</x:f>
      </x:c>
      <x:c r="B172" s="75" t="str"/>
      <x:c r="C172" s="75" t="n">
        <x:f>IFERROR(LET(x,MID($B172,FIND("/models/",$B172)+8,80),y,LEFT(x,FIND("-",x&amp;"-")-1),LEFT(y,FIND("?",y&amp;"?")-1)),"")</x:f>
        <x:v>80</x:v>
      </x:c>
      <x:c r="D172" s="75" t="str">
        <x:f>IF($B172="","",IFERROR(XLOOKUP($C172,MakerWorld_Verileri!$A:$A,MakerWorld_Verileri!$B:$B,""),""))</x:f>
      </x:c>
      <x:c r="E172" s="75" t="str">
        <x:f>IF($B172="","",IFERROR(XLOOKUP($C172,MakerWorld_Verileri!$A:$A,MakerWorld_Verileri!$C:$C,""),""))</x:f>
      </x:c>
      <x:c r="F172" s="75" t="str"/>
      <x:c r="G172" s="75" t="str">
        <x:f>IF($B172&lt;&gt;"",Ayarlar!$B$7,"")</x:f>
      </x:c>
      <x:c r="H172" s="82" t="str">
        <x:f>IF($B172&lt;&gt;"",1,"")</x:f>
      </x:c>
      <x:c r="I172" s="82" t="str">
        <x:f>IF($B172="","",IFERROR(XLOOKUP($C172,MakerWorld_Verileri!$A:$A,MakerWorld_Verileri!$D:$D,""),""))</x:f>
      </x:c>
      <x:c r="J172" s="82" t="str"/>
      <x:c r="K172" s="82" t="str">
        <x:f>IF($I172&lt;&gt;"",$I172,$J172)</x:f>
      </x:c>
      <x:c r="L172" s="82" t="str">
        <x:f>IF($B172="","",IFERROR(XLOOKUP($C172,MakerWorld_Verileri!$A:$A,MakerWorld_Verileri!$E:$E,""),""))</x:f>
      </x:c>
      <x:c r="M172" s="82" t="str"/>
      <x:c r="N172" s="82" t="str">
        <x:f>IF($L172&lt;&gt;"",$L172,$M172)</x:f>
      </x:c>
      <x:c r="O172" s="82" t="str">
        <x:f>IF($B172&lt;&gt;"",0,"")</x:f>
      </x:c>
      <x:c r="P172" s="75" t="str">
        <x:f>IF($B172&lt;&gt;"","Orta","")</x:f>
      </x:c>
      <x:c r="Q172" s="82" t="str">
        <x:f>IF($B172&lt;&gt;"",10,"")</x:f>
      </x:c>
      <x:c r="R172" s="83" t="str">
        <x:f>IF($B172&lt;&gt;"",Ayarlar!$B$10,"")</x:f>
      </x:c>
      <x:c r="S172" s="83" t="str">
        <x:f>IF($B172&lt;&gt;"",0,"")</x:f>
      </x:c>
      <x:c r="T172" s="83" t="n">
        <x:f>IFERROR(($K172+$O172)*XLOOKUP($G172,Ayarlar!$A$19:$A$28,Ayarlar!$C$19:$C$28,0)*(1+Ayarlar!$B$11),0)</x:f>
        <x:v>0</x:v>
      </x:c>
      <x:c r="U172" s="83" t="n">
        <x:f>IFERROR($N172/60*Ayarlar!$B$8,0)</x:f>
        <x:v>0</x:v>
      </x:c>
      <x:c r="V172" s="83" t="n">
        <x:f>IF($B172&lt;&gt;"",Ayarlar!$B$12+($Q172/60*Ayarlar!$B$9),0)</x:f>
        <x:v>0</x:v>
      </x:c>
      <x:c r="W172" s="83" t="n">
        <x:f>IF($B172&lt;&gt;"",SUM($T172:$V172,$R172:$S172),0)</x:f>
        <x:v>0</x:v>
      </x:c>
      <x:c r="X172" s="83" t="n">
        <x:f>IF($B172&lt;&gt;"",$W172*Ayarlar!$B$15,0)</x:f>
        <x:v>0</x:v>
      </x:c>
      <x:c r="Y172" s="83" t="n">
        <x:f>IF($B172&lt;&gt;"",($W172+$X172)*Ayarlar!$B$13,0)</x:f>
        <x:v>0</x:v>
      </x:c>
      <x:c r="Z172" s="83" t="n">
        <x:f>IF($B172&lt;&gt;"",($W172+$X172+$Y172)*Ayarlar!$B$14,0)</x:f>
        <x:v>0</x:v>
      </x:c>
      <x:c r="AA172" s="83" t="str">
        <x:f>IF($B172="","",IF(OR($K172="",$N172=""),"",CEILING($W172+$X172+$Y172+$Z172,Ayarlar!$B$16)))</x:f>
      </x:c>
      <x:c r="AB172" s="83" t="str">
        <x:f>IFERROR($AA172/$H172,"")</x:f>
      </x:c>
      <x:c r="AC172" s="75" t="str">
        <x:f>IF($B172="","",IF(OR($K172="",$N172=""),"Veri Eksik","Fiyat Hazır"))</x:f>
      </x:c>
      <x:c r="AD172" s="75" t="str">
        <x:f>IF($C172&lt;&gt;"","MW-"&amp;$C172,"")</x:f>
        <x:v>MW-80</x:v>
      </x:c>
      <x:c r="AE172" s="75" t="str">
        <x:f>IF($G172&lt;&gt;"","3D Baskı / "&amp;$G172,"3D Baskı")</x:f>
        <x:v>3D Baskı</x:v>
      </x:c>
      <x:c r="AF172" s="75" t="str">
        <x:f>IF($D172&lt;&gt;"",$D172&amp;" - "&amp;$G172,$AD172&amp;" - "&amp;$G172)</x:f>
        <x:v>MW-80 - </x:v>
      </x:c>
      <x:c r="AG172" s="75" t="str"/>
    </x:row>
    <x:row r="173">
      <x:c r="A173" s="75" t="str">
        <x:f>IF($B173&lt;&gt;"",ROW()-4,"")</x:f>
      </x:c>
      <x:c r="B173" s="75" t="str"/>
      <x:c r="C173" s="75" t="n">
        <x:f>IFERROR(LET(x,MID($B173,FIND("/models/",$B173)+8,80),y,LEFT(x,FIND("-",x&amp;"-")-1),LEFT(y,FIND("?",y&amp;"?")-1)),"")</x:f>
        <x:v>80</x:v>
      </x:c>
      <x:c r="D173" s="75" t="str">
        <x:f>IF($B173="","",IFERROR(XLOOKUP($C173,MakerWorld_Verileri!$A:$A,MakerWorld_Verileri!$B:$B,""),""))</x:f>
      </x:c>
      <x:c r="E173" s="75" t="str">
        <x:f>IF($B173="","",IFERROR(XLOOKUP($C173,MakerWorld_Verileri!$A:$A,MakerWorld_Verileri!$C:$C,""),""))</x:f>
      </x:c>
      <x:c r="F173" s="75" t="str"/>
      <x:c r="G173" s="75" t="str">
        <x:f>IF($B173&lt;&gt;"",Ayarlar!$B$7,"")</x:f>
      </x:c>
      <x:c r="H173" s="82" t="str">
        <x:f>IF($B173&lt;&gt;"",1,"")</x:f>
      </x:c>
      <x:c r="I173" s="82" t="str">
        <x:f>IF($B173="","",IFERROR(XLOOKUP($C173,MakerWorld_Verileri!$A:$A,MakerWorld_Verileri!$D:$D,""),""))</x:f>
      </x:c>
      <x:c r="J173" s="82" t="str"/>
      <x:c r="K173" s="82" t="str">
        <x:f>IF($I173&lt;&gt;"",$I173,$J173)</x:f>
      </x:c>
      <x:c r="L173" s="82" t="str">
        <x:f>IF($B173="","",IFERROR(XLOOKUP($C173,MakerWorld_Verileri!$A:$A,MakerWorld_Verileri!$E:$E,""),""))</x:f>
      </x:c>
      <x:c r="M173" s="82" t="str"/>
      <x:c r="N173" s="82" t="str">
        <x:f>IF($L173&lt;&gt;"",$L173,$M173)</x:f>
      </x:c>
      <x:c r="O173" s="82" t="str">
        <x:f>IF($B173&lt;&gt;"",0,"")</x:f>
      </x:c>
      <x:c r="P173" s="75" t="str">
        <x:f>IF($B173&lt;&gt;"","Orta","")</x:f>
      </x:c>
      <x:c r="Q173" s="82" t="str">
        <x:f>IF($B173&lt;&gt;"",10,"")</x:f>
      </x:c>
      <x:c r="R173" s="83" t="str">
        <x:f>IF($B173&lt;&gt;"",Ayarlar!$B$10,"")</x:f>
      </x:c>
      <x:c r="S173" s="83" t="str">
        <x:f>IF($B173&lt;&gt;"",0,"")</x:f>
      </x:c>
      <x:c r="T173" s="83" t="n">
        <x:f>IFERROR(($K173+$O173)*XLOOKUP($G173,Ayarlar!$A$19:$A$28,Ayarlar!$C$19:$C$28,0)*(1+Ayarlar!$B$11),0)</x:f>
        <x:v>0</x:v>
      </x:c>
      <x:c r="U173" s="83" t="n">
        <x:f>IFERROR($N173/60*Ayarlar!$B$8,0)</x:f>
        <x:v>0</x:v>
      </x:c>
      <x:c r="V173" s="83" t="n">
        <x:f>IF($B173&lt;&gt;"",Ayarlar!$B$12+($Q173/60*Ayarlar!$B$9),0)</x:f>
        <x:v>0</x:v>
      </x:c>
      <x:c r="W173" s="83" t="n">
        <x:f>IF($B173&lt;&gt;"",SUM($T173:$V173,$R173:$S173),0)</x:f>
        <x:v>0</x:v>
      </x:c>
      <x:c r="X173" s="83" t="n">
        <x:f>IF($B173&lt;&gt;"",$W173*Ayarlar!$B$15,0)</x:f>
        <x:v>0</x:v>
      </x:c>
      <x:c r="Y173" s="83" t="n">
        <x:f>IF($B173&lt;&gt;"",($W173+$X173)*Ayarlar!$B$13,0)</x:f>
        <x:v>0</x:v>
      </x:c>
      <x:c r="Z173" s="83" t="n">
        <x:f>IF($B173&lt;&gt;"",($W173+$X173+$Y173)*Ayarlar!$B$14,0)</x:f>
        <x:v>0</x:v>
      </x:c>
      <x:c r="AA173" s="83" t="str">
        <x:f>IF($B173="","",IF(OR($K173="",$N173=""),"",CEILING($W173+$X173+$Y173+$Z173,Ayarlar!$B$16)))</x:f>
      </x:c>
      <x:c r="AB173" s="83" t="str">
        <x:f>IFERROR($AA173/$H173,"")</x:f>
      </x:c>
      <x:c r="AC173" s="75" t="str">
        <x:f>IF($B173="","",IF(OR($K173="",$N173=""),"Veri Eksik","Fiyat Hazır"))</x:f>
      </x:c>
      <x:c r="AD173" s="75" t="str">
        <x:f>IF($C173&lt;&gt;"","MW-"&amp;$C173,"")</x:f>
        <x:v>MW-80</x:v>
      </x:c>
      <x:c r="AE173" s="75" t="str">
        <x:f>IF($G173&lt;&gt;"","3D Baskı / "&amp;$G173,"3D Baskı")</x:f>
        <x:v>3D Baskı</x:v>
      </x:c>
      <x:c r="AF173" s="75" t="str">
        <x:f>IF($D173&lt;&gt;"",$D173&amp;" - "&amp;$G173,$AD173&amp;" - "&amp;$G173)</x:f>
        <x:v>MW-80 - </x:v>
      </x:c>
      <x:c r="AG173" s="75" t="str"/>
    </x:row>
    <x:row r="174">
      <x:c r="A174" s="75" t="str">
        <x:f>IF($B174&lt;&gt;"",ROW()-4,"")</x:f>
      </x:c>
      <x:c r="B174" s="75" t="str"/>
      <x:c r="C174" s="75" t="n">
        <x:f>IFERROR(LET(x,MID($B174,FIND("/models/",$B174)+8,80),y,LEFT(x,FIND("-",x&amp;"-")-1),LEFT(y,FIND("?",y&amp;"?")-1)),"")</x:f>
        <x:v>80</x:v>
      </x:c>
      <x:c r="D174" s="75" t="str">
        <x:f>IF($B174="","",IFERROR(XLOOKUP($C174,MakerWorld_Verileri!$A:$A,MakerWorld_Verileri!$B:$B,""),""))</x:f>
      </x:c>
      <x:c r="E174" s="75" t="str">
        <x:f>IF($B174="","",IFERROR(XLOOKUP($C174,MakerWorld_Verileri!$A:$A,MakerWorld_Verileri!$C:$C,""),""))</x:f>
      </x:c>
      <x:c r="F174" s="75" t="str"/>
      <x:c r="G174" s="75" t="str">
        <x:f>IF($B174&lt;&gt;"",Ayarlar!$B$7,"")</x:f>
      </x:c>
      <x:c r="H174" s="82" t="str">
        <x:f>IF($B174&lt;&gt;"",1,"")</x:f>
      </x:c>
      <x:c r="I174" s="82" t="str">
        <x:f>IF($B174="","",IFERROR(XLOOKUP($C174,MakerWorld_Verileri!$A:$A,MakerWorld_Verileri!$D:$D,""),""))</x:f>
      </x:c>
      <x:c r="J174" s="82" t="str"/>
      <x:c r="K174" s="82" t="str">
        <x:f>IF($I174&lt;&gt;"",$I174,$J174)</x:f>
      </x:c>
      <x:c r="L174" s="82" t="str">
        <x:f>IF($B174="","",IFERROR(XLOOKUP($C174,MakerWorld_Verileri!$A:$A,MakerWorld_Verileri!$E:$E,""),""))</x:f>
      </x:c>
      <x:c r="M174" s="82" t="str"/>
      <x:c r="N174" s="82" t="str">
        <x:f>IF($L174&lt;&gt;"",$L174,$M174)</x:f>
      </x:c>
      <x:c r="O174" s="82" t="str">
        <x:f>IF($B174&lt;&gt;"",0,"")</x:f>
      </x:c>
      <x:c r="P174" s="75" t="str">
        <x:f>IF($B174&lt;&gt;"","Orta","")</x:f>
      </x:c>
      <x:c r="Q174" s="82" t="str">
        <x:f>IF($B174&lt;&gt;"",10,"")</x:f>
      </x:c>
      <x:c r="R174" s="83" t="str">
        <x:f>IF($B174&lt;&gt;"",Ayarlar!$B$10,"")</x:f>
      </x:c>
      <x:c r="S174" s="83" t="str">
        <x:f>IF($B174&lt;&gt;"",0,"")</x:f>
      </x:c>
      <x:c r="T174" s="83" t="n">
        <x:f>IFERROR(($K174+$O174)*XLOOKUP($G174,Ayarlar!$A$19:$A$28,Ayarlar!$C$19:$C$28,0)*(1+Ayarlar!$B$11),0)</x:f>
        <x:v>0</x:v>
      </x:c>
      <x:c r="U174" s="83" t="n">
        <x:f>IFERROR($N174/60*Ayarlar!$B$8,0)</x:f>
        <x:v>0</x:v>
      </x:c>
      <x:c r="V174" s="83" t="n">
        <x:f>IF($B174&lt;&gt;"",Ayarlar!$B$12+($Q174/60*Ayarlar!$B$9),0)</x:f>
        <x:v>0</x:v>
      </x:c>
      <x:c r="W174" s="83" t="n">
        <x:f>IF($B174&lt;&gt;"",SUM($T174:$V174,$R174:$S174),0)</x:f>
        <x:v>0</x:v>
      </x:c>
      <x:c r="X174" s="83" t="n">
        <x:f>IF($B174&lt;&gt;"",$W174*Ayarlar!$B$15,0)</x:f>
        <x:v>0</x:v>
      </x:c>
      <x:c r="Y174" s="83" t="n">
        <x:f>IF($B174&lt;&gt;"",($W174+$X174)*Ayarlar!$B$13,0)</x:f>
        <x:v>0</x:v>
      </x:c>
      <x:c r="Z174" s="83" t="n">
        <x:f>IF($B174&lt;&gt;"",($W174+$X174+$Y174)*Ayarlar!$B$14,0)</x:f>
        <x:v>0</x:v>
      </x:c>
      <x:c r="AA174" s="83" t="str">
        <x:f>IF($B174="","",IF(OR($K174="",$N174=""),"",CEILING($W174+$X174+$Y174+$Z174,Ayarlar!$B$16)))</x:f>
      </x:c>
      <x:c r="AB174" s="83" t="str">
        <x:f>IFERROR($AA174/$H174,"")</x:f>
      </x:c>
      <x:c r="AC174" s="75" t="str">
        <x:f>IF($B174="","",IF(OR($K174="",$N174=""),"Veri Eksik","Fiyat Hazır"))</x:f>
      </x:c>
      <x:c r="AD174" s="75" t="str">
        <x:f>IF($C174&lt;&gt;"","MW-"&amp;$C174,"")</x:f>
        <x:v>MW-80</x:v>
      </x:c>
      <x:c r="AE174" s="75" t="str">
        <x:f>IF($G174&lt;&gt;"","3D Baskı / "&amp;$G174,"3D Baskı")</x:f>
        <x:v>3D Baskı</x:v>
      </x:c>
      <x:c r="AF174" s="75" t="str">
        <x:f>IF($D174&lt;&gt;"",$D174&amp;" - "&amp;$G174,$AD174&amp;" - "&amp;$G174)</x:f>
        <x:v>MW-80 - </x:v>
      </x:c>
      <x:c r="AG174" s="75" t="str"/>
    </x:row>
    <x:row r="175">
      <x:c r="A175" s="75" t="str">
        <x:f>IF($B175&lt;&gt;"",ROW()-4,"")</x:f>
      </x:c>
      <x:c r="B175" s="75" t="str"/>
      <x:c r="C175" s="75" t="n">
        <x:f>IFERROR(LET(x,MID($B175,FIND("/models/",$B175)+8,80),y,LEFT(x,FIND("-",x&amp;"-")-1),LEFT(y,FIND("?",y&amp;"?")-1)),"")</x:f>
        <x:v>80</x:v>
      </x:c>
      <x:c r="D175" s="75" t="str">
        <x:f>IF($B175="","",IFERROR(XLOOKUP($C175,MakerWorld_Verileri!$A:$A,MakerWorld_Verileri!$B:$B,""),""))</x:f>
      </x:c>
      <x:c r="E175" s="75" t="str">
        <x:f>IF($B175="","",IFERROR(XLOOKUP($C175,MakerWorld_Verileri!$A:$A,MakerWorld_Verileri!$C:$C,""),""))</x:f>
      </x:c>
      <x:c r="F175" s="75" t="str"/>
      <x:c r="G175" s="75" t="str">
        <x:f>IF($B175&lt;&gt;"",Ayarlar!$B$7,"")</x:f>
      </x:c>
      <x:c r="H175" s="82" t="str">
        <x:f>IF($B175&lt;&gt;"",1,"")</x:f>
      </x:c>
      <x:c r="I175" s="82" t="str">
        <x:f>IF($B175="","",IFERROR(XLOOKUP($C175,MakerWorld_Verileri!$A:$A,MakerWorld_Verileri!$D:$D,""),""))</x:f>
      </x:c>
      <x:c r="J175" s="82" t="str"/>
      <x:c r="K175" s="82" t="str">
        <x:f>IF($I175&lt;&gt;"",$I175,$J175)</x:f>
      </x:c>
      <x:c r="L175" s="82" t="str">
        <x:f>IF($B175="","",IFERROR(XLOOKUP($C175,MakerWorld_Verileri!$A:$A,MakerWorld_Verileri!$E:$E,""),""))</x:f>
      </x:c>
      <x:c r="M175" s="82" t="str"/>
      <x:c r="N175" s="82" t="str">
        <x:f>IF($L175&lt;&gt;"",$L175,$M175)</x:f>
      </x:c>
      <x:c r="O175" s="82" t="str">
        <x:f>IF($B175&lt;&gt;"",0,"")</x:f>
      </x:c>
      <x:c r="P175" s="75" t="str">
        <x:f>IF($B175&lt;&gt;"","Orta","")</x:f>
      </x:c>
      <x:c r="Q175" s="82" t="str">
        <x:f>IF($B175&lt;&gt;"",10,"")</x:f>
      </x:c>
      <x:c r="R175" s="83" t="str">
        <x:f>IF($B175&lt;&gt;"",Ayarlar!$B$10,"")</x:f>
      </x:c>
      <x:c r="S175" s="83" t="str">
        <x:f>IF($B175&lt;&gt;"",0,"")</x:f>
      </x:c>
      <x:c r="T175" s="83" t="n">
        <x:f>IFERROR(($K175+$O175)*XLOOKUP($G175,Ayarlar!$A$19:$A$28,Ayarlar!$C$19:$C$28,0)*(1+Ayarlar!$B$11),0)</x:f>
        <x:v>0</x:v>
      </x:c>
      <x:c r="U175" s="83" t="n">
        <x:f>IFERROR($N175/60*Ayarlar!$B$8,0)</x:f>
        <x:v>0</x:v>
      </x:c>
      <x:c r="V175" s="83" t="n">
        <x:f>IF($B175&lt;&gt;"",Ayarlar!$B$12+($Q175/60*Ayarlar!$B$9),0)</x:f>
        <x:v>0</x:v>
      </x:c>
      <x:c r="W175" s="83" t="n">
        <x:f>IF($B175&lt;&gt;"",SUM($T175:$V175,$R175:$S175),0)</x:f>
        <x:v>0</x:v>
      </x:c>
      <x:c r="X175" s="83" t="n">
        <x:f>IF($B175&lt;&gt;"",$W175*Ayarlar!$B$15,0)</x:f>
        <x:v>0</x:v>
      </x:c>
      <x:c r="Y175" s="83" t="n">
        <x:f>IF($B175&lt;&gt;"",($W175+$X175)*Ayarlar!$B$13,0)</x:f>
        <x:v>0</x:v>
      </x:c>
      <x:c r="Z175" s="83" t="n">
        <x:f>IF($B175&lt;&gt;"",($W175+$X175+$Y175)*Ayarlar!$B$14,0)</x:f>
        <x:v>0</x:v>
      </x:c>
      <x:c r="AA175" s="83" t="str">
        <x:f>IF($B175="","",IF(OR($K175="",$N175=""),"",CEILING($W175+$X175+$Y175+$Z175,Ayarlar!$B$16)))</x:f>
      </x:c>
      <x:c r="AB175" s="83" t="str">
        <x:f>IFERROR($AA175/$H175,"")</x:f>
      </x:c>
      <x:c r="AC175" s="75" t="str">
        <x:f>IF($B175="","",IF(OR($K175="",$N175=""),"Veri Eksik","Fiyat Hazır"))</x:f>
      </x:c>
      <x:c r="AD175" s="75" t="str">
        <x:f>IF($C175&lt;&gt;"","MW-"&amp;$C175,"")</x:f>
        <x:v>MW-80</x:v>
      </x:c>
      <x:c r="AE175" s="75" t="str">
        <x:f>IF($G175&lt;&gt;"","3D Baskı / "&amp;$G175,"3D Baskı")</x:f>
        <x:v>3D Baskı</x:v>
      </x:c>
      <x:c r="AF175" s="75" t="str">
        <x:f>IF($D175&lt;&gt;"",$D175&amp;" - "&amp;$G175,$AD175&amp;" - "&amp;$G175)</x:f>
        <x:v>MW-80 - </x:v>
      </x:c>
      <x:c r="AG175" s="75" t="str"/>
    </x:row>
    <x:row r="176">
      <x:c r="A176" s="75" t="str">
        <x:f>IF($B176&lt;&gt;"",ROW()-4,"")</x:f>
      </x:c>
      <x:c r="B176" s="75" t="str"/>
      <x:c r="C176" s="75" t="n">
        <x:f>IFERROR(LET(x,MID($B176,FIND("/models/",$B176)+8,80),y,LEFT(x,FIND("-",x&amp;"-")-1),LEFT(y,FIND("?",y&amp;"?")-1)),"")</x:f>
        <x:v>80</x:v>
      </x:c>
      <x:c r="D176" s="75" t="str">
        <x:f>IF($B176="","",IFERROR(XLOOKUP($C176,MakerWorld_Verileri!$A:$A,MakerWorld_Verileri!$B:$B,""),""))</x:f>
      </x:c>
      <x:c r="E176" s="75" t="str">
        <x:f>IF($B176="","",IFERROR(XLOOKUP($C176,MakerWorld_Verileri!$A:$A,MakerWorld_Verileri!$C:$C,""),""))</x:f>
      </x:c>
      <x:c r="F176" s="75" t="str"/>
      <x:c r="G176" s="75" t="str">
        <x:f>IF($B176&lt;&gt;"",Ayarlar!$B$7,"")</x:f>
      </x:c>
      <x:c r="H176" s="82" t="str">
        <x:f>IF($B176&lt;&gt;"",1,"")</x:f>
      </x:c>
      <x:c r="I176" s="82" t="str">
        <x:f>IF($B176="","",IFERROR(XLOOKUP($C176,MakerWorld_Verileri!$A:$A,MakerWorld_Verileri!$D:$D,""),""))</x:f>
      </x:c>
      <x:c r="J176" s="82" t="str"/>
      <x:c r="K176" s="82" t="str">
        <x:f>IF($I176&lt;&gt;"",$I176,$J176)</x:f>
      </x:c>
      <x:c r="L176" s="82" t="str">
        <x:f>IF($B176="","",IFERROR(XLOOKUP($C176,MakerWorld_Verileri!$A:$A,MakerWorld_Verileri!$E:$E,""),""))</x:f>
      </x:c>
      <x:c r="M176" s="82" t="str"/>
      <x:c r="N176" s="82" t="str">
        <x:f>IF($L176&lt;&gt;"",$L176,$M176)</x:f>
      </x:c>
      <x:c r="O176" s="82" t="str">
        <x:f>IF($B176&lt;&gt;"",0,"")</x:f>
      </x:c>
      <x:c r="P176" s="75" t="str">
        <x:f>IF($B176&lt;&gt;"","Orta","")</x:f>
      </x:c>
      <x:c r="Q176" s="82" t="str">
        <x:f>IF($B176&lt;&gt;"",10,"")</x:f>
      </x:c>
      <x:c r="R176" s="83" t="str">
        <x:f>IF($B176&lt;&gt;"",Ayarlar!$B$10,"")</x:f>
      </x:c>
      <x:c r="S176" s="83" t="str">
        <x:f>IF($B176&lt;&gt;"",0,"")</x:f>
      </x:c>
      <x:c r="T176" s="83" t="n">
        <x:f>IFERROR(($K176+$O176)*XLOOKUP($G176,Ayarlar!$A$19:$A$28,Ayarlar!$C$19:$C$28,0)*(1+Ayarlar!$B$11),0)</x:f>
        <x:v>0</x:v>
      </x:c>
      <x:c r="U176" s="83" t="n">
        <x:f>IFERROR($N176/60*Ayarlar!$B$8,0)</x:f>
        <x:v>0</x:v>
      </x:c>
      <x:c r="V176" s="83" t="n">
        <x:f>IF($B176&lt;&gt;"",Ayarlar!$B$12+($Q176/60*Ayarlar!$B$9),0)</x:f>
        <x:v>0</x:v>
      </x:c>
      <x:c r="W176" s="83" t="n">
        <x:f>IF($B176&lt;&gt;"",SUM($T176:$V176,$R176:$S176),0)</x:f>
        <x:v>0</x:v>
      </x:c>
      <x:c r="X176" s="83" t="n">
        <x:f>IF($B176&lt;&gt;"",$W176*Ayarlar!$B$15,0)</x:f>
        <x:v>0</x:v>
      </x:c>
      <x:c r="Y176" s="83" t="n">
        <x:f>IF($B176&lt;&gt;"",($W176+$X176)*Ayarlar!$B$13,0)</x:f>
        <x:v>0</x:v>
      </x:c>
      <x:c r="Z176" s="83" t="n">
        <x:f>IF($B176&lt;&gt;"",($W176+$X176+$Y176)*Ayarlar!$B$14,0)</x:f>
        <x:v>0</x:v>
      </x:c>
      <x:c r="AA176" s="83" t="str">
        <x:f>IF($B176="","",IF(OR($K176="",$N176=""),"",CEILING($W176+$X176+$Y176+$Z176,Ayarlar!$B$16)))</x:f>
      </x:c>
      <x:c r="AB176" s="83" t="str">
        <x:f>IFERROR($AA176/$H176,"")</x:f>
      </x:c>
      <x:c r="AC176" s="75" t="str">
        <x:f>IF($B176="","",IF(OR($K176="",$N176=""),"Veri Eksik","Fiyat Hazır"))</x:f>
      </x:c>
      <x:c r="AD176" s="75" t="str">
        <x:f>IF($C176&lt;&gt;"","MW-"&amp;$C176,"")</x:f>
        <x:v>MW-80</x:v>
      </x:c>
      <x:c r="AE176" s="75" t="str">
        <x:f>IF($G176&lt;&gt;"","3D Baskı / "&amp;$G176,"3D Baskı")</x:f>
        <x:v>3D Baskı</x:v>
      </x:c>
      <x:c r="AF176" s="75" t="str">
        <x:f>IF($D176&lt;&gt;"",$D176&amp;" - "&amp;$G176,$AD176&amp;" - "&amp;$G176)</x:f>
        <x:v>MW-80 - </x:v>
      </x:c>
      <x:c r="AG176" s="75" t="str"/>
    </x:row>
    <x:row r="177">
      <x:c r="A177" s="75" t="str">
        <x:f>IF($B177&lt;&gt;"",ROW()-4,"")</x:f>
      </x:c>
      <x:c r="B177" s="75" t="str"/>
      <x:c r="C177" s="75" t="n">
        <x:f>IFERROR(LET(x,MID($B177,FIND("/models/",$B177)+8,80),y,LEFT(x,FIND("-",x&amp;"-")-1),LEFT(y,FIND("?",y&amp;"?")-1)),"")</x:f>
        <x:v>80</x:v>
      </x:c>
      <x:c r="D177" s="75" t="str">
        <x:f>IF($B177="","",IFERROR(XLOOKUP($C177,MakerWorld_Verileri!$A:$A,MakerWorld_Verileri!$B:$B,""),""))</x:f>
      </x:c>
      <x:c r="E177" s="75" t="str">
        <x:f>IF($B177="","",IFERROR(XLOOKUP($C177,MakerWorld_Verileri!$A:$A,MakerWorld_Verileri!$C:$C,""),""))</x:f>
      </x:c>
      <x:c r="F177" s="75" t="str"/>
      <x:c r="G177" s="75" t="str">
        <x:f>IF($B177&lt;&gt;"",Ayarlar!$B$7,"")</x:f>
      </x:c>
      <x:c r="H177" s="82" t="str">
        <x:f>IF($B177&lt;&gt;"",1,"")</x:f>
      </x:c>
      <x:c r="I177" s="82" t="str">
        <x:f>IF($B177="","",IFERROR(XLOOKUP($C177,MakerWorld_Verileri!$A:$A,MakerWorld_Verileri!$D:$D,""),""))</x:f>
      </x:c>
      <x:c r="J177" s="82" t="str"/>
      <x:c r="K177" s="82" t="str">
        <x:f>IF($I177&lt;&gt;"",$I177,$J177)</x:f>
      </x:c>
      <x:c r="L177" s="82" t="str">
        <x:f>IF($B177="","",IFERROR(XLOOKUP($C177,MakerWorld_Verileri!$A:$A,MakerWorld_Verileri!$E:$E,""),""))</x:f>
      </x:c>
      <x:c r="M177" s="82" t="str"/>
      <x:c r="N177" s="82" t="str">
        <x:f>IF($L177&lt;&gt;"",$L177,$M177)</x:f>
      </x:c>
      <x:c r="O177" s="82" t="str">
        <x:f>IF($B177&lt;&gt;"",0,"")</x:f>
      </x:c>
      <x:c r="P177" s="75" t="str">
        <x:f>IF($B177&lt;&gt;"","Orta","")</x:f>
      </x:c>
      <x:c r="Q177" s="82" t="str">
        <x:f>IF($B177&lt;&gt;"",10,"")</x:f>
      </x:c>
      <x:c r="R177" s="83" t="str">
        <x:f>IF($B177&lt;&gt;"",Ayarlar!$B$10,"")</x:f>
      </x:c>
      <x:c r="S177" s="83" t="str">
        <x:f>IF($B177&lt;&gt;"",0,"")</x:f>
      </x:c>
      <x:c r="T177" s="83" t="n">
        <x:f>IFERROR(($K177+$O177)*XLOOKUP($G177,Ayarlar!$A$19:$A$28,Ayarlar!$C$19:$C$28,0)*(1+Ayarlar!$B$11),0)</x:f>
        <x:v>0</x:v>
      </x:c>
      <x:c r="U177" s="83" t="n">
        <x:f>IFERROR($N177/60*Ayarlar!$B$8,0)</x:f>
        <x:v>0</x:v>
      </x:c>
      <x:c r="V177" s="83" t="n">
        <x:f>IF($B177&lt;&gt;"",Ayarlar!$B$12+($Q177/60*Ayarlar!$B$9),0)</x:f>
        <x:v>0</x:v>
      </x:c>
      <x:c r="W177" s="83" t="n">
        <x:f>IF($B177&lt;&gt;"",SUM($T177:$V177,$R177:$S177),0)</x:f>
        <x:v>0</x:v>
      </x:c>
      <x:c r="X177" s="83" t="n">
        <x:f>IF($B177&lt;&gt;"",$W177*Ayarlar!$B$15,0)</x:f>
        <x:v>0</x:v>
      </x:c>
      <x:c r="Y177" s="83" t="n">
        <x:f>IF($B177&lt;&gt;"",($W177+$X177)*Ayarlar!$B$13,0)</x:f>
        <x:v>0</x:v>
      </x:c>
      <x:c r="Z177" s="83" t="n">
        <x:f>IF($B177&lt;&gt;"",($W177+$X177+$Y177)*Ayarlar!$B$14,0)</x:f>
        <x:v>0</x:v>
      </x:c>
      <x:c r="AA177" s="83" t="str">
        <x:f>IF($B177="","",IF(OR($K177="",$N177=""),"",CEILING($W177+$X177+$Y177+$Z177,Ayarlar!$B$16)))</x:f>
      </x:c>
      <x:c r="AB177" s="83" t="str">
        <x:f>IFERROR($AA177/$H177,"")</x:f>
      </x:c>
      <x:c r="AC177" s="75" t="str">
        <x:f>IF($B177="","",IF(OR($K177="",$N177=""),"Veri Eksik","Fiyat Hazır"))</x:f>
      </x:c>
      <x:c r="AD177" s="75" t="str">
        <x:f>IF($C177&lt;&gt;"","MW-"&amp;$C177,"")</x:f>
        <x:v>MW-80</x:v>
      </x:c>
      <x:c r="AE177" s="75" t="str">
        <x:f>IF($G177&lt;&gt;"","3D Baskı / "&amp;$G177,"3D Baskı")</x:f>
        <x:v>3D Baskı</x:v>
      </x:c>
      <x:c r="AF177" s="75" t="str">
        <x:f>IF($D177&lt;&gt;"",$D177&amp;" - "&amp;$G177,$AD177&amp;" - "&amp;$G177)</x:f>
        <x:v>MW-80 - </x:v>
      </x:c>
      <x:c r="AG177" s="75" t="str"/>
    </x:row>
    <x:row r="178">
      <x:c r="A178" s="75" t="str">
        <x:f>IF($B178&lt;&gt;"",ROW()-4,"")</x:f>
      </x:c>
      <x:c r="B178" s="75" t="str"/>
      <x:c r="C178" s="75" t="n">
        <x:f>IFERROR(LET(x,MID($B178,FIND("/models/",$B178)+8,80),y,LEFT(x,FIND("-",x&amp;"-")-1),LEFT(y,FIND("?",y&amp;"?")-1)),"")</x:f>
        <x:v>80</x:v>
      </x:c>
      <x:c r="D178" s="75" t="str">
        <x:f>IF($B178="","",IFERROR(XLOOKUP($C178,MakerWorld_Verileri!$A:$A,MakerWorld_Verileri!$B:$B,""),""))</x:f>
      </x:c>
      <x:c r="E178" s="75" t="str">
        <x:f>IF($B178="","",IFERROR(XLOOKUP($C178,MakerWorld_Verileri!$A:$A,MakerWorld_Verileri!$C:$C,""),""))</x:f>
      </x:c>
      <x:c r="F178" s="75" t="str"/>
      <x:c r="G178" s="75" t="str">
        <x:f>IF($B178&lt;&gt;"",Ayarlar!$B$7,"")</x:f>
      </x:c>
      <x:c r="H178" s="82" t="str">
        <x:f>IF($B178&lt;&gt;"",1,"")</x:f>
      </x:c>
      <x:c r="I178" s="82" t="str">
        <x:f>IF($B178="","",IFERROR(XLOOKUP($C178,MakerWorld_Verileri!$A:$A,MakerWorld_Verileri!$D:$D,""),""))</x:f>
      </x:c>
      <x:c r="J178" s="82" t="str"/>
      <x:c r="K178" s="82" t="str">
        <x:f>IF($I178&lt;&gt;"",$I178,$J178)</x:f>
      </x:c>
      <x:c r="L178" s="82" t="str">
        <x:f>IF($B178="","",IFERROR(XLOOKUP($C178,MakerWorld_Verileri!$A:$A,MakerWorld_Verileri!$E:$E,""),""))</x:f>
      </x:c>
      <x:c r="M178" s="82" t="str"/>
      <x:c r="N178" s="82" t="str">
        <x:f>IF($L178&lt;&gt;"",$L178,$M178)</x:f>
      </x:c>
      <x:c r="O178" s="82" t="str">
        <x:f>IF($B178&lt;&gt;"",0,"")</x:f>
      </x:c>
      <x:c r="P178" s="75" t="str">
        <x:f>IF($B178&lt;&gt;"","Orta","")</x:f>
      </x:c>
      <x:c r="Q178" s="82" t="str">
        <x:f>IF($B178&lt;&gt;"",10,"")</x:f>
      </x:c>
      <x:c r="R178" s="83" t="str">
        <x:f>IF($B178&lt;&gt;"",Ayarlar!$B$10,"")</x:f>
      </x:c>
      <x:c r="S178" s="83" t="str">
        <x:f>IF($B178&lt;&gt;"",0,"")</x:f>
      </x:c>
      <x:c r="T178" s="83" t="n">
        <x:f>IFERROR(($K178+$O178)*XLOOKUP($G178,Ayarlar!$A$19:$A$28,Ayarlar!$C$19:$C$28,0)*(1+Ayarlar!$B$11),0)</x:f>
        <x:v>0</x:v>
      </x:c>
      <x:c r="U178" s="83" t="n">
        <x:f>IFERROR($N178/60*Ayarlar!$B$8,0)</x:f>
        <x:v>0</x:v>
      </x:c>
      <x:c r="V178" s="83" t="n">
        <x:f>IF($B178&lt;&gt;"",Ayarlar!$B$12+($Q178/60*Ayarlar!$B$9),0)</x:f>
        <x:v>0</x:v>
      </x:c>
      <x:c r="W178" s="83" t="n">
        <x:f>IF($B178&lt;&gt;"",SUM($T178:$V178,$R178:$S178),0)</x:f>
        <x:v>0</x:v>
      </x:c>
      <x:c r="X178" s="83" t="n">
        <x:f>IF($B178&lt;&gt;"",$W178*Ayarlar!$B$15,0)</x:f>
        <x:v>0</x:v>
      </x:c>
      <x:c r="Y178" s="83" t="n">
        <x:f>IF($B178&lt;&gt;"",($W178+$X178)*Ayarlar!$B$13,0)</x:f>
        <x:v>0</x:v>
      </x:c>
      <x:c r="Z178" s="83" t="n">
        <x:f>IF($B178&lt;&gt;"",($W178+$X178+$Y178)*Ayarlar!$B$14,0)</x:f>
        <x:v>0</x:v>
      </x:c>
      <x:c r="AA178" s="83" t="str">
        <x:f>IF($B178="","",IF(OR($K178="",$N178=""),"",CEILING($W178+$X178+$Y178+$Z178,Ayarlar!$B$16)))</x:f>
      </x:c>
      <x:c r="AB178" s="83" t="str">
        <x:f>IFERROR($AA178/$H178,"")</x:f>
      </x:c>
      <x:c r="AC178" s="75" t="str">
        <x:f>IF($B178="","",IF(OR($K178="",$N178=""),"Veri Eksik","Fiyat Hazır"))</x:f>
      </x:c>
      <x:c r="AD178" s="75" t="str">
        <x:f>IF($C178&lt;&gt;"","MW-"&amp;$C178,"")</x:f>
        <x:v>MW-80</x:v>
      </x:c>
      <x:c r="AE178" s="75" t="str">
        <x:f>IF($G178&lt;&gt;"","3D Baskı / "&amp;$G178,"3D Baskı")</x:f>
        <x:v>3D Baskı</x:v>
      </x:c>
      <x:c r="AF178" s="75" t="str">
        <x:f>IF($D178&lt;&gt;"",$D178&amp;" - "&amp;$G178,$AD178&amp;" - "&amp;$G178)</x:f>
        <x:v>MW-80 - </x:v>
      </x:c>
      <x:c r="AG178" s="75" t="str"/>
    </x:row>
    <x:row r="179">
      <x:c r="A179" s="75" t="str">
        <x:f>IF($B179&lt;&gt;"",ROW()-4,"")</x:f>
      </x:c>
      <x:c r="B179" s="75" t="str"/>
      <x:c r="C179" s="75" t="n">
        <x:f>IFERROR(LET(x,MID($B179,FIND("/models/",$B179)+8,80),y,LEFT(x,FIND("-",x&amp;"-")-1),LEFT(y,FIND("?",y&amp;"?")-1)),"")</x:f>
        <x:v>80</x:v>
      </x:c>
      <x:c r="D179" s="75" t="str">
        <x:f>IF($B179="","",IFERROR(XLOOKUP($C179,MakerWorld_Verileri!$A:$A,MakerWorld_Verileri!$B:$B,""),""))</x:f>
      </x:c>
      <x:c r="E179" s="75" t="str">
        <x:f>IF($B179="","",IFERROR(XLOOKUP($C179,MakerWorld_Verileri!$A:$A,MakerWorld_Verileri!$C:$C,""),""))</x:f>
      </x:c>
      <x:c r="F179" s="75" t="str"/>
      <x:c r="G179" s="75" t="str">
        <x:f>IF($B179&lt;&gt;"",Ayarlar!$B$7,"")</x:f>
      </x:c>
      <x:c r="H179" s="82" t="str">
        <x:f>IF($B179&lt;&gt;"",1,"")</x:f>
      </x:c>
      <x:c r="I179" s="82" t="str">
        <x:f>IF($B179="","",IFERROR(XLOOKUP($C179,MakerWorld_Verileri!$A:$A,MakerWorld_Verileri!$D:$D,""),""))</x:f>
      </x:c>
      <x:c r="J179" s="82" t="str"/>
      <x:c r="K179" s="82" t="str">
        <x:f>IF($I179&lt;&gt;"",$I179,$J179)</x:f>
      </x:c>
      <x:c r="L179" s="82" t="str">
        <x:f>IF($B179="","",IFERROR(XLOOKUP($C179,MakerWorld_Verileri!$A:$A,MakerWorld_Verileri!$E:$E,""),""))</x:f>
      </x:c>
      <x:c r="M179" s="82" t="str"/>
      <x:c r="N179" s="82" t="str">
        <x:f>IF($L179&lt;&gt;"",$L179,$M179)</x:f>
      </x:c>
      <x:c r="O179" s="82" t="str">
        <x:f>IF($B179&lt;&gt;"",0,"")</x:f>
      </x:c>
      <x:c r="P179" s="75" t="str">
        <x:f>IF($B179&lt;&gt;"","Orta","")</x:f>
      </x:c>
      <x:c r="Q179" s="82" t="str">
        <x:f>IF($B179&lt;&gt;"",10,"")</x:f>
      </x:c>
      <x:c r="R179" s="83" t="str">
        <x:f>IF($B179&lt;&gt;"",Ayarlar!$B$10,"")</x:f>
      </x:c>
      <x:c r="S179" s="83" t="str">
        <x:f>IF($B179&lt;&gt;"",0,"")</x:f>
      </x:c>
      <x:c r="T179" s="83" t="n">
        <x:f>IFERROR(($K179+$O179)*XLOOKUP($G179,Ayarlar!$A$19:$A$28,Ayarlar!$C$19:$C$28,0)*(1+Ayarlar!$B$11),0)</x:f>
        <x:v>0</x:v>
      </x:c>
      <x:c r="U179" s="83" t="n">
        <x:f>IFERROR($N179/60*Ayarlar!$B$8,0)</x:f>
        <x:v>0</x:v>
      </x:c>
      <x:c r="V179" s="83" t="n">
        <x:f>IF($B179&lt;&gt;"",Ayarlar!$B$12+($Q179/60*Ayarlar!$B$9),0)</x:f>
        <x:v>0</x:v>
      </x:c>
      <x:c r="W179" s="83" t="n">
        <x:f>IF($B179&lt;&gt;"",SUM($T179:$V179,$R179:$S179),0)</x:f>
        <x:v>0</x:v>
      </x:c>
      <x:c r="X179" s="83" t="n">
        <x:f>IF($B179&lt;&gt;"",$W179*Ayarlar!$B$15,0)</x:f>
        <x:v>0</x:v>
      </x:c>
      <x:c r="Y179" s="83" t="n">
        <x:f>IF($B179&lt;&gt;"",($W179+$X179)*Ayarlar!$B$13,0)</x:f>
        <x:v>0</x:v>
      </x:c>
      <x:c r="Z179" s="83" t="n">
        <x:f>IF($B179&lt;&gt;"",($W179+$X179+$Y179)*Ayarlar!$B$14,0)</x:f>
        <x:v>0</x:v>
      </x:c>
      <x:c r="AA179" s="83" t="str">
        <x:f>IF($B179="","",IF(OR($K179="",$N179=""),"",CEILING($W179+$X179+$Y179+$Z179,Ayarlar!$B$16)))</x:f>
      </x:c>
      <x:c r="AB179" s="83" t="str">
        <x:f>IFERROR($AA179/$H179,"")</x:f>
      </x:c>
      <x:c r="AC179" s="75" t="str">
        <x:f>IF($B179="","",IF(OR($K179="",$N179=""),"Veri Eksik","Fiyat Hazır"))</x:f>
      </x:c>
      <x:c r="AD179" s="75" t="str">
        <x:f>IF($C179&lt;&gt;"","MW-"&amp;$C179,"")</x:f>
        <x:v>MW-80</x:v>
      </x:c>
      <x:c r="AE179" s="75" t="str">
        <x:f>IF($G179&lt;&gt;"","3D Baskı / "&amp;$G179,"3D Baskı")</x:f>
        <x:v>3D Baskı</x:v>
      </x:c>
      <x:c r="AF179" s="75" t="str">
        <x:f>IF($D179&lt;&gt;"",$D179&amp;" - "&amp;$G179,$AD179&amp;" - "&amp;$G179)</x:f>
        <x:v>MW-80 - </x:v>
      </x:c>
      <x:c r="AG179" s="75" t="str"/>
    </x:row>
    <x:row r="180">
      <x:c r="A180" s="75" t="str">
        <x:f>IF($B180&lt;&gt;"",ROW()-4,"")</x:f>
      </x:c>
      <x:c r="B180" s="75" t="str"/>
      <x:c r="C180" s="75" t="n">
        <x:f>IFERROR(LET(x,MID($B180,FIND("/models/",$B180)+8,80),y,LEFT(x,FIND("-",x&amp;"-")-1),LEFT(y,FIND("?",y&amp;"?")-1)),"")</x:f>
        <x:v>80</x:v>
      </x:c>
      <x:c r="D180" s="75" t="str">
        <x:f>IF($B180="","",IFERROR(XLOOKUP($C180,MakerWorld_Verileri!$A:$A,MakerWorld_Verileri!$B:$B,""),""))</x:f>
      </x:c>
      <x:c r="E180" s="75" t="str">
        <x:f>IF($B180="","",IFERROR(XLOOKUP($C180,MakerWorld_Verileri!$A:$A,MakerWorld_Verileri!$C:$C,""),""))</x:f>
      </x:c>
      <x:c r="F180" s="75" t="str"/>
      <x:c r="G180" s="75" t="str">
        <x:f>IF($B180&lt;&gt;"",Ayarlar!$B$7,"")</x:f>
      </x:c>
      <x:c r="H180" s="82" t="str">
        <x:f>IF($B180&lt;&gt;"",1,"")</x:f>
      </x:c>
      <x:c r="I180" s="82" t="str">
        <x:f>IF($B180="","",IFERROR(XLOOKUP($C180,MakerWorld_Verileri!$A:$A,MakerWorld_Verileri!$D:$D,""),""))</x:f>
      </x:c>
      <x:c r="J180" s="82" t="str"/>
      <x:c r="K180" s="82" t="str">
        <x:f>IF($I180&lt;&gt;"",$I180,$J180)</x:f>
      </x:c>
      <x:c r="L180" s="82" t="str">
        <x:f>IF($B180="","",IFERROR(XLOOKUP($C180,MakerWorld_Verileri!$A:$A,MakerWorld_Verileri!$E:$E,""),""))</x:f>
      </x:c>
      <x:c r="M180" s="82" t="str"/>
      <x:c r="N180" s="82" t="str">
        <x:f>IF($L180&lt;&gt;"",$L180,$M180)</x:f>
      </x:c>
      <x:c r="O180" s="82" t="str">
        <x:f>IF($B180&lt;&gt;"",0,"")</x:f>
      </x:c>
      <x:c r="P180" s="75" t="str">
        <x:f>IF($B180&lt;&gt;"","Orta","")</x:f>
      </x:c>
      <x:c r="Q180" s="82" t="str">
        <x:f>IF($B180&lt;&gt;"",10,"")</x:f>
      </x:c>
      <x:c r="R180" s="83" t="str">
        <x:f>IF($B180&lt;&gt;"",Ayarlar!$B$10,"")</x:f>
      </x:c>
      <x:c r="S180" s="83" t="str">
        <x:f>IF($B180&lt;&gt;"",0,"")</x:f>
      </x:c>
      <x:c r="T180" s="83" t="n">
        <x:f>IFERROR(($K180+$O180)*XLOOKUP($G180,Ayarlar!$A$19:$A$28,Ayarlar!$C$19:$C$28,0)*(1+Ayarlar!$B$11),0)</x:f>
        <x:v>0</x:v>
      </x:c>
      <x:c r="U180" s="83" t="n">
        <x:f>IFERROR($N180/60*Ayarlar!$B$8,0)</x:f>
        <x:v>0</x:v>
      </x:c>
      <x:c r="V180" s="83" t="n">
        <x:f>IF($B180&lt;&gt;"",Ayarlar!$B$12+($Q180/60*Ayarlar!$B$9),0)</x:f>
        <x:v>0</x:v>
      </x:c>
      <x:c r="W180" s="83" t="n">
        <x:f>IF($B180&lt;&gt;"",SUM($T180:$V180,$R180:$S180),0)</x:f>
        <x:v>0</x:v>
      </x:c>
      <x:c r="X180" s="83" t="n">
        <x:f>IF($B180&lt;&gt;"",$W180*Ayarlar!$B$15,0)</x:f>
        <x:v>0</x:v>
      </x:c>
      <x:c r="Y180" s="83" t="n">
        <x:f>IF($B180&lt;&gt;"",($W180+$X180)*Ayarlar!$B$13,0)</x:f>
        <x:v>0</x:v>
      </x:c>
      <x:c r="Z180" s="83" t="n">
        <x:f>IF($B180&lt;&gt;"",($W180+$X180+$Y180)*Ayarlar!$B$14,0)</x:f>
        <x:v>0</x:v>
      </x:c>
      <x:c r="AA180" s="83" t="str">
        <x:f>IF($B180="","",IF(OR($K180="",$N180=""),"",CEILING($W180+$X180+$Y180+$Z180,Ayarlar!$B$16)))</x:f>
      </x:c>
      <x:c r="AB180" s="83" t="str">
        <x:f>IFERROR($AA180/$H180,"")</x:f>
      </x:c>
      <x:c r="AC180" s="75" t="str">
        <x:f>IF($B180="","",IF(OR($K180="",$N180=""),"Veri Eksik","Fiyat Hazır"))</x:f>
      </x:c>
      <x:c r="AD180" s="75" t="str">
        <x:f>IF($C180&lt;&gt;"","MW-"&amp;$C180,"")</x:f>
        <x:v>MW-80</x:v>
      </x:c>
      <x:c r="AE180" s="75" t="str">
        <x:f>IF($G180&lt;&gt;"","3D Baskı / "&amp;$G180,"3D Baskı")</x:f>
        <x:v>3D Baskı</x:v>
      </x:c>
      <x:c r="AF180" s="75" t="str">
        <x:f>IF($D180&lt;&gt;"",$D180&amp;" - "&amp;$G180,$AD180&amp;" - "&amp;$G180)</x:f>
        <x:v>MW-80 - </x:v>
      </x:c>
      <x:c r="AG180" s="75" t="str"/>
    </x:row>
    <x:row r="181">
      <x:c r="A181" s="75" t="str">
        <x:f>IF($B181&lt;&gt;"",ROW()-4,"")</x:f>
      </x:c>
      <x:c r="B181" s="75" t="str"/>
      <x:c r="C181" s="75" t="n">
        <x:f>IFERROR(LET(x,MID($B181,FIND("/models/",$B181)+8,80),y,LEFT(x,FIND("-",x&amp;"-")-1),LEFT(y,FIND("?",y&amp;"?")-1)),"")</x:f>
        <x:v>80</x:v>
      </x:c>
      <x:c r="D181" s="75" t="str">
        <x:f>IF($B181="","",IFERROR(XLOOKUP($C181,MakerWorld_Verileri!$A:$A,MakerWorld_Verileri!$B:$B,""),""))</x:f>
      </x:c>
      <x:c r="E181" s="75" t="str">
        <x:f>IF($B181="","",IFERROR(XLOOKUP($C181,MakerWorld_Verileri!$A:$A,MakerWorld_Verileri!$C:$C,""),""))</x:f>
      </x:c>
      <x:c r="F181" s="75" t="str"/>
      <x:c r="G181" s="75" t="str">
        <x:f>IF($B181&lt;&gt;"",Ayarlar!$B$7,"")</x:f>
      </x:c>
      <x:c r="H181" s="82" t="str">
        <x:f>IF($B181&lt;&gt;"",1,"")</x:f>
      </x:c>
      <x:c r="I181" s="82" t="str">
        <x:f>IF($B181="","",IFERROR(XLOOKUP($C181,MakerWorld_Verileri!$A:$A,MakerWorld_Verileri!$D:$D,""),""))</x:f>
      </x:c>
      <x:c r="J181" s="82" t="str"/>
      <x:c r="K181" s="82" t="str">
        <x:f>IF($I181&lt;&gt;"",$I181,$J181)</x:f>
      </x:c>
      <x:c r="L181" s="82" t="str">
        <x:f>IF($B181="","",IFERROR(XLOOKUP($C181,MakerWorld_Verileri!$A:$A,MakerWorld_Verileri!$E:$E,""),""))</x:f>
      </x:c>
      <x:c r="M181" s="82" t="str"/>
      <x:c r="N181" s="82" t="str">
        <x:f>IF($L181&lt;&gt;"",$L181,$M181)</x:f>
      </x:c>
      <x:c r="O181" s="82" t="str">
        <x:f>IF($B181&lt;&gt;"",0,"")</x:f>
      </x:c>
      <x:c r="P181" s="75" t="str">
        <x:f>IF($B181&lt;&gt;"","Orta","")</x:f>
      </x:c>
      <x:c r="Q181" s="82" t="str">
        <x:f>IF($B181&lt;&gt;"",10,"")</x:f>
      </x:c>
      <x:c r="R181" s="83" t="str">
        <x:f>IF($B181&lt;&gt;"",Ayarlar!$B$10,"")</x:f>
      </x:c>
      <x:c r="S181" s="83" t="str">
        <x:f>IF($B181&lt;&gt;"",0,"")</x:f>
      </x:c>
      <x:c r="T181" s="83" t="n">
        <x:f>IFERROR(($K181+$O181)*XLOOKUP($G181,Ayarlar!$A$19:$A$28,Ayarlar!$C$19:$C$28,0)*(1+Ayarlar!$B$11),0)</x:f>
        <x:v>0</x:v>
      </x:c>
      <x:c r="U181" s="83" t="n">
        <x:f>IFERROR($N181/60*Ayarlar!$B$8,0)</x:f>
        <x:v>0</x:v>
      </x:c>
      <x:c r="V181" s="83" t="n">
        <x:f>IF($B181&lt;&gt;"",Ayarlar!$B$12+($Q181/60*Ayarlar!$B$9),0)</x:f>
        <x:v>0</x:v>
      </x:c>
      <x:c r="W181" s="83" t="n">
        <x:f>IF($B181&lt;&gt;"",SUM($T181:$V181,$R181:$S181),0)</x:f>
        <x:v>0</x:v>
      </x:c>
      <x:c r="X181" s="83" t="n">
        <x:f>IF($B181&lt;&gt;"",$W181*Ayarlar!$B$15,0)</x:f>
        <x:v>0</x:v>
      </x:c>
      <x:c r="Y181" s="83" t="n">
        <x:f>IF($B181&lt;&gt;"",($W181+$X181)*Ayarlar!$B$13,0)</x:f>
        <x:v>0</x:v>
      </x:c>
      <x:c r="Z181" s="83" t="n">
        <x:f>IF($B181&lt;&gt;"",($W181+$X181+$Y181)*Ayarlar!$B$14,0)</x:f>
        <x:v>0</x:v>
      </x:c>
      <x:c r="AA181" s="83" t="str">
        <x:f>IF($B181="","",IF(OR($K181="",$N181=""),"",CEILING($W181+$X181+$Y181+$Z181,Ayarlar!$B$16)))</x:f>
      </x:c>
      <x:c r="AB181" s="83" t="str">
        <x:f>IFERROR($AA181/$H181,"")</x:f>
      </x:c>
      <x:c r="AC181" s="75" t="str">
        <x:f>IF($B181="","",IF(OR($K181="",$N181=""),"Veri Eksik","Fiyat Hazır"))</x:f>
      </x:c>
      <x:c r="AD181" s="75" t="str">
        <x:f>IF($C181&lt;&gt;"","MW-"&amp;$C181,"")</x:f>
        <x:v>MW-80</x:v>
      </x:c>
      <x:c r="AE181" s="75" t="str">
        <x:f>IF($G181&lt;&gt;"","3D Baskı / "&amp;$G181,"3D Baskı")</x:f>
        <x:v>3D Baskı</x:v>
      </x:c>
      <x:c r="AF181" s="75" t="str">
        <x:f>IF($D181&lt;&gt;"",$D181&amp;" - "&amp;$G181,$AD181&amp;" - "&amp;$G181)</x:f>
        <x:v>MW-80 - </x:v>
      </x:c>
      <x:c r="AG181" s="75" t="str"/>
    </x:row>
    <x:row r="182">
      <x:c r="A182" s="75" t="str">
        <x:f>IF($B182&lt;&gt;"",ROW()-4,"")</x:f>
      </x:c>
      <x:c r="B182" s="75" t="str"/>
      <x:c r="C182" s="75" t="n">
        <x:f>IFERROR(LET(x,MID($B182,FIND("/models/",$B182)+8,80),y,LEFT(x,FIND("-",x&amp;"-")-1),LEFT(y,FIND("?",y&amp;"?")-1)),"")</x:f>
        <x:v>80</x:v>
      </x:c>
      <x:c r="D182" s="75" t="str">
        <x:f>IF($B182="","",IFERROR(XLOOKUP($C182,MakerWorld_Verileri!$A:$A,MakerWorld_Verileri!$B:$B,""),""))</x:f>
      </x:c>
      <x:c r="E182" s="75" t="str">
        <x:f>IF($B182="","",IFERROR(XLOOKUP($C182,MakerWorld_Verileri!$A:$A,MakerWorld_Verileri!$C:$C,""),""))</x:f>
      </x:c>
      <x:c r="F182" s="75" t="str"/>
      <x:c r="G182" s="75" t="str">
        <x:f>IF($B182&lt;&gt;"",Ayarlar!$B$7,"")</x:f>
      </x:c>
      <x:c r="H182" s="82" t="str">
        <x:f>IF($B182&lt;&gt;"",1,"")</x:f>
      </x:c>
      <x:c r="I182" s="82" t="str">
        <x:f>IF($B182="","",IFERROR(XLOOKUP($C182,MakerWorld_Verileri!$A:$A,MakerWorld_Verileri!$D:$D,""),""))</x:f>
      </x:c>
      <x:c r="J182" s="82" t="str"/>
      <x:c r="K182" s="82" t="str">
        <x:f>IF($I182&lt;&gt;"",$I182,$J182)</x:f>
      </x:c>
      <x:c r="L182" s="82" t="str">
        <x:f>IF($B182="","",IFERROR(XLOOKUP($C182,MakerWorld_Verileri!$A:$A,MakerWorld_Verileri!$E:$E,""),""))</x:f>
      </x:c>
      <x:c r="M182" s="82" t="str"/>
      <x:c r="N182" s="82" t="str">
        <x:f>IF($L182&lt;&gt;"",$L182,$M182)</x:f>
      </x:c>
      <x:c r="O182" s="82" t="str">
        <x:f>IF($B182&lt;&gt;"",0,"")</x:f>
      </x:c>
      <x:c r="P182" s="75" t="str">
        <x:f>IF($B182&lt;&gt;"","Orta","")</x:f>
      </x:c>
      <x:c r="Q182" s="82" t="str">
        <x:f>IF($B182&lt;&gt;"",10,"")</x:f>
      </x:c>
      <x:c r="R182" s="83" t="str">
        <x:f>IF($B182&lt;&gt;"",Ayarlar!$B$10,"")</x:f>
      </x:c>
      <x:c r="S182" s="83" t="str">
        <x:f>IF($B182&lt;&gt;"",0,"")</x:f>
      </x:c>
      <x:c r="T182" s="83" t="n">
        <x:f>IFERROR(($K182+$O182)*XLOOKUP($G182,Ayarlar!$A$19:$A$28,Ayarlar!$C$19:$C$28,0)*(1+Ayarlar!$B$11),0)</x:f>
        <x:v>0</x:v>
      </x:c>
      <x:c r="U182" s="83" t="n">
        <x:f>IFERROR($N182/60*Ayarlar!$B$8,0)</x:f>
        <x:v>0</x:v>
      </x:c>
      <x:c r="V182" s="83" t="n">
        <x:f>IF($B182&lt;&gt;"",Ayarlar!$B$12+($Q182/60*Ayarlar!$B$9),0)</x:f>
        <x:v>0</x:v>
      </x:c>
      <x:c r="W182" s="83" t="n">
        <x:f>IF($B182&lt;&gt;"",SUM($T182:$V182,$R182:$S182),0)</x:f>
        <x:v>0</x:v>
      </x:c>
      <x:c r="X182" s="83" t="n">
        <x:f>IF($B182&lt;&gt;"",$W182*Ayarlar!$B$15,0)</x:f>
        <x:v>0</x:v>
      </x:c>
      <x:c r="Y182" s="83" t="n">
        <x:f>IF($B182&lt;&gt;"",($W182+$X182)*Ayarlar!$B$13,0)</x:f>
        <x:v>0</x:v>
      </x:c>
      <x:c r="Z182" s="83" t="n">
        <x:f>IF($B182&lt;&gt;"",($W182+$X182+$Y182)*Ayarlar!$B$14,0)</x:f>
        <x:v>0</x:v>
      </x:c>
      <x:c r="AA182" s="83" t="str">
        <x:f>IF($B182="","",IF(OR($K182="",$N182=""),"",CEILING($W182+$X182+$Y182+$Z182,Ayarlar!$B$16)))</x:f>
      </x:c>
      <x:c r="AB182" s="83" t="str">
        <x:f>IFERROR($AA182/$H182,"")</x:f>
      </x:c>
      <x:c r="AC182" s="75" t="str">
        <x:f>IF($B182="","",IF(OR($K182="",$N182=""),"Veri Eksik","Fiyat Hazır"))</x:f>
      </x:c>
      <x:c r="AD182" s="75" t="str">
        <x:f>IF($C182&lt;&gt;"","MW-"&amp;$C182,"")</x:f>
        <x:v>MW-80</x:v>
      </x:c>
      <x:c r="AE182" s="75" t="str">
        <x:f>IF($G182&lt;&gt;"","3D Baskı / "&amp;$G182,"3D Baskı")</x:f>
        <x:v>3D Baskı</x:v>
      </x:c>
      <x:c r="AF182" s="75" t="str">
        <x:f>IF($D182&lt;&gt;"",$D182&amp;" - "&amp;$G182,$AD182&amp;" - "&amp;$G182)</x:f>
        <x:v>MW-80 - </x:v>
      </x:c>
      <x:c r="AG182" s="75" t="str"/>
    </x:row>
    <x:row r="183">
      <x:c r="A183" s="75" t="str">
        <x:f>IF($B183&lt;&gt;"",ROW()-4,"")</x:f>
      </x:c>
      <x:c r="B183" s="75" t="str"/>
      <x:c r="C183" s="75" t="n">
        <x:f>IFERROR(LET(x,MID($B183,FIND("/models/",$B183)+8,80),y,LEFT(x,FIND("-",x&amp;"-")-1),LEFT(y,FIND("?",y&amp;"?")-1)),"")</x:f>
        <x:v>80</x:v>
      </x:c>
      <x:c r="D183" s="75" t="str">
        <x:f>IF($B183="","",IFERROR(XLOOKUP($C183,MakerWorld_Verileri!$A:$A,MakerWorld_Verileri!$B:$B,""),""))</x:f>
      </x:c>
      <x:c r="E183" s="75" t="str">
        <x:f>IF($B183="","",IFERROR(XLOOKUP($C183,MakerWorld_Verileri!$A:$A,MakerWorld_Verileri!$C:$C,""),""))</x:f>
      </x:c>
      <x:c r="F183" s="75" t="str"/>
      <x:c r="G183" s="75" t="str">
        <x:f>IF($B183&lt;&gt;"",Ayarlar!$B$7,"")</x:f>
      </x:c>
      <x:c r="H183" s="82" t="str">
        <x:f>IF($B183&lt;&gt;"",1,"")</x:f>
      </x:c>
      <x:c r="I183" s="82" t="str">
        <x:f>IF($B183="","",IFERROR(XLOOKUP($C183,MakerWorld_Verileri!$A:$A,MakerWorld_Verileri!$D:$D,""),""))</x:f>
      </x:c>
      <x:c r="J183" s="82" t="str"/>
      <x:c r="K183" s="82" t="str">
        <x:f>IF($I183&lt;&gt;"",$I183,$J183)</x:f>
      </x:c>
      <x:c r="L183" s="82" t="str">
        <x:f>IF($B183="","",IFERROR(XLOOKUP($C183,MakerWorld_Verileri!$A:$A,MakerWorld_Verileri!$E:$E,""),""))</x:f>
      </x:c>
      <x:c r="M183" s="82" t="str"/>
      <x:c r="N183" s="82" t="str">
        <x:f>IF($L183&lt;&gt;"",$L183,$M183)</x:f>
      </x:c>
      <x:c r="O183" s="82" t="str">
        <x:f>IF($B183&lt;&gt;"",0,"")</x:f>
      </x:c>
      <x:c r="P183" s="75" t="str">
        <x:f>IF($B183&lt;&gt;"","Orta","")</x:f>
      </x:c>
      <x:c r="Q183" s="82" t="str">
        <x:f>IF($B183&lt;&gt;"",10,"")</x:f>
      </x:c>
      <x:c r="R183" s="83" t="str">
        <x:f>IF($B183&lt;&gt;"",Ayarlar!$B$10,"")</x:f>
      </x:c>
      <x:c r="S183" s="83" t="str">
        <x:f>IF($B183&lt;&gt;"",0,"")</x:f>
      </x:c>
      <x:c r="T183" s="83" t="n">
        <x:f>IFERROR(($K183+$O183)*XLOOKUP($G183,Ayarlar!$A$19:$A$28,Ayarlar!$C$19:$C$28,0)*(1+Ayarlar!$B$11),0)</x:f>
        <x:v>0</x:v>
      </x:c>
      <x:c r="U183" s="83" t="n">
        <x:f>IFERROR($N183/60*Ayarlar!$B$8,0)</x:f>
        <x:v>0</x:v>
      </x:c>
      <x:c r="V183" s="83" t="n">
        <x:f>IF($B183&lt;&gt;"",Ayarlar!$B$12+($Q183/60*Ayarlar!$B$9),0)</x:f>
        <x:v>0</x:v>
      </x:c>
      <x:c r="W183" s="83" t="n">
        <x:f>IF($B183&lt;&gt;"",SUM($T183:$V183,$R183:$S183),0)</x:f>
        <x:v>0</x:v>
      </x:c>
      <x:c r="X183" s="83" t="n">
        <x:f>IF($B183&lt;&gt;"",$W183*Ayarlar!$B$15,0)</x:f>
        <x:v>0</x:v>
      </x:c>
      <x:c r="Y183" s="83" t="n">
        <x:f>IF($B183&lt;&gt;"",($W183+$X183)*Ayarlar!$B$13,0)</x:f>
        <x:v>0</x:v>
      </x:c>
      <x:c r="Z183" s="83" t="n">
        <x:f>IF($B183&lt;&gt;"",($W183+$X183+$Y183)*Ayarlar!$B$14,0)</x:f>
        <x:v>0</x:v>
      </x:c>
      <x:c r="AA183" s="83" t="str">
        <x:f>IF($B183="","",IF(OR($K183="",$N183=""),"",CEILING($W183+$X183+$Y183+$Z183,Ayarlar!$B$16)))</x:f>
      </x:c>
      <x:c r="AB183" s="83" t="str">
        <x:f>IFERROR($AA183/$H183,"")</x:f>
      </x:c>
      <x:c r="AC183" s="75" t="str">
        <x:f>IF($B183="","",IF(OR($K183="",$N183=""),"Veri Eksik","Fiyat Hazır"))</x:f>
      </x:c>
      <x:c r="AD183" s="75" t="str">
        <x:f>IF($C183&lt;&gt;"","MW-"&amp;$C183,"")</x:f>
        <x:v>MW-80</x:v>
      </x:c>
      <x:c r="AE183" s="75" t="str">
        <x:f>IF($G183&lt;&gt;"","3D Baskı / "&amp;$G183,"3D Baskı")</x:f>
        <x:v>3D Baskı</x:v>
      </x:c>
      <x:c r="AF183" s="75" t="str">
        <x:f>IF($D183&lt;&gt;"",$D183&amp;" - "&amp;$G183,$AD183&amp;" - "&amp;$G183)</x:f>
        <x:v>MW-80 - </x:v>
      </x:c>
      <x:c r="AG183" s="75" t="str"/>
    </x:row>
    <x:row r="184">
      <x:c r="A184" s="75" t="str">
        <x:f>IF($B184&lt;&gt;"",ROW()-4,"")</x:f>
      </x:c>
      <x:c r="B184" s="75" t="str"/>
      <x:c r="C184" s="75" t="n">
        <x:f>IFERROR(LET(x,MID($B184,FIND("/models/",$B184)+8,80),y,LEFT(x,FIND("-",x&amp;"-")-1),LEFT(y,FIND("?",y&amp;"?")-1)),"")</x:f>
        <x:v>80</x:v>
      </x:c>
      <x:c r="D184" s="75" t="str">
        <x:f>IF($B184="","",IFERROR(XLOOKUP($C184,MakerWorld_Verileri!$A:$A,MakerWorld_Verileri!$B:$B,""),""))</x:f>
      </x:c>
      <x:c r="E184" s="75" t="str">
        <x:f>IF($B184="","",IFERROR(XLOOKUP($C184,MakerWorld_Verileri!$A:$A,MakerWorld_Verileri!$C:$C,""),""))</x:f>
      </x:c>
      <x:c r="F184" s="75" t="str"/>
      <x:c r="G184" s="75" t="str">
        <x:f>IF($B184&lt;&gt;"",Ayarlar!$B$7,"")</x:f>
      </x:c>
      <x:c r="H184" s="82" t="str">
        <x:f>IF($B184&lt;&gt;"",1,"")</x:f>
      </x:c>
      <x:c r="I184" s="82" t="str">
        <x:f>IF($B184="","",IFERROR(XLOOKUP($C184,MakerWorld_Verileri!$A:$A,MakerWorld_Verileri!$D:$D,""),""))</x:f>
      </x:c>
      <x:c r="J184" s="82" t="str"/>
      <x:c r="K184" s="82" t="str">
        <x:f>IF($I184&lt;&gt;"",$I184,$J184)</x:f>
      </x:c>
      <x:c r="L184" s="82" t="str">
        <x:f>IF($B184="","",IFERROR(XLOOKUP($C184,MakerWorld_Verileri!$A:$A,MakerWorld_Verileri!$E:$E,""),""))</x:f>
      </x:c>
      <x:c r="M184" s="82" t="str"/>
      <x:c r="N184" s="82" t="str">
        <x:f>IF($L184&lt;&gt;"",$L184,$M184)</x:f>
      </x:c>
      <x:c r="O184" s="82" t="str">
        <x:f>IF($B184&lt;&gt;"",0,"")</x:f>
      </x:c>
      <x:c r="P184" s="75" t="str">
        <x:f>IF($B184&lt;&gt;"","Orta","")</x:f>
      </x:c>
      <x:c r="Q184" s="82" t="str">
        <x:f>IF($B184&lt;&gt;"",10,"")</x:f>
      </x:c>
      <x:c r="R184" s="83" t="str">
        <x:f>IF($B184&lt;&gt;"",Ayarlar!$B$10,"")</x:f>
      </x:c>
      <x:c r="S184" s="83" t="str">
        <x:f>IF($B184&lt;&gt;"",0,"")</x:f>
      </x:c>
      <x:c r="T184" s="83" t="n">
        <x:f>IFERROR(($K184+$O184)*XLOOKUP($G184,Ayarlar!$A$19:$A$28,Ayarlar!$C$19:$C$28,0)*(1+Ayarlar!$B$11),0)</x:f>
        <x:v>0</x:v>
      </x:c>
      <x:c r="U184" s="83" t="n">
        <x:f>IFERROR($N184/60*Ayarlar!$B$8,0)</x:f>
        <x:v>0</x:v>
      </x:c>
      <x:c r="V184" s="83" t="n">
        <x:f>IF($B184&lt;&gt;"",Ayarlar!$B$12+($Q184/60*Ayarlar!$B$9),0)</x:f>
        <x:v>0</x:v>
      </x:c>
      <x:c r="W184" s="83" t="n">
        <x:f>IF($B184&lt;&gt;"",SUM($T184:$V184,$R184:$S184),0)</x:f>
        <x:v>0</x:v>
      </x:c>
      <x:c r="X184" s="83" t="n">
        <x:f>IF($B184&lt;&gt;"",$W184*Ayarlar!$B$15,0)</x:f>
        <x:v>0</x:v>
      </x:c>
      <x:c r="Y184" s="83" t="n">
        <x:f>IF($B184&lt;&gt;"",($W184+$X184)*Ayarlar!$B$13,0)</x:f>
        <x:v>0</x:v>
      </x:c>
      <x:c r="Z184" s="83" t="n">
        <x:f>IF($B184&lt;&gt;"",($W184+$X184+$Y184)*Ayarlar!$B$14,0)</x:f>
        <x:v>0</x:v>
      </x:c>
      <x:c r="AA184" s="83" t="str">
        <x:f>IF($B184="","",IF(OR($K184="",$N184=""),"",CEILING($W184+$X184+$Y184+$Z184,Ayarlar!$B$16)))</x:f>
      </x:c>
      <x:c r="AB184" s="83" t="str">
        <x:f>IFERROR($AA184/$H184,"")</x:f>
      </x:c>
      <x:c r="AC184" s="75" t="str">
        <x:f>IF($B184="","",IF(OR($K184="",$N184=""),"Veri Eksik","Fiyat Hazır"))</x:f>
      </x:c>
      <x:c r="AD184" s="75" t="str">
        <x:f>IF($C184&lt;&gt;"","MW-"&amp;$C184,"")</x:f>
        <x:v>MW-80</x:v>
      </x:c>
      <x:c r="AE184" s="75" t="str">
        <x:f>IF($G184&lt;&gt;"","3D Baskı / "&amp;$G184,"3D Baskı")</x:f>
        <x:v>3D Baskı</x:v>
      </x:c>
      <x:c r="AF184" s="75" t="str">
        <x:f>IF($D184&lt;&gt;"",$D184&amp;" - "&amp;$G184,$AD184&amp;" - "&amp;$G184)</x:f>
        <x:v>MW-80 - </x:v>
      </x:c>
      <x:c r="AG184" s="75" t="str"/>
    </x:row>
    <x:row r="185">
      <x:c r="A185" s="75" t="str">
        <x:f>IF($B185&lt;&gt;"",ROW()-4,"")</x:f>
      </x:c>
      <x:c r="B185" s="75" t="str"/>
      <x:c r="C185" s="75" t="n">
        <x:f>IFERROR(LET(x,MID($B185,FIND("/models/",$B185)+8,80),y,LEFT(x,FIND("-",x&amp;"-")-1),LEFT(y,FIND("?",y&amp;"?")-1)),"")</x:f>
        <x:v>80</x:v>
      </x:c>
      <x:c r="D185" s="75" t="str">
        <x:f>IF($B185="","",IFERROR(XLOOKUP($C185,MakerWorld_Verileri!$A:$A,MakerWorld_Verileri!$B:$B,""),""))</x:f>
      </x:c>
      <x:c r="E185" s="75" t="str">
        <x:f>IF($B185="","",IFERROR(XLOOKUP($C185,MakerWorld_Verileri!$A:$A,MakerWorld_Verileri!$C:$C,""),""))</x:f>
      </x:c>
      <x:c r="F185" s="75" t="str"/>
      <x:c r="G185" s="75" t="str">
        <x:f>IF($B185&lt;&gt;"",Ayarlar!$B$7,"")</x:f>
      </x:c>
      <x:c r="H185" s="82" t="str">
        <x:f>IF($B185&lt;&gt;"",1,"")</x:f>
      </x:c>
      <x:c r="I185" s="82" t="str">
        <x:f>IF($B185="","",IFERROR(XLOOKUP($C185,MakerWorld_Verileri!$A:$A,MakerWorld_Verileri!$D:$D,""),""))</x:f>
      </x:c>
      <x:c r="J185" s="82" t="str"/>
      <x:c r="K185" s="82" t="str">
        <x:f>IF($I185&lt;&gt;"",$I185,$J185)</x:f>
      </x:c>
      <x:c r="L185" s="82" t="str">
        <x:f>IF($B185="","",IFERROR(XLOOKUP($C185,MakerWorld_Verileri!$A:$A,MakerWorld_Verileri!$E:$E,""),""))</x:f>
      </x:c>
      <x:c r="M185" s="82" t="str"/>
      <x:c r="N185" s="82" t="str">
        <x:f>IF($L185&lt;&gt;"",$L185,$M185)</x:f>
      </x:c>
      <x:c r="O185" s="82" t="str">
        <x:f>IF($B185&lt;&gt;"",0,"")</x:f>
      </x:c>
      <x:c r="P185" s="75" t="str">
        <x:f>IF($B185&lt;&gt;"","Orta","")</x:f>
      </x:c>
      <x:c r="Q185" s="82" t="str">
        <x:f>IF($B185&lt;&gt;"",10,"")</x:f>
      </x:c>
      <x:c r="R185" s="83" t="str">
        <x:f>IF($B185&lt;&gt;"",Ayarlar!$B$10,"")</x:f>
      </x:c>
      <x:c r="S185" s="83" t="str">
        <x:f>IF($B185&lt;&gt;"",0,"")</x:f>
      </x:c>
      <x:c r="T185" s="83" t="n">
        <x:f>IFERROR(($K185+$O185)*XLOOKUP($G185,Ayarlar!$A$19:$A$28,Ayarlar!$C$19:$C$28,0)*(1+Ayarlar!$B$11),0)</x:f>
        <x:v>0</x:v>
      </x:c>
      <x:c r="U185" s="83" t="n">
        <x:f>IFERROR($N185/60*Ayarlar!$B$8,0)</x:f>
        <x:v>0</x:v>
      </x:c>
      <x:c r="V185" s="83" t="n">
        <x:f>IF($B185&lt;&gt;"",Ayarlar!$B$12+($Q185/60*Ayarlar!$B$9),0)</x:f>
        <x:v>0</x:v>
      </x:c>
      <x:c r="W185" s="83" t="n">
        <x:f>IF($B185&lt;&gt;"",SUM($T185:$V185,$R185:$S185),0)</x:f>
        <x:v>0</x:v>
      </x:c>
      <x:c r="X185" s="83" t="n">
        <x:f>IF($B185&lt;&gt;"",$W185*Ayarlar!$B$15,0)</x:f>
        <x:v>0</x:v>
      </x:c>
      <x:c r="Y185" s="83" t="n">
        <x:f>IF($B185&lt;&gt;"",($W185+$X185)*Ayarlar!$B$13,0)</x:f>
        <x:v>0</x:v>
      </x:c>
      <x:c r="Z185" s="83" t="n">
        <x:f>IF($B185&lt;&gt;"",($W185+$X185+$Y185)*Ayarlar!$B$14,0)</x:f>
        <x:v>0</x:v>
      </x:c>
      <x:c r="AA185" s="83" t="str">
        <x:f>IF($B185="","",IF(OR($K185="",$N185=""),"",CEILING($W185+$X185+$Y185+$Z185,Ayarlar!$B$16)))</x:f>
      </x:c>
      <x:c r="AB185" s="83" t="str">
        <x:f>IFERROR($AA185/$H185,"")</x:f>
      </x:c>
      <x:c r="AC185" s="75" t="str">
        <x:f>IF($B185="","",IF(OR($K185="",$N185=""),"Veri Eksik","Fiyat Hazır"))</x:f>
      </x:c>
      <x:c r="AD185" s="75" t="str">
        <x:f>IF($C185&lt;&gt;"","MW-"&amp;$C185,"")</x:f>
        <x:v>MW-80</x:v>
      </x:c>
      <x:c r="AE185" s="75" t="str">
        <x:f>IF($G185&lt;&gt;"","3D Baskı / "&amp;$G185,"3D Baskı")</x:f>
        <x:v>3D Baskı</x:v>
      </x:c>
      <x:c r="AF185" s="75" t="str">
        <x:f>IF($D185&lt;&gt;"",$D185&amp;" - "&amp;$G185,$AD185&amp;" - "&amp;$G185)</x:f>
        <x:v>MW-80 - </x:v>
      </x:c>
      <x:c r="AG185" s="75" t="str"/>
    </x:row>
    <x:row r="186">
      <x:c r="A186" s="75" t="str">
        <x:f>IF($B186&lt;&gt;"",ROW()-4,"")</x:f>
      </x:c>
      <x:c r="B186" s="75" t="str"/>
      <x:c r="C186" s="75" t="n">
        <x:f>IFERROR(LET(x,MID($B186,FIND("/models/",$B186)+8,80),y,LEFT(x,FIND("-",x&amp;"-")-1),LEFT(y,FIND("?",y&amp;"?")-1)),"")</x:f>
        <x:v>80</x:v>
      </x:c>
      <x:c r="D186" s="75" t="str">
        <x:f>IF($B186="","",IFERROR(XLOOKUP($C186,MakerWorld_Verileri!$A:$A,MakerWorld_Verileri!$B:$B,""),""))</x:f>
      </x:c>
      <x:c r="E186" s="75" t="str">
        <x:f>IF($B186="","",IFERROR(XLOOKUP($C186,MakerWorld_Verileri!$A:$A,MakerWorld_Verileri!$C:$C,""),""))</x:f>
      </x:c>
      <x:c r="F186" s="75" t="str"/>
      <x:c r="G186" s="75" t="str">
        <x:f>IF($B186&lt;&gt;"",Ayarlar!$B$7,"")</x:f>
      </x:c>
      <x:c r="H186" s="82" t="str">
        <x:f>IF($B186&lt;&gt;"",1,"")</x:f>
      </x:c>
      <x:c r="I186" s="82" t="str">
        <x:f>IF($B186="","",IFERROR(XLOOKUP($C186,MakerWorld_Verileri!$A:$A,MakerWorld_Verileri!$D:$D,""),""))</x:f>
      </x:c>
      <x:c r="J186" s="82" t="str"/>
      <x:c r="K186" s="82" t="str">
        <x:f>IF($I186&lt;&gt;"",$I186,$J186)</x:f>
      </x:c>
      <x:c r="L186" s="82" t="str">
        <x:f>IF($B186="","",IFERROR(XLOOKUP($C186,MakerWorld_Verileri!$A:$A,MakerWorld_Verileri!$E:$E,""),""))</x:f>
      </x:c>
      <x:c r="M186" s="82" t="str"/>
      <x:c r="N186" s="82" t="str">
        <x:f>IF($L186&lt;&gt;"",$L186,$M186)</x:f>
      </x:c>
      <x:c r="O186" s="82" t="str">
        <x:f>IF($B186&lt;&gt;"",0,"")</x:f>
      </x:c>
      <x:c r="P186" s="75" t="str">
        <x:f>IF($B186&lt;&gt;"","Orta","")</x:f>
      </x:c>
      <x:c r="Q186" s="82" t="str">
        <x:f>IF($B186&lt;&gt;"",10,"")</x:f>
      </x:c>
      <x:c r="R186" s="83" t="str">
        <x:f>IF($B186&lt;&gt;"",Ayarlar!$B$10,"")</x:f>
      </x:c>
      <x:c r="S186" s="83" t="str">
        <x:f>IF($B186&lt;&gt;"",0,"")</x:f>
      </x:c>
      <x:c r="T186" s="83" t="n">
        <x:f>IFERROR(($K186+$O186)*XLOOKUP($G186,Ayarlar!$A$19:$A$28,Ayarlar!$C$19:$C$28,0)*(1+Ayarlar!$B$11),0)</x:f>
        <x:v>0</x:v>
      </x:c>
      <x:c r="U186" s="83" t="n">
        <x:f>IFERROR($N186/60*Ayarlar!$B$8,0)</x:f>
        <x:v>0</x:v>
      </x:c>
      <x:c r="V186" s="83" t="n">
        <x:f>IF($B186&lt;&gt;"",Ayarlar!$B$12+($Q186/60*Ayarlar!$B$9),0)</x:f>
        <x:v>0</x:v>
      </x:c>
      <x:c r="W186" s="83" t="n">
        <x:f>IF($B186&lt;&gt;"",SUM($T186:$V186,$R186:$S186),0)</x:f>
        <x:v>0</x:v>
      </x:c>
      <x:c r="X186" s="83" t="n">
        <x:f>IF($B186&lt;&gt;"",$W186*Ayarlar!$B$15,0)</x:f>
        <x:v>0</x:v>
      </x:c>
      <x:c r="Y186" s="83" t="n">
        <x:f>IF($B186&lt;&gt;"",($W186+$X186)*Ayarlar!$B$13,0)</x:f>
        <x:v>0</x:v>
      </x:c>
      <x:c r="Z186" s="83" t="n">
        <x:f>IF($B186&lt;&gt;"",($W186+$X186+$Y186)*Ayarlar!$B$14,0)</x:f>
        <x:v>0</x:v>
      </x:c>
      <x:c r="AA186" s="83" t="str">
        <x:f>IF($B186="","",IF(OR($K186="",$N186=""),"",CEILING($W186+$X186+$Y186+$Z186,Ayarlar!$B$16)))</x:f>
      </x:c>
      <x:c r="AB186" s="83" t="str">
        <x:f>IFERROR($AA186/$H186,"")</x:f>
      </x:c>
      <x:c r="AC186" s="75" t="str">
        <x:f>IF($B186="","",IF(OR($K186="",$N186=""),"Veri Eksik","Fiyat Hazır"))</x:f>
      </x:c>
      <x:c r="AD186" s="75" t="str">
        <x:f>IF($C186&lt;&gt;"","MW-"&amp;$C186,"")</x:f>
        <x:v>MW-80</x:v>
      </x:c>
      <x:c r="AE186" s="75" t="str">
        <x:f>IF($G186&lt;&gt;"","3D Baskı / "&amp;$G186,"3D Baskı")</x:f>
        <x:v>3D Baskı</x:v>
      </x:c>
      <x:c r="AF186" s="75" t="str">
        <x:f>IF($D186&lt;&gt;"",$D186&amp;" - "&amp;$G186,$AD186&amp;" - "&amp;$G186)</x:f>
        <x:v>MW-80 - </x:v>
      </x:c>
      <x:c r="AG186" s="75" t="str"/>
    </x:row>
    <x:row r="187">
      <x:c r="A187" s="75" t="str">
        <x:f>IF($B187&lt;&gt;"",ROW()-4,"")</x:f>
      </x:c>
      <x:c r="B187" s="75" t="str"/>
      <x:c r="C187" s="75" t="n">
        <x:f>IFERROR(LET(x,MID($B187,FIND("/models/",$B187)+8,80),y,LEFT(x,FIND("-",x&amp;"-")-1),LEFT(y,FIND("?",y&amp;"?")-1)),"")</x:f>
        <x:v>80</x:v>
      </x:c>
      <x:c r="D187" s="75" t="str">
        <x:f>IF($B187="","",IFERROR(XLOOKUP($C187,MakerWorld_Verileri!$A:$A,MakerWorld_Verileri!$B:$B,""),""))</x:f>
      </x:c>
      <x:c r="E187" s="75" t="str">
        <x:f>IF($B187="","",IFERROR(XLOOKUP($C187,MakerWorld_Verileri!$A:$A,MakerWorld_Verileri!$C:$C,""),""))</x:f>
      </x:c>
      <x:c r="F187" s="75" t="str"/>
      <x:c r="G187" s="75" t="str">
        <x:f>IF($B187&lt;&gt;"",Ayarlar!$B$7,"")</x:f>
      </x:c>
      <x:c r="H187" s="82" t="str">
        <x:f>IF($B187&lt;&gt;"",1,"")</x:f>
      </x:c>
      <x:c r="I187" s="82" t="str">
        <x:f>IF($B187="","",IFERROR(XLOOKUP($C187,MakerWorld_Verileri!$A:$A,MakerWorld_Verileri!$D:$D,""),""))</x:f>
      </x:c>
      <x:c r="J187" s="82" t="str"/>
      <x:c r="K187" s="82" t="str">
        <x:f>IF($I187&lt;&gt;"",$I187,$J187)</x:f>
      </x:c>
      <x:c r="L187" s="82" t="str">
        <x:f>IF($B187="","",IFERROR(XLOOKUP($C187,MakerWorld_Verileri!$A:$A,MakerWorld_Verileri!$E:$E,""),""))</x:f>
      </x:c>
      <x:c r="M187" s="82" t="str"/>
      <x:c r="N187" s="82" t="str">
        <x:f>IF($L187&lt;&gt;"",$L187,$M187)</x:f>
      </x:c>
      <x:c r="O187" s="82" t="str">
        <x:f>IF($B187&lt;&gt;"",0,"")</x:f>
      </x:c>
      <x:c r="P187" s="75" t="str">
        <x:f>IF($B187&lt;&gt;"","Orta","")</x:f>
      </x:c>
      <x:c r="Q187" s="82" t="str">
        <x:f>IF($B187&lt;&gt;"",10,"")</x:f>
      </x:c>
      <x:c r="R187" s="83" t="str">
        <x:f>IF($B187&lt;&gt;"",Ayarlar!$B$10,"")</x:f>
      </x:c>
      <x:c r="S187" s="83" t="str">
        <x:f>IF($B187&lt;&gt;"",0,"")</x:f>
      </x:c>
      <x:c r="T187" s="83" t="n">
        <x:f>IFERROR(($K187+$O187)*XLOOKUP($G187,Ayarlar!$A$19:$A$28,Ayarlar!$C$19:$C$28,0)*(1+Ayarlar!$B$11),0)</x:f>
        <x:v>0</x:v>
      </x:c>
      <x:c r="U187" s="83" t="n">
        <x:f>IFERROR($N187/60*Ayarlar!$B$8,0)</x:f>
        <x:v>0</x:v>
      </x:c>
      <x:c r="V187" s="83" t="n">
        <x:f>IF($B187&lt;&gt;"",Ayarlar!$B$12+($Q187/60*Ayarlar!$B$9),0)</x:f>
        <x:v>0</x:v>
      </x:c>
      <x:c r="W187" s="83" t="n">
        <x:f>IF($B187&lt;&gt;"",SUM($T187:$V187,$R187:$S187),0)</x:f>
        <x:v>0</x:v>
      </x:c>
      <x:c r="X187" s="83" t="n">
        <x:f>IF($B187&lt;&gt;"",$W187*Ayarlar!$B$15,0)</x:f>
        <x:v>0</x:v>
      </x:c>
      <x:c r="Y187" s="83" t="n">
        <x:f>IF($B187&lt;&gt;"",($W187+$X187)*Ayarlar!$B$13,0)</x:f>
        <x:v>0</x:v>
      </x:c>
      <x:c r="Z187" s="83" t="n">
        <x:f>IF($B187&lt;&gt;"",($W187+$X187+$Y187)*Ayarlar!$B$14,0)</x:f>
        <x:v>0</x:v>
      </x:c>
      <x:c r="AA187" s="83" t="str">
        <x:f>IF($B187="","",IF(OR($K187="",$N187=""),"",CEILING($W187+$X187+$Y187+$Z187,Ayarlar!$B$16)))</x:f>
      </x:c>
      <x:c r="AB187" s="83" t="str">
        <x:f>IFERROR($AA187/$H187,"")</x:f>
      </x:c>
      <x:c r="AC187" s="75" t="str">
        <x:f>IF($B187="","",IF(OR($K187="",$N187=""),"Veri Eksik","Fiyat Hazır"))</x:f>
      </x:c>
      <x:c r="AD187" s="75" t="str">
        <x:f>IF($C187&lt;&gt;"","MW-"&amp;$C187,"")</x:f>
        <x:v>MW-80</x:v>
      </x:c>
      <x:c r="AE187" s="75" t="str">
        <x:f>IF($G187&lt;&gt;"","3D Baskı / "&amp;$G187,"3D Baskı")</x:f>
        <x:v>3D Baskı</x:v>
      </x:c>
      <x:c r="AF187" s="75" t="str">
        <x:f>IF($D187&lt;&gt;"",$D187&amp;" - "&amp;$G187,$AD187&amp;" - "&amp;$G187)</x:f>
        <x:v>MW-80 - </x:v>
      </x:c>
      <x:c r="AG187" s="75" t="str"/>
    </x:row>
    <x:row r="188">
      <x:c r="A188" s="75" t="str">
        <x:f>IF($B188&lt;&gt;"",ROW()-4,"")</x:f>
      </x:c>
      <x:c r="B188" s="75" t="str"/>
      <x:c r="C188" s="75" t="n">
        <x:f>IFERROR(LET(x,MID($B188,FIND("/models/",$B188)+8,80),y,LEFT(x,FIND("-",x&amp;"-")-1),LEFT(y,FIND("?",y&amp;"?")-1)),"")</x:f>
        <x:v>80</x:v>
      </x:c>
      <x:c r="D188" s="75" t="str">
        <x:f>IF($B188="","",IFERROR(XLOOKUP($C188,MakerWorld_Verileri!$A:$A,MakerWorld_Verileri!$B:$B,""),""))</x:f>
      </x:c>
      <x:c r="E188" s="75" t="str">
        <x:f>IF($B188="","",IFERROR(XLOOKUP($C188,MakerWorld_Verileri!$A:$A,MakerWorld_Verileri!$C:$C,""),""))</x:f>
      </x:c>
      <x:c r="F188" s="75" t="str"/>
      <x:c r="G188" s="75" t="str">
        <x:f>IF($B188&lt;&gt;"",Ayarlar!$B$7,"")</x:f>
      </x:c>
      <x:c r="H188" s="82" t="str">
        <x:f>IF($B188&lt;&gt;"",1,"")</x:f>
      </x:c>
      <x:c r="I188" s="82" t="str">
        <x:f>IF($B188="","",IFERROR(XLOOKUP($C188,MakerWorld_Verileri!$A:$A,MakerWorld_Verileri!$D:$D,""),""))</x:f>
      </x:c>
      <x:c r="J188" s="82" t="str"/>
      <x:c r="K188" s="82" t="str">
        <x:f>IF($I188&lt;&gt;"",$I188,$J188)</x:f>
      </x:c>
      <x:c r="L188" s="82" t="str">
        <x:f>IF($B188="","",IFERROR(XLOOKUP($C188,MakerWorld_Verileri!$A:$A,MakerWorld_Verileri!$E:$E,""),""))</x:f>
      </x:c>
      <x:c r="M188" s="82" t="str"/>
      <x:c r="N188" s="82" t="str">
        <x:f>IF($L188&lt;&gt;"",$L188,$M188)</x:f>
      </x:c>
      <x:c r="O188" s="82" t="str">
        <x:f>IF($B188&lt;&gt;"",0,"")</x:f>
      </x:c>
      <x:c r="P188" s="75" t="str">
        <x:f>IF($B188&lt;&gt;"","Orta","")</x:f>
      </x:c>
      <x:c r="Q188" s="82" t="str">
        <x:f>IF($B188&lt;&gt;"",10,"")</x:f>
      </x:c>
      <x:c r="R188" s="83" t="str">
        <x:f>IF($B188&lt;&gt;"",Ayarlar!$B$10,"")</x:f>
      </x:c>
      <x:c r="S188" s="83" t="str">
        <x:f>IF($B188&lt;&gt;"",0,"")</x:f>
      </x:c>
      <x:c r="T188" s="83" t="n">
        <x:f>IFERROR(($K188+$O188)*XLOOKUP($G188,Ayarlar!$A$19:$A$28,Ayarlar!$C$19:$C$28,0)*(1+Ayarlar!$B$11),0)</x:f>
        <x:v>0</x:v>
      </x:c>
      <x:c r="U188" s="83" t="n">
        <x:f>IFERROR($N188/60*Ayarlar!$B$8,0)</x:f>
        <x:v>0</x:v>
      </x:c>
      <x:c r="V188" s="83" t="n">
        <x:f>IF($B188&lt;&gt;"",Ayarlar!$B$12+($Q188/60*Ayarlar!$B$9),0)</x:f>
        <x:v>0</x:v>
      </x:c>
      <x:c r="W188" s="83" t="n">
        <x:f>IF($B188&lt;&gt;"",SUM($T188:$V188,$R188:$S188),0)</x:f>
        <x:v>0</x:v>
      </x:c>
      <x:c r="X188" s="83" t="n">
        <x:f>IF($B188&lt;&gt;"",$W188*Ayarlar!$B$15,0)</x:f>
        <x:v>0</x:v>
      </x:c>
      <x:c r="Y188" s="83" t="n">
        <x:f>IF($B188&lt;&gt;"",($W188+$X188)*Ayarlar!$B$13,0)</x:f>
        <x:v>0</x:v>
      </x:c>
      <x:c r="Z188" s="83" t="n">
        <x:f>IF($B188&lt;&gt;"",($W188+$X188+$Y188)*Ayarlar!$B$14,0)</x:f>
        <x:v>0</x:v>
      </x:c>
      <x:c r="AA188" s="83" t="str">
        <x:f>IF($B188="","",IF(OR($K188="",$N188=""),"",CEILING($W188+$X188+$Y188+$Z188,Ayarlar!$B$16)))</x:f>
      </x:c>
      <x:c r="AB188" s="83" t="str">
        <x:f>IFERROR($AA188/$H188,"")</x:f>
      </x:c>
      <x:c r="AC188" s="75" t="str">
        <x:f>IF($B188="","",IF(OR($K188="",$N188=""),"Veri Eksik","Fiyat Hazır"))</x:f>
      </x:c>
      <x:c r="AD188" s="75" t="str">
        <x:f>IF($C188&lt;&gt;"","MW-"&amp;$C188,"")</x:f>
        <x:v>MW-80</x:v>
      </x:c>
      <x:c r="AE188" s="75" t="str">
        <x:f>IF($G188&lt;&gt;"","3D Baskı / "&amp;$G188,"3D Baskı")</x:f>
        <x:v>3D Baskı</x:v>
      </x:c>
      <x:c r="AF188" s="75" t="str">
        <x:f>IF($D188&lt;&gt;"",$D188&amp;" - "&amp;$G188,$AD188&amp;" - "&amp;$G188)</x:f>
        <x:v>MW-80 - </x:v>
      </x:c>
      <x:c r="AG188" s="75" t="str"/>
    </x:row>
    <x:row r="189">
      <x:c r="A189" s="75" t="str">
        <x:f>IF($B189&lt;&gt;"",ROW()-4,"")</x:f>
      </x:c>
      <x:c r="B189" s="75" t="str"/>
      <x:c r="C189" s="75" t="n">
        <x:f>IFERROR(LET(x,MID($B189,FIND("/models/",$B189)+8,80),y,LEFT(x,FIND("-",x&amp;"-")-1),LEFT(y,FIND("?",y&amp;"?")-1)),"")</x:f>
        <x:v>80</x:v>
      </x:c>
      <x:c r="D189" s="75" t="str">
        <x:f>IF($B189="","",IFERROR(XLOOKUP($C189,MakerWorld_Verileri!$A:$A,MakerWorld_Verileri!$B:$B,""),""))</x:f>
      </x:c>
      <x:c r="E189" s="75" t="str">
        <x:f>IF($B189="","",IFERROR(XLOOKUP($C189,MakerWorld_Verileri!$A:$A,MakerWorld_Verileri!$C:$C,""),""))</x:f>
      </x:c>
      <x:c r="F189" s="75" t="str"/>
      <x:c r="G189" s="75" t="str">
        <x:f>IF($B189&lt;&gt;"",Ayarlar!$B$7,"")</x:f>
      </x:c>
      <x:c r="H189" s="82" t="str">
        <x:f>IF($B189&lt;&gt;"",1,"")</x:f>
      </x:c>
      <x:c r="I189" s="82" t="str">
        <x:f>IF($B189="","",IFERROR(XLOOKUP($C189,MakerWorld_Verileri!$A:$A,MakerWorld_Verileri!$D:$D,""),""))</x:f>
      </x:c>
      <x:c r="J189" s="82" t="str"/>
      <x:c r="K189" s="82" t="str">
        <x:f>IF($I189&lt;&gt;"",$I189,$J189)</x:f>
      </x:c>
      <x:c r="L189" s="82" t="str">
        <x:f>IF($B189="","",IFERROR(XLOOKUP($C189,MakerWorld_Verileri!$A:$A,MakerWorld_Verileri!$E:$E,""),""))</x:f>
      </x:c>
      <x:c r="M189" s="82" t="str"/>
      <x:c r="N189" s="82" t="str">
        <x:f>IF($L189&lt;&gt;"",$L189,$M189)</x:f>
      </x:c>
      <x:c r="O189" s="82" t="str">
        <x:f>IF($B189&lt;&gt;"",0,"")</x:f>
      </x:c>
      <x:c r="P189" s="75" t="str">
        <x:f>IF($B189&lt;&gt;"","Orta","")</x:f>
      </x:c>
      <x:c r="Q189" s="82" t="str">
        <x:f>IF($B189&lt;&gt;"",10,"")</x:f>
      </x:c>
      <x:c r="R189" s="83" t="str">
        <x:f>IF($B189&lt;&gt;"",Ayarlar!$B$10,"")</x:f>
      </x:c>
      <x:c r="S189" s="83" t="str">
        <x:f>IF($B189&lt;&gt;"",0,"")</x:f>
      </x:c>
      <x:c r="T189" s="83" t="n">
        <x:f>IFERROR(($K189+$O189)*XLOOKUP($G189,Ayarlar!$A$19:$A$28,Ayarlar!$C$19:$C$28,0)*(1+Ayarlar!$B$11),0)</x:f>
        <x:v>0</x:v>
      </x:c>
      <x:c r="U189" s="83" t="n">
        <x:f>IFERROR($N189/60*Ayarlar!$B$8,0)</x:f>
        <x:v>0</x:v>
      </x:c>
      <x:c r="V189" s="83" t="n">
        <x:f>IF($B189&lt;&gt;"",Ayarlar!$B$12+($Q189/60*Ayarlar!$B$9),0)</x:f>
        <x:v>0</x:v>
      </x:c>
      <x:c r="W189" s="83" t="n">
        <x:f>IF($B189&lt;&gt;"",SUM($T189:$V189,$R189:$S189),0)</x:f>
        <x:v>0</x:v>
      </x:c>
      <x:c r="X189" s="83" t="n">
        <x:f>IF($B189&lt;&gt;"",$W189*Ayarlar!$B$15,0)</x:f>
        <x:v>0</x:v>
      </x:c>
      <x:c r="Y189" s="83" t="n">
        <x:f>IF($B189&lt;&gt;"",($W189+$X189)*Ayarlar!$B$13,0)</x:f>
        <x:v>0</x:v>
      </x:c>
      <x:c r="Z189" s="83" t="n">
        <x:f>IF($B189&lt;&gt;"",($W189+$X189+$Y189)*Ayarlar!$B$14,0)</x:f>
        <x:v>0</x:v>
      </x:c>
      <x:c r="AA189" s="83" t="str">
        <x:f>IF($B189="","",IF(OR($K189="",$N189=""),"",CEILING($W189+$X189+$Y189+$Z189,Ayarlar!$B$16)))</x:f>
      </x:c>
      <x:c r="AB189" s="83" t="str">
        <x:f>IFERROR($AA189/$H189,"")</x:f>
      </x:c>
      <x:c r="AC189" s="75" t="str">
        <x:f>IF($B189="","",IF(OR($K189="",$N189=""),"Veri Eksik","Fiyat Hazır"))</x:f>
      </x:c>
      <x:c r="AD189" s="75" t="str">
        <x:f>IF($C189&lt;&gt;"","MW-"&amp;$C189,"")</x:f>
        <x:v>MW-80</x:v>
      </x:c>
      <x:c r="AE189" s="75" t="str">
        <x:f>IF($G189&lt;&gt;"","3D Baskı / "&amp;$G189,"3D Baskı")</x:f>
        <x:v>3D Baskı</x:v>
      </x:c>
      <x:c r="AF189" s="75" t="str">
        <x:f>IF($D189&lt;&gt;"",$D189&amp;" - "&amp;$G189,$AD189&amp;" - "&amp;$G189)</x:f>
        <x:v>MW-80 - </x:v>
      </x:c>
      <x:c r="AG189" s="75" t="str"/>
    </x:row>
    <x:row r="190">
      <x:c r="A190" s="75" t="str">
        <x:f>IF($B190&lt;&gt;"",ROW()-4,"")</x:f>
      </x:c>
      <x:c r="B190" s="75" t="str"/>
      <x:c r="C190" s="75" t="n">
        <x:f>IFERROR(LET(x,MID($B190,FIND("/models/",$B190)+8,80),y,LEFT(x,FIND("-",x&amp;"-")-1),LEFT(y,FIND("?",y&amp;"?")-1)),"")</x:f>
        <x:v>80</x:v>
      </x:c>
      <x:c r="D190" s="75" t="str">
        <x:f>IF($B190="","",IFERROR(XLOOKUP($C190,MakerWorld_Verileri!$A:$A,MakerWorld_Verileri!$B:$B,""),""))</x:f>
      </x:c>
      <x:c r="E190" s="75" t="str">
        <x:f>IF($B190="","",IFERROR(XLOOKUP($C190,MakerWorld_Verileri!$A:$A,MakerWorld_Verileri!$C:$C,""),""))</x:f>
      </x:c>
      <x:c r="F190" s="75" t="str"/>
      <x:c r="G190" s="75" t="str">
        <x:f>IF($B190&lt;&gt;"",Ayarlar!$B$7,"")</x:f>
      </x:c>
      <x:c r="H190" s="82" t="str">
        <x:f>IF($B190&lt;&gt;"",1,"")</x:f>
      </x:c>
      <x:c r="I190" s="82" t="str">
        <x:f>IF($B190="","",IFERROR(XLOOKUP($C190,MakerWorld_Verileri!$A:$A,MakerWorld_Verileri!$D:$D,""),""))</x:f>
      </x:c>
      <x:c r="J190" s="82" t="str"/>
      <x:c r="K190" s="82" t="str">
        <x:f>IF($I190&lt;&gt;"",$I190,$J190)</x:f>
      </x:c>
      <x:c r="L190" s="82" t="str">
        <x:f>IF($B190="","",IFERROR(XLOOKUP($C190,MakerWorld_Verileri!$A:$A,MakerWorld_Verileri!$E:$E,""),""))</x:f>
      </x:c>
      <x:c r="M190" s="82" t="str"/>
      <x:c r="N190" s="82" t="str">
        <x:f>IF($L190&lt;&gt;"",$L190,$M190)</x:f>
      </x:c>
      <x:c r="O190" s="82" t="str">
        <x:f>IF($B190&lt;&gt;"",0,"")</x:f>
      </x:c>
      <x:c r="P190" s="75" t="str">
        <x:f>IF($B190&lt;&gt;"","Orta","")</x:f>
      </x:c>
      <x:c r="Q190" s="82" t="str">
        <x:f>IF($B190&lt;&gt;"",10,"")</x:f>
      </x:c>
      <x:c r="R190" s="83" t="str">
        <x:f>IF($B190&lt;&gt;"",Ayarlar!$B$10,"")</x:f>
      </x:c>
      <x:c r="S190" s="83" t="str">
        <x:f>IF($B190&lt;&gt;"",0,"")</x:f>
      </x:c>
      <x:c r="T190" s="83" t="n">
        <x:f>IFERROR(($K190+$O190)*XLOOKUP($G190,Ayarlar!$A$19:$A$28,Ayarlar!$C$19:$C$28,0)*(1+Ayarlar!$B$11),0)</x:f>
        <x:v>0</x:v>
      </x:c>
      <x:c r="U190" s="83" t="n">
        <x:f>IFERROR($N190/60*Ayarlar!$B$8,0)</x:f>
        <x:v>0</x:v>
      </x:c>
      <x:c r="V190" s="83" t="n">
        <x:f>IF($B190&lt;&gt;"",Ayarlar!$B$12+($Q190/60*Ayarlar!$B$9),0)</x:f>
        <x:v>0</x:v>
      </x:c>
      <x:c r="W190" s="83" t="n">
        <x:f>IF($B190&lt;&gt;"",SUM($T190:$V190,$R190:$S190),0)</x:f>
        <x:v>0</x:v>
      </x:c>
      <x:c r="X190" s="83" t="n">
        <x:f>IF($B190&lt;&gt;"",$W190*Ayarlar!$B$15,0)</x:f>
        <x:v>0</x:v>
      </x:c>
      <x:c r="Y190" s="83" t="n">
        <x:f>IF($B190&lt;&gt;"",($W190+$X190)*Ayarlar!$B$13,0)</x:f>
        <x:v>0</x:v>
      </x:c>
      <x:c r="Z190" s="83" t="n">
        <x:f>IF($B190&lt;&gt;"",($W190+$X190+$Y190)*Ayarlar!$B$14,0)</x:f>
        <x:v>0</x:v>
      </x:c>
      <x:c r="AA190" s="83" t="str">
        <x:f>IF($B190="","",IF(OR($K190="",$N190=""),"",CEILING($W190+$X190+$Y190+$Z190,Ayarlar!$B$16)))</x:f>
      </x:c>
      <x:c r="AB190" s="83" t="str">
        <x:f>IFERROR($AA190/$H190,"")</x:f>
      </x:c>
      <x:c r="AC190" s="75" t="str">
        <x:f>IF($B190="","",IF(OR($K190="",$N190=""),"Veri Eksik","Fiyat Hazır"))</x:f>
      </x:c>
      <x:c r="AD190" s="75" t="str">
        <x:f>IF($C190&lt;&gt;"","MW-"&amp;$C190,"")</x:f>
        <x:v>MW-80</x:v>
      </x:c>
      <x:c r="AE190" s="75" t="str">
        <x:f>IF($G190&lt;&gt;"","3D Baskı / "&amp;$G190,"3D Baskı")</x:f>
        <x:v>3D Baskı</x:v>
      </x:c>
      <x:c r="AF190" s="75" t="str">
        <x:f>IF($D190&lt;&gt;"",$D190&amp;" - "&amp;$G190,$AD190&amp;" - "&amp;$G190)</x:f>
        <x:v>MW-80 - </x:v>
      </x:c>
      <x:c r="AG190" s="75" t="str"/>
    </x:row>
    <x:row r="191">
      <x:c r="A191" s="75" t="str">
        <x:f>IF($B191&lt;&gt;"",ROW()-4,"")</x:f>
      </x:c>
      <x:c r="B191" s="75" t="str"/>
      <x:c r="C191" s="75" t="n">
        <x:f>IFERROR(LET(x,MID($B191,FIND("/models/",$B191)+8,80),y,LEFT(x,FIND("-",x&amp;"-")-1),LEFT(y,FIND("?",y&amp;"?")-1)),"")</x:f>
        <x:v>80</x:v>
      </x:c>
      <x:c r="D191" s="75" t="str">
        <x:f>IF($B191="","",IFERROR(XLOOKUP($C191,MakerWorld_Verileri!$A:$A,MakerWorld_Verileri!$B:$B,""),""))</x:f>
      </x:c>
      <x:c r="E191" s="75" t="str">
        <x:f>IF($B191="","",IFERROR(XLOOKUP($C191,MakerWorld_Verileri!$A:$A,MakerWorld_Verileri!$C:$C,""),""))</x:f>
      </x:c>
      <x:c r="F191" s="75" t="str"/>
      <x:c r="G191" s="75" t="str">
        <x:f>IF($B191&lt;&gt;"",Ayarlar!$B$7,"")</x:f>
      </x:c>
      <x:c r="H191" s="82" t="str">
        <x:f>IF($B191&lt;&gt;"",1,"")</x:f>
      </x:c>
      <x:c r="I191" s="82" t="str">
        <x:f>IF($B191="","",IFERROR(XLOOKUP($C191,MakerWorld_Verileri!$A:$A,MakerWorld_Verileri!$D:$D,""),""))</x:f>
      </x:c>
      <x:c r="J191" s="82" t="str"/>
      <x:c r="K191" s="82" t="str">
        <x:f>IF($I191&lt;&gt;"",$I191,$J191)</x:f>
      </x:c>
      <x:c r="L191" s="82" t="str">
        <x:f>IF($B191="","",IFERROR(XLOOKUP($C191,MakerWorld_Verileri!$A:$A,MakerWorld_Verileri!$E:$E,""),""))</x:f>
      </x:c>
      <x:c r="M191" s="82" t="str"/>
      <x:c r="N191" s="82" t="str">
        <x:f>IF($L191&lt;&gt;"",$L191,$M191)</x:f>
      </x:c>
      <x:c r="O191" s="82" t="str">
        <x:f>IF($B191&lt;&gt;"",0,"")</x:f>
      </x:c>
      <x:c r="P191" s="75" t="str">
        <x:f>IF($B191&lt;&gt;"","Orta","")</x:f>
      </x:c>
      <x:c r="Q191" s="82" t="str">
        <x:f>IF($B191&lt;&gt;"",10,"")</x:f>
      </x:c>
      <x:c r="R191" s="83" t="str">
        <x:f>IF($B191&lt;&gt;"",Ayarlar!$B$10,"")</x:f>
      </x:c>
      <x:c r="S191" s="83" t="str">
        <x:f>IF($B191&lt;&gt;"",0,"")</x:f>
      </x:c>
      <x:c r="T191" s="83" t="n">
        <x:f>IFERROR(($K191+$O191)*XLOOKUP($G191,Ayarlar!$A$19:$A$28,Ayarlar!$C$19:$C$28,0)*(1+Ayarlar!$B$11),0)</x:f>
        <x:v>0</x:v>
      </x:c>
      <x:c r="U191" s="83" t="n">
        <x:f>IFERROR($N191/60*Ayarlar!$B$8,0)</x:f>
        <x:v>0</x:v>
      </x:c>
      <x:c r="V191" s="83" t="n">
        <x:f>IF($B191&lt;&gt;"",Ayarlar!$B$12+($Q191/60*Ayarlar!$B$9),0)</x:f>
        <x:v>0</x:v>
      </x:c>
      <x:c r="W191" s="83" t="n">
        <x:f>IF($B191&lt;&gt;"",SUM($T191:$V191,$R191:$S191),0)</x:f>
        <x:v>0</x:v>
      </x:c>
      <x:c r="X191" s="83" t="n">
        <x:f>IF($B191&lt;&gt;"",$W191*Ayarlar!$B$15,0)</x:f>
        <x:v>0</x:v>
      </x:c>
      <x:c r="Y191" s="83" t="n">
        <x:f>IF($B191&lt;&gt;"",($W191+$X191)*Ayarlar!$B$13,0)</x:f>
        <x:v>0</x:v>
      </x:c>
      <x:c r="Z191" s="83" t="n">
        <x:f>IF($B191&lt;&gt;"",($W191+$X191+$Y191)*Ayarlar!$B$14,0)</x:f>
        <x:v>0</x:v>
      </x:c>
      <x:c r="AA191" s="83" t="str">
        <x:f>IF($B191="","",IF(OR($K191="",$N191=""),"",CEILING($W191+$X191+$Y191+$Z191,Ayarlar!$B$16)))</x:f>
      </x:c>
      <x:c r="AB191" s="83" t="str">
        <x:f>IFERROR($AA191/$H191,"")</x:f>
      </x:c>
      <x:c r="AC191" s="75" t="str">
        <x:f>IF($B191="","",IF(OR($K191="",$N191=""),"Veri Eksik","Fiyat Hazır"))</x:f>
      </x:c>
      <x:c r="AD191" s="75" t="str">
        <x:f>IF($C191&lt;&gt;"","MW-"&amp;$C191,"")</x:f>
        <x:v>MW-80</x:v>
      </x:c>
      <x:c r="AE191" s="75" t="str">
        <x:f>IF($G191&lt;&gt;"","3D Baskı / "&amp;$G191,"3D Baskı")</x:f>
        <x:v>3D Baskı</x:v>
      </x:c>
      <x:c r="AF191" s="75" t="str">
        <x:f>IF($D191&lt;&gt;"",$D191&amp;" - "&amp;$G191,$AD191&amp;" - "&amp;$G191)</x:f>
        <x:v>MW-80 - </x:v>
      </x:c>
      <x:c r="AG191" s="75" t="str"/>
    </x:row>
    <x:row r="192">
      <x:c r="A192" s="75" t="str">
        <x:f>IF($B192&lt;&gt;"",ROW()-4,"")</x:f>
      </x:c>
      <x:c r="B192" s="75" t="str"/>
      <x:c r="C192" s="75" t="n">
        <x:f>IFERROR(LET(x,MID($B192,FIND("/models/",$B192)+8,80),y,LEFT(x,FIND("-",x&amp;"-")-1),LEFT(y,FIND("?",y&amp;"?")-1)),"")</x:f>
        <x:v>80</x:v>
      </x:c>
      <x:c r="D192" s="75" t="str">
        <x:f>IF($B192="","",IFERROR(XLOOKUP($C192,MakerWorld_Verileri!$A:$A,MakerWorld_Verileri!$B:$B,""),""))</x:f>
      </x:c>
      <x:c r="E192" s="75" t="str">
        <x:f>IF($B192="","",IFERROR(XLOOKUP($C192,MakerWorld_Verileri!$A:$A,MakerWorld_Verileri!$C:$C,""),""))</x:f>
      </x:c>
      <x:c r="F192" s="75" t="str"/>
      <x:c r="G192" s="75" t="str">
        <x:f>IF($B192&lt;&gt;"",Ayarlar!$B$7,"")</x:f>
      </x:c>
      <x:c r="H192" s="82" t="str">
        <x:f>IF($B192&lt;&gt;"",1,"")</x:f>
      </x:c>
      <x:c r="I192" s="82" t="str">
        <x:f>IF($B192="","",IFERROR(XLOOKUP($C192,MakerWorld_Verileri!$A:$A,MakerWorld_Verileri!$D:$D,""),""))</x:f>
      </x:c>
      <x:c r="J192" s="82" t="str"/>
      <x:c r="K192" s="82" t="str">
        <x:f>IF($I192&lt;&gt;"",$I192,$J192)</x:f>
      </x:c>
      <x:c r="L192" s="82" t="str">
        <x:f>IF($B192="","",IFERROR(XLOOKUP($C192,MakerWorld_Verileri!$A:$A,MakerWorld_Verileri!$E:$E,""),""))</x:f>
      </x:c>
      <x:c r="M192" s="82" t="str"/>
      <x:c r="N192" s="82" t="str">
        <x:f>IF($L192&lt;&gt;"",$L192,$M192)</x:f>
      </x:c>
      <x:c r="O192" s="82" t="str">
        <x:f>IF($B192&lt;&gt;"",0,"")</x:f>
      </x:c>
      <x:c r="P192" s="75" t="str">
        <x:f>IF($B192&lt;&gt;"","Orta","")</x:f>
      </x:c>
      <x:c r="Q192" s="82" t="str">
        <x:f>IF($B192&lt;&gt;"",10,"")</x:f>
      </x:c>
      <x:c r="R192" s="83" t="str">
        <x:f>IF($B192&lt;&gt;"",Ayarlar!$B$10,"")</x:f>
      </x:c>
      <x:c r="S192" s="83" t="str">
        <x:f>IF($B192&lt;&gt;"",0,"")</x:f>
      </x:c>
      <x:c r="T192" s="83" t="n">
        <x:f>IFERROR(($K192+$O192)*XLOOKUP($G192,Ayarlar!$A$19:$A$28,Ayarlar!$C$19:$C$28,0)*(1+Ayarlar!$B$11),0)</x:f>
        <x:v>0</x:v>
      </x:c>
      <x:c r="U192" s="83" t="n">
        <x:f>IFERROR($N192/60*Ayarlar!$B$8,0)</x:f>
        <x:v>0</x:v>
      </x:c>
      <x:c r="V192" s="83" t="n">
        <x:f>IF($B192&lt;&gt;"",Ayarlar!$B$12+($Q192/60*Ayarlar!$B$9),0)</x:f>
        <x:v>0</x:v>
      </x:c>
      <x:c r="W192" s="83" t="n">
        <x:f>IF($B192&lt;&gt;"",SUM($T192:$V192,$R192:$S192),0)</x:f>
        <x:v>0</x:v>
      </x:c>
      <x:c r="X192" s="83" t="n">
        <x:f>IF($B192&lt;&gt;"",$W192*Ayarlar!$B$15,0)</x:f>
        <x:v>0</x:v>
      </x:c>
      <x:c r="Y192" s="83" t="n">
        <x:f>IF($B192&lt;&gt;"",($W192+$X192)*Ayarlar!$B$13,0)</x:f>
        <x:v>0</x:v>
      </x:c>
      <x:c r="Z192" s="83" t="n">
        <x:f>IF($B192&lt;&gt;"",($W192+$X192+$Y192)*Ayarlar!$B$14,0)</x:f>
        <x:v>0</x:v>
      </x:c>
      <x:c r="AA192" s="83" t="str">
        <x:f>IF($B192="","",IF(OR($K192="",$N192=""),"",CEILING($W192+$X192+$Y192+$Z192,Ayarlar!$B$16)))</x:f>
      </x:c>
      <x:c r="AB192" s="83" t="str">
        <x:f>IFERROR($AA192/$H192,"")</x:f>
      </x:c>
      <x:c r="AC192" s="75" t="str">
        <x:f>IF($B192="","",IF(OR($K192="",$N192=""),"Veri Eksik","Fiyat Hazır"))</x:f>
      </x:c>
      <x:c r="AD192" s="75" t="str">
        <x:f>IF($C192&lt;&gt;"","MW-"&amp;$C192,"")</x:f>
        <x:v>MW-80</x:v>
      </x:c>
      <x:c r="AE192" s="75" t="str">
        <x:f>IF($G192&lt;&gt;"","3D Baskı / "&amp;$G192,"3D Baskı")</x:f>
        <x:v>3D Baskı</x:v>
      </x:c>
      <x:c r="AF192" s="75" t="str">
        <x:f>IF($D192&lt;&gt;"",$D192&amp;" - "&amp;$G192,$AD192&amp;" - "&amp;$G192)</x:f>
        <x:v>MW-80 - </x:v>
      </x:c>
      <x:c r="AG192" s="75" t="str"/>
    </x:row>
    <x:row r="193">
      <x:c r="A193" s="75" t="str">
        <x:f>IF($B193&lt;&gt;"",ROW()-4,"")</x:f>
      </x:c>
      <x:c r="B193" s="75" t="str"/>
      <x:c r="C193" s="75" t="n">
        <x:f>IFERROR(LET(x,MID($B193,FIND("/models/",$B193)+8,80),y,LEFT(x,FIND("-",x&amp;"-")-1),LEFT(y,FIND("?",y&amp;"?")-1)),"")</x:f>
        <x:v>80</x:v>
      </x:c>
      <x:c r="D193" s="75" t="str">
        <x:f>IF($B193="","",IFERROR(XLOOKUP($C193,MakerWorld_Verileri!$A:$A,MakerWorld_Verileri!$B:$B,""),""))</x:f>
      </x:c>
      <x:c r="E193" s="75" t="str">
        <x:f>IF($B193="","",IFERROR(XLOOKUP($C193,MakerWorld_Verileri!$A:$A,MakerWorld_Verileri!$C:$C,""),""))</x:f>
      </x:c>
      <x:c r="F193" s="75" t="str"/>
      <x:c r="G193" s="75" t="str">
        <x:f>IF($B193&lt;&gt;"",Ayarlar!$B$7,"")</x:f>
      </x:c>
      <x:c r="H193" s="82" t="str">
        <x:f>IF($B193&lt;&gt;"",1,"")</x:f>
      </x:c>
      <x:c r="I193" s="82" t="str">
        <x:f>IF($B193="","",IFERROR(XLOOKUP($C193,MakerWorld_Verileri!$A:$A,MakerWorld_Verileri!$D:$D,""),""))</x:f>
      </x:c>
      <x:c r="J193" s="82" t="str"/>
      <x:c r="K193" s="82" t="str">
        <x:f>IF($I193&lt;&gt;"",$I193,$J193)</x:f>
      </x:c>
      <x:c r="L193" s="82" t="str">
        <x:f>IF($B193="","",IFERROR(XLOOKUP($C193,MakerWorld_Verileri!$A:$A,MakerWorld_Verileri!$E:$E,""),""))</x:f>
      </x:c>
      <x:c r="M193" s="82" t="str"/>
      <x:c r="N193" s="82" t="str">
        <x:f>IF($L193&lt;&gt;"",$L193,$M193)</x:f>
      </x:c>
      <x:c r="O193" s="82" t="str">
        <x:f>IF($B193&lt;&gt;"",0,"")</x:f>
      </x:c>
      <x:c r="P193" s="75" t="str">
        <x:f>IF($B193&lt;&gt;"","Orta","")</x:f>
      </x:c>
      <x:c r="Q193" s="82" t="str">
        <x:f>IF($B193&lt;&gt;"",10,"")</x:f>
      </x:c>
      <x:c r="R193" s="83" t="str">
        <x:f>IF($B193&lt;&gt;"",Ayarlar!$B$10,"")</x:f>
      </x:c>
      <x:c r="S193" s="83" t="str">
        <x:f>IF($B193&lt;&gt;"",0,"")</x:f>
      </x:c>
      <x:c r="T193" s="83" t="n">
        <x:f>IFERROR(($K193+$O193)*XLOOKUP($G193,Ayarlar!$A$19:$A$28,Ayarlar!$C$19:$C$28,0)*(1+Ayarlar!$B$11),0)</x:f>
        <x:v>0</x:v>
      </x:c>
      <x:c r="U193" s="83" t="n">
        <x:f>IFERROR($N193/60*Ayarlar!$B$8,0)</x:f>
        <x:v>0</x:v>
      </x:c>
      <x:c r="V193" s="83" t="n">
        <x:f>IF($B193&lt;&gt;"",Ayarlar!$B$12+($Q193/60*Ayarlar!$B$9),0)</x:f>
        <x:v>0</x:v>
      </x:c>
      <x:c r="W193" s="83" t="n">
        <x:f>IF($B193&lt;&gt;"",SUM($T193:$V193,$R193:$S193),0)</x:f>
        <x:v>0</x:v>
      </x:c>
      <x:c r="X193" s="83" t="n">
        <x:f>IF($B193&lt;&gt;"",$W193*Ayarlar!$B$15,0)</x:f>
        <x:v>0</x:v>
      </x:c>
      <x:c r="Y193" s="83" t="n">
        <x:f>IF($B193&lt;&gt;"",($W193+$X193)*Ayarlar!$B$13,0)</x:f>
        <x:v>0</x:v>
      </x:c>
      <x:c r="Z193" s="83" t="n">
        <x:f>IF($B193&lt;&gt;"",($W193+$X193+$Y193)*Ayarlar!$B$14,0)</x:f>
        <x:v>0</x:v>
      </x:c>
      <x:c r="AA193" s="83" t="str">
        <x:f>IF($B193="","",IF(OR($K193="",$N193=""),"",CEILING($W193+$X193+$Y193+$Z193,Ayarlar!$B$16)))</x:f>
      </x:c>
      <x:c r="AB193" s="83" t="str">
        <x:f>IFERROR($AA193/$H193,"")</x:f>
      </x:c>
      <x:c r="AC193" s="75" t="str">
        <x:f>IF($B193="","",IF(OR($K193="",$N193=""),"Veri Eksik","Fiyat Hazır"))</x:f>
      </x:c>
      <x:c r="AD193" s="75" t="str">
        <x:f>IF($C193&lt;&gt;"","MW-"&amp;$C193,"")</x:f>
        <x:v>MW-80</x:v>
      </x:c>
      <x:c r="AE193" s="75" t="str">
        <x:f>IF($G193&lt;&gt;"","3D Baskı / "&amp;$G193,"3D Baskı")</x:f>
        <x:v>3D Baskı</x:v>
      </x:c>
      <x:c r="AF193" s="75" t="str">
        <x:f>IF($D193&lt;&gt;"",$D193&amp;" - "&amp;$G193,$AD193&amp;" - "&amp;$G193)</x:f>
        <x:v>MW-80 - </x:v>
      </x:c>
      <x:c r="AG193" s="75" t="str"/>
    </x:row>
    <x:row r="194">
      <x:c r="A194" s="75" t="str">
        <x:f>IF($B194&lt;&gt;"",ROW()-4,"")</x:f>
      </x:c>
      <x:c r="B194" s="75" t="str"/>
      <x:c r="C194" s="75" t="n">
        <x:f>IFERROR(LET(x,MID($B194,FIND("/models/",$B194)+8,80),y,LEFT(x,FIND("-",x&amp;"-")-1),LEFT(y,FIND("?",y&amp;"?")-1)),"")</x:f>
        <x:v>80</x:v>
      </x:c>
      <x:c r="D194" s="75" t="str">
        <x:f>IF($B194="","",IFERROR(XLOOKUP($C194,MakerWorld_Verileri!$A:$A,MakerWorld_Verileri!$B:$B,""),""))</x:f>
      </x:c>
      <x:c r="E194" s="75" t="str">
        <x:f>IF($B194="","",IFERROR(XLOOKUP($C194,MakerWorld_Verileri!$A:$A,MakerWorld_Verileri!$C:$C,""),""))</x:f>
      </x:c>
      <x:c r="F194" s="75" t="str"/>
      <x:c r="G194" s="75" t="str">
        <x:f>IF($B194&lt;&gt;"",Ayarlar!$B$7,"")</x:f>
      </x:c>
      <x:c r="H194" s="82" t="str">
        <x:f>IF($B194&lt;&gt;"",1,"")</x:f>
      </x:c>
      <x:c r="I194" s="82" t="str">
        <x:f>IF($B194="","",IFERROR(XLOOKUP($C194,MakerWorld_Verileri!$A:$A,MakerWorld_Verileri!$D:$D,""),""))</x:f>
      </x:c>
      <x:c r="J194" s="82" t="str"/>
      <x:c r="K194" s="82" t="str">
        <x:f>IF($I194&lt;&gt;"",$I194,$J194)</x:f>
      </x:c>
      <x:c r="L194" s="82" t="str">
        <x:f>IF($B194="","",IFERROR(XLOOKUP($C194,MakerWorld_Verileri!$A:$A,MakerWorld_Verileri!$E:$E,""),""))</x:f>
      </x:c>
      <x:c r="M194" s="82" t="str"/>
      <x:c r="N194" s="82" t="str">
        <x:f>IF($L194&lt;&gt;"",$L194,$M194)</x:f>
      </x:c>
      <x:c r="O194" s="82" t="str">
        <x:f>IF($B194&lt;&gt;"",0,"")</x:f>
      </x:c>
      <x:c r="P194" s="75" t="str">
        <x:f>IF($B194&lt;&gt;"","Orta","")</x:f>
      </x:c>
      <x:c r="Q194" s="82" t="str">
        <x:f>IF($B194&lt;&gt;"",10,"")</x:f>
      </x:c>
      <x:c r="R194" s="83" t="str">
        <x:f>IF($B194&lt;&gt;"",Ayarlar!$B$10,"")</x:f>
      </x:c>
      <x:c r="S194" s="83" t="str">
        <x:f>IF($B194&lt;&gt;"",0,"")</x:f>
      </x:c>
      <x:c r="T194" s="83" t="n">
        <x:f>IFERROR(($K194+$O194)*XLOOKUP($G194,Ayarlar!$A$19:$A$28,Ayarlar!$C$19:$C$28,0)*(1+Ayarlar!$B$11),0)</x:f>
        <x:v>0</x:v>
      </x:c>
      <x:c r="U194" s="83" t="n">
        <x:f>IFERROR($N194/60*Ayarlar!$B$8,0)</x:f>
        <x:v>0</x:v>
      </x:c>
      <x:c r="V194" s="83" t="n">
        <x:f>IF($B194&lt;&gt;"",Ayarlar!$B$12+($Q194/60*Ayarlar!$B$9),0)</x:f>
        <x:v>0</x:v>
      </x:c>
      <x:c r="W194" s="83" t="n">
        <x:f>IF($B194&lt;&gt;"",SUM($T194:$V194,$R194:$S194),0)</x:f>
        <x:v>0</x:v>
      </x:c>
      <x:c r="X194" s="83" t="n">
        <x:f>IF($B194&lt;&gt;"",$W194*Ayarlar!$B$15,0)</x:f>
        <x:v>0</x:v>
      </x:c>
      <x:c r="Y194" s="83" t="n">
        <x:f>IF($B194&lt;&gt;"",($W194+$X194)*Ayarlar!$B$13,0)</x:f>
        <x:v>0</x:v>
      </x:c>
      <x:c r="Z194" s="83" t="n">
        <x:f>IF($B194&lt;&gt;"",($W194+$X194+$Y194)*Ayarlar!$B$14,0)</x:f>
        <x:v>0</x:v>
      </x:c>
      <x:c r="AA194" s="83" t="str">
        <x:f>IF($B194="","",IF(OR($K194="",$N194=""),"",CEILING($W194+$X194+$Y194+$Z194,Ayarlar!$B$16)))</x:f>
      </x:c>
      <x:c r="AB194" s="83" t="str">
        <x:f>IFERROR($AA194/$H194,"")</x:f>
      </x:c>
      <x:c r="AC194" s="75" t="str">
        <x:f>IF($B194="","",IF(OR($K194="",$N194=""),"Veri Eksik","Fiyat Hazır"))</x:f>
      </x:c>
      <x:c r="AD194" s="75" t="str">
        <x:f>IF($C194&lt;&gt;"","MW-"&amp;$C194,"")</x:f>
        <x:v>MW-80</x:v>
      </x:c>
      <x:c r="AE194" s="75" t="str">
        <x:f>IF($G194&lt;&gt;"","3D Baskı / "&amp;$G194,"3D Baskı")</x:f>
        <x:v>3D Baskı</x:v>
      </x:c>
      <x:c r="AF194" s="75" t="str">
        <x:f>IF($D194&lt;&gt;"",$D194&amp;" - "&amp;$G194,$AD194&amp;" - "&amp;$G194)</x:f>
        <x:v>MW-80 - </x:v>
      </x:c>
      <x:c r="AG194" s="75" t="str"/>
    </x:row>
    <x:row r="195">
      <x:c r="A195" s="75" t="str">
        <x:f>IF($B195&lt;&gt;"",ROW()-4,"")</x:f>
      </x:c>
      <x:c r="B195" s="75" t="str"/>
      <x:c r="C195" s="75" t="n">
        <x:f>IFERROR(LET(x,MID($B195,FIND("/models/",$B195)+8,80),y,LEFT(x,FIND("-",x&amp;"-")-1),LEFT(y,FIND("?",y&amp;"?")-1)),"")</x:f>
        <x:v>80</x:v>
      </x:c>
      <x:c r="D195" s="75" t="str">
        <x:f>IF($B195="","",IFERROR(XLOOKUP($C195,MakerWorld_Verileri!$A:$A,MakerWorld_Verileri!$B:$B,""),""))</x:f>
      </x:c>
      <x:c r="E195" s="75" t="str">
        <x:f>IF($B195="","",IFERROR(XLOOKUP($C195,MakerWorld_Verileri!$A:$A,MakerWorld_Verileri!$C:$C,""),""))</x:f>
      </x:c>
      <x:c r="F195" s="75" t="str"/>
      <x:c r="G195" s="75" t="str">
        <x:f>IF($B195&lt;&gt;"",Ayarlar!$B$7,"")</x:f>
      </x:c>
      <x:c r="H195" s="82" t="str">
        <x:f>IF($B195&lt;&gt;"",1,"")</x:f>
      </x:c>
      <x:c r="I195" s="82" t="str">
        <x:f>IF($B195="","",IFERROR(XLOOKUP($C195,MakerWorld_Verileri!$A:$A,MakerWorld_Verileri!$D:$D,""),""))</x:f>
      </x:c>
      <x:c r="J195" s="82" t="str"/>
      <x:c r="K195" s="82" t="str">
        <x:f>IF($I195&lt;&gt;"",$I195,$J195)</x:f>
      </x:c>
      <x:c r="L195" s="82" t="str">
        <x:f>IF($B195="","",IFERROR(XLOOKUP($C195,MakerWorld_Verileri!$A:$A,MakerWorld_Verileri!$E:$E,""),""))</x:f>
      </x:c>
      <x:c r="M195" s="82" t="str"/>
      <x:c r="N195" s="82" t="str">
        <x:f>IF($L195&lt;&gt;"",$L195,$M195)</x:f>
      </x:c>
      <x:c r="O195" s="82" t="str">
        <x:f>IF($B195&lt;&gt;"",0,"")</x:f>
      </x:c>
      <x:c r="P195" s="75" t="str">
        <x:f>IF($B195&lt;&gt;"","Orta","")</x:f>
      </x:c>
      <x:c r="Q195" s="82" t="str">
        <x:f>IF($B195&lt;&gt;"",10,"")</x:f>
      </x:c>
      <x:c r="R195" s="83" t="str">
        <x:f>IF($B195&lt;&gt;"",Ayarlar!$B$10,"")</x:f>
      </x:c>
      <x:c r="S195" s="83" t="str">
        <x:f>IF($B195&lt;&gt;"",0,"")</x:f>
      </x:c>
      <x:c r="T195" s="83" t="n">
        <x:f>IFERROR(($K195+$O195)*XLOOKUP($G195,Ayarlar!$A$19:$A$28,Ayarlar!$C$19:$C$28,0)*(1+Ayarlar!$B$11),0)</x:f>
        <x:v>0</x:v>
      </x:c>
      <x:c r="U195" s="83" t="n">
        <x:f>IFERROR($N195/60*Ayarlar!$B$8,0)</x:f>
        <x:v>0</x:v>
      </x:c>
      <x:c r="V195" s="83" t="n">
        <x:f>IF($B195&lt;&gt;"",Ayarlar!$B$12+($Q195/60*Ayarlar!$B$9),0)</x:f>
        <x:v>0</x:v>
      </x:c>
      <x:c r="W195" s="83" t="n">
        <x:f>IF($B195&lt;&gt;"",SUM($T195:$V195,$R195:$S195),0)</x:f>
        <x:v>0</x:v>
      </x:c>
      <x:c r="X195" s="83" t="n">
        <x:f>IF($B195&lt;&gt;"",$W195*Ayarlar!$B$15,0)</x:f>
        <x:v>0</x:v>
      </x:c>
      <x:c r="Y195" s="83" t="n">
        <x:f>IF($B195&lt;&gt;"",($W195+$X195)*Ayarlar!$B$13,0)</x:f>
        <x:v>0</x:v>
      </x:c>
      <x:c r="Z195" s="83" t="n">
        <x:f>IF($B195&lt;&gt;"",($W195+$X195+$Y195)*Ayarlar!$B$14,0)</x:f>
        <x:v>0</x:v>
      </x:c>
      <x:c r="AA195" s="83" t="str">
        <x:f>IF($B195="","",IF(OR($K195="",$N195=""),"",CEILING($W195+$X195+$Y195+$Z195,Ayarlar!$B$16)))</x:f>
      </x:c>
      <x:c r="AB195" s="83" t="str">
        <x:f>IFERROR($AA195/$H195,"")</x:f>
      </x:c>
      <x:c r="AC195" s="75" t="str">
        <x:f>IF($B195="","",IF(OR($K195="",$N195=""),"Veri Eksik","Fiyat Hazır"))</x:f>
      </x:c>
      <x:c r="AD195" s="75" t="str">
        <x:f>IF($C195&lt;&gt;"","MW-"&amp;$C195,"")</x:f>
        <x:v>MW-80</x:v>
      </x:c>
      <x:c r="AE195" s="75" t="str">
        <x:f>IF($G195&lt;&gt;"","3D Baskı / "&amp;$G195,"3D Baskı")</x:f>
        <x:v>3D Baskı</x:v>
      </x:c>
      <x:c r="AF195" s="75" t="str">
        <x:f>IF($D195&lt;&gt;"",$D195&amp;" - "&amp;$G195,$AD195&amp;" - "&amp;$G195)</x:f>
        <x:v>MW-80 - </x:v>
      </x:c>
      <x:c r="AG195" s="75" t="str"/>
    </x:row>
    <x:row r="196">
      <x:c r="A196" s="75" t="str">
        <x:f>IF($B196&lt;&gt;"",ROW()-4,"")</x:f>
      </x:c>
      <x:c r="B196" s="75" t="str"/>
      <x:c r="C196" s="75" t="n">
        <x:f>IFERROR(LET(x,MID($B196,FIND("/models/",$B196)+8,80),y,LEFT(x,FIND("-",x&amp;"-")-1),LEFT(y,FIND("?",y&amp;"?")-1)),"")</x:f>
        <x:v>80</x:v>
      </x:c>
      <x:c r="D196" s="75" t="str">
        <x:f>IF($B196="","",IFERROR(XLOOKUP($C196,MakerWorld_Verileri!$A:$A,MakerWorld_Verileri!$B:$B,""),""))</x:f>
      </x:c>
      <x:c r="E196" s="75" t="str">
        <x:f>IF($B196="","",IFERROR(XLOOKUP($C196,MakerWorld_Verileri!$A:$A,MakerWorld_Verileri!$C:$C,""),""))</x:f>
      </x:c>
      <x:c r="F196" s="75" t="str"/>
      <x:c r="G196" s="75" t="str">
        <x:f>IF($B196&lt;&gt;"",Ayarlar!$B$7,"")</x:f>
      </x:c>
      <x:c r="H196" s="82" t="str">
        <x:f>IF($B196&lt;&gt;"",1,"")</x:f>
      </x:c>
      <x:c r="I196" s="82" t="str">
        <x:f>IF($B196="","",IFERROR(XLOOKUP($C196,MakerWorld_Verileri!$A:$A,MakerWorld_Verileri!$D:$D,""),""))</x:f>
      </x:c>
      <x:c r="J196" s="82" t="str"/>
      <x:c r="K196" s="82" t="str">
        <x:f>IF($I196&lt;&gt;"",$I196,$J196)</x:f>
      </x:c>
      <x:c r="L196" s="82" t="str">
        <x:f>IF($B196="","",IFERROR(XLOOKUP($C196,MakerWorld_Verileri!$A:$A,MakerWorld_Verileri!$E:$E,""),""))</x:f>
      </x:c>
      <x:c r="M196" s="82" t="str"/>
      <x:c r="N196" s="82" t="str">
        <x:f>IF($L196&lt;&gt;"",$L196,$M196)</x:f>
      </x:c>
      <x:c r="O196" s="82" t="str">
        <x:f>IF($B196&lt;&gt;"",0,"")</x:f>
      </x:c>
      <x:c r="P196" s="75" t="str">
        <x:f>IF($B196&lt;&gt;"","Orta","")</x:f>
      </x:c>
      <x:c r="Q196" s="82" t="str">
        <x:f>IF($B196&lt;&gt;"",10,"")</x:f>
      </x:c>
      <x:c r="R196" s="83" t="str">
        <x:f>IF($B196&lt;&gt;"",Ayarlar!$B$10,"")</x:f>
      </x:c>
      <x:c r="S196" s="83" t="str">
        <x:f>IF($B196&lt;&gt;"",0,"")</x:f>
      </x:c>
      <x:c r="T196" s="83" t="n">
        <x:f>IFERROR(($K196+$O196)*XLOOKUP($G196,Ayarlar!$A$19:$A$28,Ayarlar!$C$19:$C$28,0)*(1+Ayarlar!$B$11),0)</x:f>
        <x:v>0</x:v>
      </x:c>
      <x:c r="U196" s="83" t="n">
        <x:f>IFERROR($N196/60*Ayarlar!$B$8,0)</x:f>
        <x:v>0</x:v>
      </x:c>
      <x:c r="V196" s="83" t="n">
        <x:f>IF($B196&lt;&gt;"",Ayarlar!$B$12+($Q196/60*Ayarlar!$B$9),0)</x:f>
        <x:v>0</x:v>
      </x:c>
      <x:c r="W196" s="83" t="n">
        <x:f>IF($B196&lt;&gt;"",SUM($T196:$V196,$R196:$S196),0)</x:f>
        <x:v>0</x:v>
      </x:c>
      <x:c r="X196" s="83" t="n">
        <x:f>IF($B196&lt;&gt;"",$W196*Ayarlar!$B$15,0)</x:f>
        <x:v>0</x:v>
      </x:c>
      <x:c r="Y196" s="83" t="n">
        <x:f>IF($B196&lt;&gt;"",($W196+$X196)*Ayarlar!$B$13,0)</x:f>
        <x:v>0</x:v>
      </x:c>
      <x:c r="Z196" s="83" t="n">
        <x:f>IF($B196&lt;&gt;"",($W196+$X196+$Y196)*Ayarlar!$B$14,0)</x:f>
        <x:v>0</x:v>
      </x:c>
      <x:c r="AA196" s="83" t="str">
        <x:f>IF($B196="","",IF(OR($K196="",$N196=""),"",CEILING($W196+$X196+$Y196+$Z196,Ayarlar!$B$16)))</x:f>
      </x:c>
      <x:c r="AB196" s="83" t="str">
        <x:f>IFERROR($AA196/$H196,"")</x:f>
      </x:c>
      <x:c r="AC196" s="75" t="str">
        <x:f>IF($B196="","",IF(OR($K196="",$N196=""),"Veri Eksik","Fiyat Hazır"))</x:f>
      </x:c>
      <x:c r="AD196" s="75" t="str">
        <x:f>IF($C196&lt;&gt;"","MW-"&amp;$C196,"")</x:f>
        <x:v>MW-80</x:v>
      </x:c>
      <x:c r="AE196" s="75" t="str">
        <x:f>IF($G196&lt;&gt;"","3D Baskı / "&amp;$G196,"3D Baskı")</x:f>
        <x:v>3D Baskı</x:v>
      </x:c>
      <x:c r="AF196" s="75" t="str">
        <x:f>IF($D196&lt;&gt;"",$D196&amp;" - "&amp;$G196,$AD196&amp;" - "&amp;$G196)</x:f>
        <x:v>MW-80 - </x:v>
      </x:c>
      <x:c r="AG196" s="75" t="str"/>
    </x:row>
    <x:row r="197">
      <x:c r="A197" s="75" t="str">
        <x:f>IF($B197&lt;&gt;"",ROW()-4,"")</x:f>
      </x:c>
      <x:c r="B197" s="75" t="str"/>
      <x:c r="C197" s="75" t="n">
        <x:f>IFERROR(LET(x,MID($B197,FIND("/models/",$B197)+8,80),y,LEFT(x,FIND("-",x&amp;"-")-1),LEFT(y,FIND("?",y&amp;"?")-1)),"")</x:f>
        <x:v>80</x:v>
      </x:c>
      <x:c r="D197" s="75" t="str">
        <x:f>IF($B197="","",IFERROR(XLOOKUP($C197,MakerWorld_Verileri!$A:$A,MakerWorld_Verileri!$B:$B,""),""))</x:f>
      </x:c>
      <x:c r="E197" s="75" t="str">
        <x:f>IF($B197="","",IFERROR(XLOOKUP($C197,MakerWorld_Verileri!$A:$A,MakerWorld_Verileri!$C:$C,""),""))</x:f>
      </x:c>
      <x:c r="F197" s="75" t="str"/>
      <x:c r="G197" s="75" t="str">
        <x:f>IF($B197&lt;&gt;"",Ayarlar!$B$7,"")</x:f>
      </x:c>
      <x:c r="H197" s="82" t="str">
        <x:f>IF($B197&lt;&gt;"",1,"")</x:f>
      </x:c>
      <x:c r="I197" s="82" t="str">
        <x:f>IF($B197="","",IFERROR(XLOOKUP($C197,MakerWorld_Verileri!$A:$A,MakerWorld_Verileri!$D:$D,""),""))</x:f>
      </x:c>
      <x:c r="J197" s="82" t="str"/>
      <x:c r="K197" s="82" t="str">
        <x:f>IF($I197&lt;&gt;"",$I197,$J197)</x:f>
      </x:c>
      <x:c r="L197" s="82" t="str">
        <x:f>IF($B197="","",IFERROR(XLOOKUP($C197,MakerWorld_Verileri!$A:$A,MakerWorld_Verileri!$E:$E,""),""))</x:f>
      </x:c>
      <x:c r="M197" s="82" t="str"/>
      <x:c r="N197" s="82" t="str">
        <x:f>IF($L197&lt;&gt;"",$L197,$M197)</x:f>
      </x:c>
      <x:c r="O197" s="82" t="str">
        <x:f>IF($B197&lt;&gt;"",0,"")</x:f>
      </x:c>
      <x:c r="P197" s="75" t="str">
        <x:f>IF($B197&lt;&gt;"","Orta","")</x:f>
      </x:c>
      <x:c r="Q197" s="82" t="str">
        <x:f>IF($B197&lt;&gt;"",10,"")</x:f>
      </x:c>
      <x:c r="R197" s="83" t="str">
        <x:f>IF($B197&lt;&gt;"",Ayarlar!$B$10,"")</x:f>
      </x:c>
      <x:c r="S197" s="83" t="str">
        <x:f>IF($B197&lt;&gt;"",0,"")</x:f>
      </x:c>
      <x:c r="T197" s="83" t="n">
        <x:f>IFERROR(($K197+$O197)*XLOOKUP($G197,Ayarlar!$A$19:$A$28,Ayarlar!$C$19:$C$28,0)*(1+Ayarlar!$B$11),0)</x:f>
        <x:v>0</x:v>
      </x:c>
      <x:c r="U197" s="83" t="n">
        <x:f>IFERROR($N197/60*Ayarlar!$B$8,0)</x:f>
        <x:v>0</x:v>
      </x:c>
      <x:c r="V197" s="83" t="n">
        <x:f>IF($B197&lt;&gt;"",Ayarlar!$B$12+($Q197/60*Ayarlar!$B$9),0)</x:f>
        <x:v>0</x:v>
      </x:c>
      <x:c r="W197" s="83" t="n">
        <x:f>IF($B197&lt;&gt;"",SUM($T197:$V197,$R197:$S197),0)</x:f>
        <x:v>0</x:v>
      </x:c>
      <x:c r="X197" s="83" t="n">
        <x:f>IF($B197&lt;&gt;"",$W197*Ayarlar!$B$15,0)</x:f>
        <x:v>0</x:v>
      </x:c>
      <x:c r="Y197" s="83" t="n">
        <x:f>IF($B197&lt;&gt;"",($W197+$X197)*Ayarlar!$B$13,0)</x:f>
        <x:v>0</x:v>
      </x:c>
      <x:c r="Z197" s="83" t="n">
        <x:f>IF($B197&lt;&gt;"",($W197+$X197+$Y197)*Ayarlar!$B$14,0)</x:f>
        <x:v>0</x:v>
      </x:c>
      <x:c r="AA197" s="83" t="str">
        <x:f>IF($B197="","",IF(OR($K197="",$N197=""),"",CEILING($W197+$X197+$Y197+$Z197,Ayarlar!$B$16)))</x:f>
      </x:c>
      <x:c r="AB197" s="83" t="str">
        <x:f>IFERROR($AA197/$H197,"")</x:f>
      </x:c>
      <x:c r="AC197" s="75" t="str">
        <x:f>IF($B197="","",IF(OR($K197="",$N197=""),"Veri Eksik","Fiyat Hazır"))</x:f>
      </x:c>
      <x:c r="AD197" s="75" t="str">
        <x:f>IF($C197&lt;&gt;"","MW-"&amp;$C197,"")</x:f>
        <x:v>MW-80</x:v>
      </x:c>
      <x:c r="AE197" s="75" t="str">
        <x:f>IF($G197&lt;&gt;"","3D Baskı / "&amp;$G197,"3D Baskı")</x:f>
        <x:v>3D Baskı</x:v>
      </x:c>
      <x:c r="AF197" s="75" t="str">
        <x:f>IF($D197&lt;&gt;"",$D197&amp;" - "&amp;$G197,$AD197&amp;" - "&amp;$G197)</x:f>
        <x:v>MW-80 - </x:v>
      </x:c>
      <x:c r="AG197" s="75" t="str"/>
    </x:row>
    <x:row r="198">
      <x:c r="A198" s="75" t="str">
        <x:f>IF($B198&lt;&gt;"",ROW()-4,"")</x:f>
      </x:c>
      <x:c r="B198" s="75" t="str"/>
      <x:c r="C198" s="75" t="n">
        <x:f>IFERROR(LET(x,MID($B198,FIND("/models/",$B198)+8,80),y,LEFT(x,FIND("-",x&amp;"-")-1),LEFT(y,FIND("?",y&amp;"?")-1)),"")</x:f>
        <x:v>80</x:v>
      </x:c>
      <x:c r="D198" s="75" t="str">
        <x:f>IF($B198="","",IFERROR(XLOOKUP($C198,MakerWorld_Verileri!$A:$A,MakerWorld_Verileri!$B:$B,""),""))</x:f>
      </x:c>
      <x:c r="E198" s="75" t="str">
        <x:f>IF($B198="","",IFERROR(XLOOKUP($C198,MakerWorld_Verileri!$A:$A,MakerWorld_Verileri!$C:$C,""),""))</x:f>
      </x:c>
      <x:c r="F198" s="75" t="str"/>
      <x:c r="G198" s="75" t="str">
        <x:f>IF($B198&lt;&gt;"",Ayarlar!$B$7,"")</x:f>
      </x:c>
      <x:c r="H198" s="82" t="str">
        <x:f>IF($B198&lt;&gt;"",1,"")</x:f>
      </x:c>
      <x:c r="I198" s="82" t="str">
        <x:f>IF($B198="","",IFERROR(XLOOKUP($C198,MakerWorld_Verileri!$A:$A,MakerWorld_Verileri!$D:$D,""),""))</x:f>
      </x:c>
      <x:c r="J198" s="82" t="str"/>
      <x:c r="K198" s="82" t="str">
        <x:f>IF($I198&lt;&gt;"",$I198,$J198)</x:f>
      </x:c>
      <x:c r="L198" s="82" t="str">
        <x:f>IF($B198="","",IFERROR(XLOOKUP($C198,MakerWorld_Verileri!$A:$A,MakerWorld_Verileri!$E:$E,""),""))</x:f>
      </x:c>
      <x:c r="M198" s="82" t="str"/>
      <x:c r="N198" s="82" t="str">
        <x:f>IF($L198&lt;&gt;"",$L198,$M198)</x:f>
      </x:c>
      <x:c r="O198" s="82" t="str">
        <x:f>IF($B198&lt;&gt;"",0,"")</x:f>
      </x:c>
      <x:c r="P198" s="75" t="str">
        <x:f>IF($B198&lt;&gt;"","Orta","")</x:f>
      </x:c>
      <x:c r="Q198" s="82" t="str">
        <x:f>IF($B198&lt;&gt;"",10,"")</x:f>
      </x:c>
      <x:c r="R198" s="83" t="str">
        <x:f>IF($B198&lt;&gt;"",Ayarlar!$B$10,"")</x:f>
      </x:c>
      <x:c r="S198" s="83" t="str">
        <x:f>IF($B198&lt;&gt;"",0,"")</x:f>
      </x:c>
      <x:c r="T198" s="83" t="n">
        <x:f>IFERROR(($K198+$O198)*XLOOKUP($G198,Ayarlar!$A$19:$A$28,Ayarlar!$C$19:$C$28,0)*(1+Ayarlar!$B$11),0)</x:f>
        <x:v>0</x:v>
      </x:c>
      <x:c r="U198" s="83" t="n">
        <x:f>IFERROR($N198/60*Ayarlar!$B$8,0)</x:f>
        <x:v>0</x:v>
      </x:c>
      <x:c r="V198" s="83" t="n">
        <x:f>IF($B198&lt;&gt;"",Ayarlar!$B$12+($Q198/60*Ayarlar!$B$9),0)</x:f>
        <x:v>0</x:v>
      </x:c>
      <x:c r="W198" s="83" t="n">
        <x:f>IF($B198&lt;&gt;"",SUM($T198:$V198,$R198:$S198),0)</x:f>
        <x:v>0</x:v>
      </x:c>
      <x:c r="X198" s="83" t="n">
        <x:f>IF($B198&lt;&gt;"",$W198*Ayarlar!$B$15,0)</x:f>
        <x:v>0</x:v>
      </x:c>
      <x:c r="Y198" s="83" t="n">
        <x:f>IF($B198&lt;&gt;"",($W198+$X198)*Ayarlar!$B$13,0)</x:f>
        <x:v>0</x:v>
      </x:c>
      <x:c r="Z198" s="83" t="n">
        <x:f>IF($B198&lt;&gt;"",($W198+$X198+$Y198)*Ayarlar!$B$14,0)</x:f>
        <x:v>0</x:v>
      </x:c>
      <x:c r="AA198" s="83" t="str">
        <x:f>IF($B198="","",IF(OR($K198="",$N198=""),"",CEILING($W198+$X198+$Y198+$Z198,Ayarlar!$B$16)))</x:f>
      </x:c>
      <x:c r="AB198" s="83" t="str">
        <x:f>IFERROR($AA198/$H198,"")</x:f>
      </x:c>
      <x:c r="AC198" s="75" t="str">
        <x:f>IF($B198="","",IF(OR($K198="",$N198=""),"Veri Eksik","Fiyat Hazır"))</x:f>
      </x:c>
      <x:c r="AD198" s="75" t="str">
        <x:f>IF($C198&lt;&gt;"","MW-"&amp;$C198,"")</x:f>
        <x:v>MW-80</x:v>
      </x:c>
      <x:c r="AE198" s="75" t="str">
        <x:f>IF($G198&lt;&gt;"","3D Baskı / "&amp;$G198,"3D Baskı")</x:f>
        <x:v>3D Baskı</x:v>
      </x:c>
      <x:c r="AF198" s="75" t="str">
        <x:f>IF($D198&lt;&gt;"",$D198&amp;" - "&amp;$G198,$AD198&amp;" - "&amp;$G198)</x:f>
        <x:v>MW-80 - </x:v>
      </x:c>
      <x:c r="AG198" s="75" t="str"/>
    </x:row>
    <x:row r="199">
      <x:c r="A199" s="75" t="str">
        <x:f>IF($B199&lt;&gt;"",ROW()-4,"")</x:f>
      </x:c>
      <x:c r="B199" s="75" t="str"/>
      <x:c r="C199" s="75" t="n">
        <x:f>IFERROR(LET(x,MID($B199,FIND("/models/",$B199)+8,80),y,LEFT(x,FIND("-",x&amp;"-")-1),LEFT(y,FIND("?",y&amp;"?")-1)),"")</x:f>
        <x:v>80</x:v>
      </x:c>
      <x:c r="D199" s="75" t="str">
        <x:f>IF($B199="","",IFERROR(XLOOKUP($C199,MakerWorld_Verileri!$A:$A,MakerWorld_Verileri!$B:$B,""),""))</x:f>
      </x:c>
      <x:c r="E199" s="75" t="str">
        <x:f>IF($B199="","",IFERROR(XLOOKUP($C199,MakerWorld_Verileri!$A:$A,MakerWorld_Verileri!$C:$C,""),""))</x:f>
      </x:c>
      <x:c r="F199" s="75" t="str"/>
      <x:c r="G199" s="75" t="str">
        <x:f>IF($B199&lt;&gt;"",Ayarlar!$B$7,"")</x:f>
      </x:c>
      <x:c r="H199" s="82" t="str">
        <x:f>IF($B199&lt;&gt;"",1,"")</x:f>
      </x:c>
      <x:c r="I199" s="82" t="str">
        <x:f>IF($B199="","",IFERROR(XLOOKUP($C199,MakerWorld_Verileri!$A:$A,MakerWorld_Verileri!$D:$D,""),""))</x:f>
      </x:c>
      <x:c r="J199" s="82" t="str"/>
      <x:c r="K199" s="82" t="str">
        <x:f>IF($I199&lt;&gt;"",$I199,$J199)</x:f>
      </x:c>
      <x:c r="L199" s="82" t="str">
        <x:f>IF($B199="","",IFERROR(XLOOKUP($C199,MakerWorld_Verileri!$A:$A,MakerWorld_Verileri!$E:$E,""),""))</x:f>
      </x:c>
      <x:c r="M199" s="82" t="str"/>
      <x:c r="N199" s="82" t="str">
        <x:f>IF($L199&lt;&gt;"",$L199,$M199)</x:f>
      </x:c>
      <x:c r="O199" s="82" t="str">
        <x:f>IF($B199&lt;&gt;"",0,"")</x:f>
      </x:c>
      <x:c r="P199" s="75" t="str">
        <x:f>IF($B199&lt;&gt;"","Orta","")</x:f>
      </x:c>
      <x:c r="Q199" s="82" t="str">
        <x:f>IF($B199&lt;&gt;"",10,"")</x:f>
      </x:c>
      <x:c r="R199" s="83" t="str">
        <x:f>IF($B199&lt;&gt;"",Ayarlar!$B$10,"")</x:f>
      </x:c>
      <x:c r="S199" s="83" t="str">
        <x:f>IF($B199&lt;&gt;"",0,"")</x:f>
      </x:c>
      <x:c r="T199" s="83" t="n">
        <x:f>IFERROR(($K199+$O199)*XLOOKUP($G199,Ayarlar!$A$19:$A$28,Ayarlar!$C$19:$C$28,0)*(1+Ayarlar!$B$11),0)</x:f>
        <x:v>0</x:v>
      </x:c>
      <x:c r="U199" s="83" t="n">
        <x:f>IFERROR($N199/60*Ayarlar!$B$8,0)</x:f>
        <x:v>0</x:v>
      </x:c>
      <x:c r="V199" s="83" t="n">
        <x:f>IF($B199&lt;&gt;"",Ayarlar!$B$12+($Q199/60*Ayarlar!$B$9),0)</x:f>
        <x:v>0</x:v>
      </x:c>
      <x:c r="W199" s="83" t="n">
        <x:f>IF($B199&lt;&gt;"",SUM($T199:$V199,$R199:$S199),0)</x:f>
        <x:v>0</x:v>
      </x:c>
      <x:c r="X199" s="83" t="n">
        <x:f>IF($B199&lt;&gt;"",$W199*Ayarlar!$B$15,0)</x:f>
        <x:v>0</x:v>
      </x:c>
      <x:c r="Y199" s="83" t="n">
        <x:f>IF($B199&lt;&gt;"",($W199+$X199)*Ayarlar!$B$13,0)</x:f>
        <x:v>0</x:v>
      </x:c>
      <x:c r="Z199" s="83" t="n">
        <x:f>IF($B199&lt;&gt;"",($W199+$X199+$Y199)*Ayarlar!$B$14,0)</x:f>
        <x:v>0</x:v>
      </x:c>
      <x:c r="AA199" s="83" t="str">
        <x:f>IF($B199="","",IF(OR($K199="",$N199=""),"",CEILING($W199+$X199+$Y199+$Z199,Ayarlar!$B$16)))</x:f>
      </x:c>
      <x:c r="AB199" s="83" t="str">
        <x:f>IFERROR($AA199/$H199,"")</x:f>
      </x:c>
      <x:c r="AC199" s="75" t="str">
        <x:f>IF($B199="","",IF(OR($K199="",$N199=""),"Veri Eksik","Fiyat Hazır"))</x:f>
      </x:c>
      <x:c r="AD199" s="75" t="str">
        <x:f>IF($C199&lt;&gt;"","MW-"&amp;$C199,"")</x:f>
        <x:v>MW-80</x:v>
      </x:c>
      <x:c r="AE199" s="75" t="str">
        <x:f>IF($G199&lt;&gt;"","3D Baskı / "&amp;$G199,"3D Baskı")</x:f>
        <x:v>3D Baskı</x:v>
      </x:c>
      <x:c r="AF199" s="75" t="str">
        <x:f>IF($D199&lt;&gt;"",$D199&amp;" - "&amp;$G199,$AD199&amp;" - "&amp;$G199)</x:f>
        <x:v>MW-80 - </x:v>
      </x:c>
      <x:c r="AG199" s="75" t="str"/>
    </x:row>
    <x:row r="200">
      <x:c r="A200" s="75" t="str">
        <x:f>IF($B200&lt;&gt;"",ROW()-4,"")</x:f>
      </x:c>
      <x:c r="B200" s="75" t="str"/>
      <x:c r="C200" s="75" t="n">
        <x:f>IFERROR(LET(x,MID($B200,FIND("/models/",$B200)+8,80),y,LEFT(x,FIND("-",x&amp;"-")-1),LEFT(y,FIND("?",y&amp;"?")-1)),"")</x:f>
        <x:v>80</x:v>
      </x:c>
      <x:c r="D200" s="75" t="str">
        <x:f>IF($B200="","",IFERROR(XLOOKUP($C200,MakerWorld_Verileri!$A:$A,MakerWorld_Verileri!$B:$B,""),""))</x:f>
      </x:c>
      <x:c r="E200" s="75" t="str">
        <x:f>IF($B200="","",IFERROR(XLOOKUP($C200,MakerWorld_Verileri!$A:$A,MakerWorld_Verileri!$C:$C,""),""))</x:f>
      </x:c>
      <x:c r="F200" s="75" t="str"/>
      <x:c r="G200" s="75" t="str">
        <x:f>IF($B200&lt;&gt;"",Ayarlar!$B$7,"")</x:f>
      </x:c>
      <x:c r="H200" s="82" t="str">
        <x:f>IF($B200&lt;&gt;"",1,"")</x:f>
      </x:c>
      <x:c r="I200" s="82" t="str">
        <x:f>IF($B200="","",IFERROR(XLOOKUP($C200,MakerWorld_Verileri!$A:$A,MakerWorld_Verileri!$D:$D,""),""))</x:f>
      </x:c>
      <x:c r="J200" s="82" t="str"/>
      <x:c r="K200" s="82" t="str">
        <x:f>IF($I200&lt;&gt;"",$I200,$J200)</x:f>
      </x:c>
      <x:c r="L200" s="82" t="str">
        <x:f>IF($B200="","",IFERROR(XLOOKUP($C200,MakerWorld_Verileri!$A:$A,MakerWorld_Verileri!$E:$E,""),""))</x:f>
      </x:c>
      <x:c r="M200" s="82" t="str"/>
      <x:c r="N200" s="82" t="str">
        <x:f>IF($L200&lt;&gt;"",$L200,$M200)</x:f>
      </x:c>
      <x:c r="O200" s="82" t="str">
        <x:f>IF($B200&lt;&gt;"",0,"")</x:f>
      </x:c>
      <x:c r="P200" s="75" t="str">
        <x:f>IF($B200&lt;&gt;"","Orta","")</x:f>
      </x:c>
      <x:c r="Q200" s="82" t="str">
        <x:f>IF($B200&lt;&gt;"",10,"")</x:f>
      </x:c>
      <x:c r="R200" s="83" t="str">
        <x:f>IF($B200&lt;&gt;"",Ayarlar!$B$10,"")</x:f>
      </x:c>
      <x:c r="S200" s="83" t="str">
        <x:f>IF($B200&lt;&gt;"",0,"")</x:f>
      </x:c>
      <x:c r="T200" s="83" t="n">
        <x:f>IFERROR(($K200+$O200)*XLOOKUP($G200,Ayarlar!$A$19:$A$28,Ayarlar!$C$19:$C$28,0)*(1+Ayarlar!$B$11),0)</x:f>
        <x:v>0</x:v>
      </x:c>
      <x:c r="U200" s="83" t="n">
        <x:f>IFERROR($N200/60*Ayarlar!$B$8,0)</x:f>
        <x:v>0</x:v>
      </x:c>
      <x:c r="V200" s="83" t="n">
        <x:f>IF($B200&lt;&gt;"",Ayarlar!$B$12+($Q200/60*Ayarlar!$B$9),0)</x:f>
        <x:v>0</x:v>
      </x:c>
      <x:c r="W200" s="83" t="n">
        <x:f>IF($B200&lt;&gt;"",SUM($T200:$V200,$R200:$S200),0)</x:f>
        <x:v>0</x:v>
      </x:c>
      <x:c r="X200" s="83" t="n">
        <x:f>IF($B200&lt;&gt;"",$W200*Ayarlar!$B$15,0)</x:f>
        <x:v>0</x:v>
      </x:c>
      <x:c r="Y200" s="83" t="n">
        <x:f>IF($B200&lt;&gt;"",($W200+$X200)*Ayarlar!$B$13,0)</x:f>
        <x:v>0</x:v>
      </x:c>
      <x:c r="Z200" s="83" t="n">
        <x:f>IF($B200&lt;&gt;"",($W200+$X200+$Y200)*Ayarlar!$B$14,0)</x:f>
        <x:v>0</x:v>
      </x:c>
      <x:c r="AA200" s="83" t="str">
        <x:f>IF($B200="","",IF(OR($K200="",$N200=""),"",CEILING($W200+$X200+$Y200+$Z200,Ayarlar!$B$16)))</x:f>
      </x:c>
      <x:c r="AB200" s="83" t="str">
        <x:f>IFERROR($AA200/$H200,"")</x:f>
      </x:c>
      <x:c r="AC200" s="75" t="str">
        <x:f>IF($B200="","",IF(OR($K200="",$N200=""),"Veri Eksik","Fiyat Hazır"))</x:f>
      </x:c>
      <x:c r="AD200" s="75" t="str">
        <x:f>IF($C200&lt;&gt;"","MW-"&amp;$C200,"")</x:f>
        <x:v>MW-80</x:v>
      </x:c>
      <x:c r="AE200" s="75" t="str">
        <x:f>IF($G200&lt;&gt;"","3D Baskı / "&amp;$G200,"3D Baskı")</x:f>
        <x:v>3D Baskı</x:v>
      </x:c>
      <x:c r="AF200" s="75" t="str">
        <x:f>IF($D200&lt;&gt;"",$D200&amp;" - "&amp;$G200,$AD200&amp;" - "&amp;$G200)</x:f>
        <x:v>MW-80 - </x:v>
      </x:c>
      <x:c r="AG200" s="75" t="str"/>
    </x:row>
    <x:row r="201">
      <x:c r="A201" s="75" t="str">
        <x:f>IF($B201&lt;&gt;"",ROW()-4,"")</x:f>
      </x:c>
      <x:c r="B201" s="75" t="str"/>
      <x:c r="C201" s="75" t="n">
        <x:f>IFERROR(LET(x,MID($B201,FIND("/models/",$B201)+8,80),y,LEFT(x,FIND("-",x&amp;"-")-1),LEFT(y,FIND("?",y&amp;"?")-1)),"")</x:f>
        <x:v>80</x:v>
      </x:c>
      <x:c r="D201" s="75" t="str">
        <x:f>IF($B201="","",IFERROR(XLOOKUP($C201,MakerWorld_Verileri!$A:$A,MakerWorld_Verileri!$B:$B,""),""))</x:f>
      </x:c>
      <x:c r="E201" s="75" t="str">
        <x:f>IF($B201="","",IFERROR(XLOOKUP($C201,MakerWorld_Verileri!$A:$A,MakerWorld_Verileri!$C:$C,""),""))</x:f>
      </x:c>
      <x:c r="F201" s="75" t="str"/>
      <x:c r="G201" s="75" t="str">
        <x:f>IF($B201&lt;&gt;"",Ayarlar!$B$7,"")</x:f>
      </x:c>
      <x:c r="H201" s="82" t="str">
        <x:f>IF($B201&lt;&gt;"",1,"")</x:f>
      </x:c>
      <x:c r="I201" s="82" t="str">
        <x:f>IF($B201="","",IFERROR(XLOOKUP($C201,MakerWorld_Verileri!$A:$A,MakerWorld_Verileri!$D:$D,""),""))</x:f>
      </x:c>
      <x:c r="J201" s="82" t="str"/>
      <x:c r="K201" s="82" t="str">
        <x:f>IF($I201&lt;&gt;"",$I201,$J201)</x:f>
      </x:c>
      <x:c r="L201" s="82" t="str">
        <x:f>IF($B201="","",IFERROR(XLOOKUP($C201,MakerWorld_Verileri!$A:$A,MakerWorld_Verileri!$E:$E,""),""))</x:f>
      </x:c>
      <x:c r="M201" s="82" t="str"/>
      <x:c r="N201" s="82" t="str">
        <x:f>IF($L201&lt;&gt;"",$L201,$M201)</x:f>
      </x:c>
      <x:c r="O201" s="82" t="str">
        <x:f>IF($B201&lt;&gt;"",0,"")</x:f>
      </x:c>
      <x:c r="P201" s="75" t="str">
        <x:f>IF($B201&lt;&gt;"","Orta","")</x:f>
      </x:c>
      <x:c r="Q201" s="82" t="str">
        <x:f>IF($B201&lt;&gt;"",10,"")</x:f>
      </x:c>
      <x:c r="R201" s="83" t="str">
        <x:f>IF($B201&lt;&gt;"",Ayarlar!$B$10,"")</x:f>
      </x:c>
      <x:c r="S201" s="83" t="str">
        <x:f>IF($B201&lt;&gt;"",0,"")</x:f>
      </x:c>
      <x:c r="T201" s="83" t="n">
        <x:f>IFERROR(($K201+$O201)*XLOOKUP($G201,Ayarlar!$A$19:$A$28,Ayarlar!$C$19:$C$28,0)*(1+Ayarlar!$B$11),0)</x:f>
        <x:v>0</x:v>
      </x:c>
      <x:c r="U201" s="83" t="n">
        <x:f>IFERROR($N201/60*Ayarlar!$B$8,0)</x:f>
        <x:v>0</x:v>
      </x:c>
      <x:c r="V201" s="83" t="n">
        <x:f>IF($B201&lt;&gt;"",Ayarlar!$B$12+($Q201/60*Ayarlar!$B$9),0)</x:f>
        <x:v>0</x:v>
      </x:c>
      <x:c r="W201" s="83" t="n">
        <x:f>IF($B201&lt;&gt;"",SUM($T201:$V201,$R201:$S201),0)</x:f>
        <x:v>0</x:v>
      </x:c>
      <x:c r="X201" s="83" t="n">
        <x:f>IF($B201&lt;&gt;"",$W201*Ayarlar!$B$15,0)</x:f>
        <x:v>0</x:v>
      </x:c>
      <x:c r="Y201" s="83" t="n">
        <x:f>IF($B201&lt;&gt;"",($W201+$X201)*Ayarlar!$B$13,0)</x:f>
        <x:v>0</x:v>
      </x:c>
      <x:c r="Z201" s="83" t="n">
        <x:f>IF($B201&lt;&gt;"",($W201+$X201+$Y201)*Ayarlar!$B$14,0)</x:f>
        <x:v>0</x:v>
      </x:c>
      <x:c r="AA201" s="83" t="str">
        <x:f>IF($B201="","",IF(OR($K201="",$N201=""),"",CEILING($W201+$X201+$Y201+$Z201,Ayarlar!$B$16)))</x:f>
      </x:c>
      <x:c r="AB201" s="83" t="str">
        <x:f>IFERROR($AA201/$H201,"")</x:f>
      </x:c>
      <x:c r="AC201" s="75" t="str">
        <x:f>IF($B201="","",IF(OR($K201="",$N201=""),"Veri Eksik","Fiyat Hazır"))</x:f>
      </x:c>
      <x:c r="AD201" s="75" t="str">
        <x:f>IF($C201&lt;&gt;"","MW-"&amp;$C201,"")</x:f>
        <x:v>MW-80</x:v>
      </x:c>
      <x:c r="AE201" s="75" t="str">
        <x:f>IF($G201&lt;&gt;"","3D Baskı / "&amp;$G201,"3D Baskı")</x:f>
        <x:v>3D Baskı</x:v>
      </x:c>
      <x:c r="AF201" s="75" t="str">
        <x:f>IF($D201&lt;&gt;"",$D201&amp;" - "&amp;$G201,$AD201&amp;" - "&amp;$G201)</x:f>
        <x:v>MW-80 - </x:v>
      </x:c>
      <x:c r="AG201" s="75" t="str"/>
    </x:row>
    <x:row r="202">
      <x:c r="A202" s="75" t="str">
        <x:f>IF($B202&lt;&gt;"",ROW()-4,"")</x:f>
      </x:c>
      <x:c r="B202" s="75" t="str"/>
      <x:c r="C202" s="75" t="n">
        <x:f>IFERROR(LET(x,MID($B202,FIND("/models/",$B202)+8,80),y,LEFT(x,FIND("-",x&amp;"-")-1),LEFT(y,FIND("?",y&amp;"?")-1)),"")</x:f>
        <x:v>80</x:v>
      </x:c>
      <x:c r="D202" s="75" t="str">
        <x:f>IF($B202="","",IFERROR(XLOOKUP($C202,MakerWorld_Verileri!$A:$A,MakerWorld_Verileri!$B:$B,""),""))</x:f>
      </x:c>
      <x:c r="E202" s="75" t="str">
        <x:f>IF($B202="","",IFERROR(XLOOKUP($C202,MakerWorld_Verileri!$A:$A,MakerWorld_Verileri!$C:$C,""),""))</x:f>
      </x:c>
      <x:c r="F202" s="75" t="str"/>
      <x:c r="G202" s="75" t="str">
        <x:f>IF($B202&lt;&gt;"",Ayarlar!$B$7,"")</x:f>
      </x:c>
      <x:c r="H202" s="82" t="str">
        <x:f>IF($B202&lt;&gt;"",1,"")</x:f>
      </x:c>
      <x:c r="I202" s="82" t="str">
        <x:f>IF($B202="","",IFERROR(XLOOKUP($C202,MakerWorld_Verileri!$A:$A,MakerWorld_Verileri!$D:$D,""),""))</x:f>
      </x:c>
      <x:c r="J202" s="82" t="str"/>
      <x:c r="K202" s="82" t="str">
        <x:f>IF($I202&lt;&gt;"",$I202,$J202)</x:f>
      </x:c>
      <x:c r="L202" s="82" t="str">
        <x:f>IF($B202="","",IFERROR(XLOOKUP($C202,MakerWorld_Verileri!$A:$A,MakerWorld_Verileri!$E:$E,""),""))</x:f>
      </x:c>
      <x:c r="M202" s="82" t="str"/>
      <x:c r="N202" s="82" t="str">
        <x:f>IF($L202&lt;&gt;"",$L202,$M202)</x:f>
      </x:c>
      <x:c r="O202" s="82" t="str">
        <x:f>IF($B202&lt;&gt;"",0,"")</x:f>
      </x:c>
      <x:c r="P202" s="75" t="str">
        <x:f>IF($B202&lt;&gt;"","Orta","")</x:f>
      </x:c>
      <x:c r="Q202" s="82" t="str">
        <x:f>IF($B202&lt;&gt;"",10,"")</x:f>
      </x:c>
      <x:c r="R202" s="83" t="str">
        <x:f>IF($B202&lt;&gt;"",Ayarlar!$B$10,"")</x:f>
      </x:c>
      <x:c r="S202" s="83" t="str">
        <x:f>IF($B202&lt;&gt;"",0,"")</x:f>
      </x:c>
      <x:c r="T202" s="83" t="n">
        <x:f>IFERROR(($K202+$O202)*XLOOKUP($G202,Ayarlar!$A$19:$A$28,Ayarlar!$C$19:$C$28,0)*(1+Ayarlar!$B$11),0)</x:f>
        <x:v>0</x:v>
      </x:c>
      <x:c r="U202" s="83" t="n">
        <x:f>IFERROR($N202/60*Ayarlar!$B$8,0)</x:f>
        <x:v>0</x:v>
      </x:c>
      <x:c r="V202" s="83" t="n">
        <x:f>IF($B202&lt;&gt;"",Ayarlar!$B$12+($Q202/60*Ayarlar!$B$9),0)</x:f>
        <x:v>0</x:v>
      </x:c>
      <x:c r="W202" s="83" t="n">
        <x:f>IF($B202&lt;&gt;"",SUM($T202:$V202,$R202:$S202),0)</x:f>
        <x:v>0</x:v>
      </x:c>
      <x:c r="X202" s="83" t="n">
        <x:f>IF($B202&lt;&gt;"",$W202*Ayarlar!$B$15,0)</x:f>
        <x:v>0</x:v>
      </x:c>
      <x:c r="Y202" s="83" t="n">
        <x:f>IF($B202&lt;&gt;"",($W202+$X202)*Ayarlar!$B$13,0)</x:f>
        <x:v>0</x:v>
      </x:c>
      <x:c r="Z202" s="83" t="n">
        <x:f>IF($B202&lt;&gt;"",($W202+$X202+$Y202)*Ayarlar!$B$14,0)</x:f>
        <x:v>0</x:v>
      </x:c>
      <x:c r="AA202" s="83" t="str">
        <x:f>IF($B202="","",IF(OR($K202="",$N202=""),"",CEILING($W202+$X202+$Y202+$Z202,Ayarlar!$B$16)))</x:f>
      </x:c>
      <x:c r="AB202" s="83" t="str">
        <x:f>IFERROR($AA202/$H202,"")</x:f>
      </x:c>
      <x:c r="AC202" s="75" t="str">
        <x:f>IF($B202="","",IF(OR($K202="",$N202=""),"Veri Eksik","Fiyat Hazır"))</x:f>
      </x:c>
      <x:c r="AD202" s="75" t="str">
        <x:f>IF($C202&lt;&gt;"","MW-"&amp;$C202,"")</x:f>
        <x:v>MW-80</x:v>
      </x:c>
      <x:c r="AE202" s="75" t="str">
        <x:f>IF($G202&lt;&gt;"","3D Baskı / "&amp;$G202,"3D Baskı")</x:f>
        <x:v>3D Baskı</x:v>
      </x:c>
      <x:c r="AF202" s="75" t="str">
        <x:f>IF($D202&lt;&gt;"",$D202&amp;" - "&amp;$G202,$AD202&amp;" - "&amp;$G202)</x:f>
        <x:v>MW-80 - </x:v>
      </x:c>
      <x:c r="AG202" s="75" t="str"/>
    </x:row>
    <x:row r="203">
      <x:c r="A203" s="75" t="str">
        <x:f>IF($B203&lt;&gt;"",ROW()-4,"")</x:f>
      </x:c>
      <x:c r="B203" s="75" t="str"/>
      <x:c r="C203" s="75" t="n">
        <x:f>IFERROR(LET(x,MID($B203,FIND("/models/",$B203)+8,80),y,LEFT(x,FIND("-",x&amp;"-")-1),LEFT(y,FIND("?",y&amp;"?")-1)),"")</x:f>
        <x:v>80</x:v>
      </x:c>
      <x:c r="D203" s="75" t="str">
        <x:f>IF($B203="","",IFERROR(XLOOKUP($C203,MakerWorld_Verileri!$A:$A,MakerWorld_Verileri!$B:$B,""),""))</x:f>
      </x:c>
      <x:c r="E203" s="75" t="str">
        <x:f>IF($B203="","",IFERROR(XLOOKUP($C203,MakerWorld_Verileri!$A:$A,MakerWorld_Verileri!$C:$C,""),""))</x:f>
      </x:c>
      <x:c r="F203" s="75" t="str"/>
      <x:c r="G203" s="75" t="str">
        <x:f>IF($B203&lt;&gt;"",Ayarlar!$B$7,"")</x:f>
      </x:c>
      <x:c r="H203" s="82" t="str">
        <x:f>IF($B203&lt;&gt;"",1,"")</x:f>
      </x:c>
      <x:c r="I203" s="82" t="str">
        <x:f>IF($B203="","",IFERROR(XLOOKUP($C203,MakerWorld_Verileri!$A:$A,MakerWorld_Verileri!$D:$D,""),""))</x:f>
      </x:c>
      <x:c r="J203" s="82" t="str"/>
      <x:c r="K203" s="82" t="str">
        <x:f>IF($I203&lt;&gt;"",$I203,$J203)</x:f>
      </x:c>
      <x:c r="L203" s="82" t="str">
        <x:f>IF($B203="","",IFERROR(XLOOKUP($C203,MakerWorld_Verileri!$A:$A,MakerWorld_Verileri!$E:$E,""),""))</x:f>
      </x:c>
      <x:c r="M203" s="82" t="str"/>
      <x:c r="N203" s="82" t="str">
        <x:f>IF($L203&lt;&gt;"",$L203,$M203)</x:f>
      </x:c>
      <x:c r="O203" s="82" t="str">
        <x:f>IF($B203&lt;&gt;"",0,"")</x:f>
      </x:c>
      <x:c r="P203" s="75" t="str">
        <x:f>IF($B203&lt;&gt;"","Orta","")</x:f>
      </x:c>
      <x:c r="Q203" s="82" t="str">
        <x:f>IF($B203&lt;&gt;"",10,"")</x:f>
      </x:c>
      <x:c r="R203" s="83" t="str">
        <x:f>IF($B203&lt;&gt;"",Ayarlar!$B$10,"")</x:f>
      </x:c>
      <x:c r="S203" s="83" t="str">
        <x:f>IF($B203&lt;&gt;"",0,"")</x:f>
      </x:c>
      <x:c r="T203" s="83" t="n">
        <x:f>IFERROR(($K203+$O203)*XLOOKUP($G203,Ayarlar!$A$19:$A$28,Ayarlar!$C$19:$C$28,0)*(1+Ayarlar!$B$11),0)</x:f>
        <x:v>0</x:v>
      </x:c>
      <x:c r="U203" s="83" t="n">
        <x:f>IFERROR($N203/60*Ayarlar!$B$8,0)</x:f>
        <x:v>0</x:v>
      </x:c>
      <x:c r="V203" s="83" t="n">
        <x:f>IF($B203&lt;&gt;"",Ayarlar!$B$12+($Q203/60*Ayarlar!$B$9),0)</x:f>
        <x:v>0</x:v>
      </x:c>
      <x:c r="W203" s="83" t="n">
        <x:f>IF($B203&lt;&gt;"",SUM($T203:$V203,$R203:$S203),0)</x:f>
        <x:v>0</x:v>
      </x:c>
      <x:c r="X203" s="83" t="n">
        <x:f>IF($B203&lt;&gt;"",$W203*Ayarlar!$B$15,0)</x:f>
        <x:v>0</x:v>
      </x:c>
      <x:c r="Y203" s="83" t="n">
        <x:f>IF($B203&lt;&gt;"",($W203+$X203)*Ayarlar!$B$13,0)</x:f>
        <x:v>0</x:v>
      </x:c>
      <x:c r="Z203" s="83" t="n">
        <x:f>IF($B203&lt;&gt;"",($W203+$X203+$Y203)*Ayarlar!$B$14,0)</x:f>
        <x:v>0</x:v>
      </x:c>
      <x:c r="AA203" s="83" t="str">
        <x:f>IF($B203="","",IF(OR($K203="",$N203=""),"",CEILING($W203+$X203+$Y203+$Z203,Ayarlar!$B$16)))</x:f>
      </x:c>
      <x:c r="AB203" s="83" t="str">
        <x:f>IFERROR($AA203/$H203,"")</x:f>
      </x:c>
      <x:c r="AC203" s="75" t="str">
        <x:f>IF($B203="","",IF(OR($K203="",$N203=""),"Veri Eksik","Fiyat Hazır"))</x:f>
      </x:c>
      <x:c r="AD203" s="75" t="str">
        <x:f>IF($C203&lt;&gt;"","MW-"&amp;$C203,"")</x:f>
        <x:v>MW-80</x:v>
      </x:c>
      <x:c r="AE203" s="75" t="str">
        <x:f>IF($G203&lt;&gt;"","3D Baskı / "&amp;$G203,"3D Baskı")</x:f>
        <x:v>3D Baskı</x:v>
      </x:c>
      <x:c r="AF203" s="75" t="str">
        <x:f>IF($D203&lt;&gt;"",$D203&amp;" - "&amp;$G203,$AD203&amp;" - "&amp;$G203)</x:f>
        <x:v>MW-80 - </x:v>
      </x:c>
      <x:c r="AG203" s="75" t="str"/>
    </x:row>
    <x:row r="204">
      <x:c r="A204" s="75" t="str">
        <x:f>IF($B204&lt;&gt;"",ROW()-4,"")</x:f>
      </x:c>
      <x:c r="B204" s="75" t="str"/>
      <x:c r="C204" s="75" t="n">
        <x:f>IFERROR(LET(x,MID($B204,FIND("/models/",$B204)+8,80),y,LEFT(x,FIND("-",x&amp;"-")-1),LEFT(y,FIND("?",y&amp;"?")-1)),"")</x:f>
        <x:v>80</x:v>
      </x:c>
      <x:c r="D204" s="75" t="str">
        <x:f>IF($B204="","",IFERROR(XLOOKUP($C204,MakerWorld_Verileri!$A:$A,MakerWorld_Verileri!$B:$B,""),""))</x:f>
      </x:c>
      <x:c r="E204" s="75" t="str">
        <x:f>IF($B204="","",IFERROR(XLOOKUP($C204,MakerWorld_Verileri!$A:$A,MakerWorld_Verileri!$C:$C,""),""))</x:f>
      </x:c>
      <x:c r="F204" s="75" t="str"/>
      <x:c r="G204" s="75" t="str">
        <x:f>IF($B204&lt;&gt;"",Ayarlar!$B$7,"")</x:f>
      </x:c>
      <x:c r="H204" s="82" t="str">
        <x:f>IF($B204&lt;&gt;"",1,"")</x:f>
      </x:c>
      <x:c r="I204" s="82" t="str">
        <x:f>IF($B204="","",IFERROR(XLOOKUP($C204,MakerWorld_Verileri!$A:$A,MakerWorld_Verileri!$D:$D,""),""))</x:f>
      </x:c>
      <x:c r="J204" s="82" t="str"/>
      <x:c r="K204" s="82" t="str">
        <x:f>IF($I204&lt;&gt;"",$I204,$J204)</x:f>
      </x:c>
      <x:c r="L204" s="82" t="str">
        <x:f>IF($B204="","",IFERROR(XLOOKUP($C204,MakerWorld_Verileri!$A:$A,MakerWorld_Verileri!$E:$E,""),""))</x:f>
      </x:c>
      <x:c r="M204" s="82" t="str"/>
      <x:c r="N204" s="82" t="str">
        <x:f>IF($L204&lt;&gt;"",$L204,$M204)</x:f>
      </x:c>
      <x:c r="O204" s="82" t="str">
        <x:f>IF($B204&lt;&gt;"",0,"")</x:f>
      </x:c>
      <x:c r="P204" s="75" t="str">
        <x:f>IF($B204&lt;&gt;"","Orta","")</x:f>
      </x:c>
      <x:c r="Q204" s="82" t="str">
        <x:f>IF($B204&lt;&gt;"",10,"")</x:f>
      </x:c>
      <x:c r="R204" s="83" t="str">
        <x:f>IF($B204&lt;&gt;"",Ayarlar!$B$10,"")</x:f>
      </x:c>
      <x:c r="S204" s="83" t="str">
        <x:f>IF($B204&lt;&gt;"",0,"")</x:f>
      </x:c>
      <x:c r="T204" s="83" t="n">
        <x:f>IFERROR(($K204+$O204)*XLOOKUP($G204,Ayarlar!$A$19:$A$28,Ayarlar!$C$19:$C$28,0)*(1+Ayarlar!$B$11),0)</x:f>
        <x:v>0</x:v>
      </x:c>
      <x:c r="U204" s="83" t="n">
        <x:f>IFERROR($N204/60*Ayarlar!$B$8,0)</x:f>
        <x:v>0</x:v>
      </x:c>
      <x:c r="V204" s="83" t="n">
        <x:f>IF($B204&lt;&gt;"",Ayarlar!$B$12+($Q204/60*Ayarlar!$B$9),0)</x:f>
        <x:v>0</x:v>
      </x:c>
      <x:c r="W204" s="83" t="n">
        <x:f>IF($B204&lt;&gt;"",SUM($T204:$V204,$R204:$S204),0)</x:f>
        <x:v>0</x:v>
      </x:c>
      <x:c r="X204" s="83" t="n">
        <x:f>IF($B204&lt;&gt;"",$W204*Ayarlar!$B$15,0)</x:f>
        <x:v>0</x:v>
      </x:c>
      <x:c r="Y204" s="83" t="n">
        <x:f>IF($B204&lt;&gt;"",($W204+$X204)*Ayarlar!$B$13,0)</x:f>
        <x:v>0</x:v>
      </x:c>
      <x:c r="Z204" s="83" t="n">
        <x:f>IF($B204&lt;&gt;"",($W204+$X204+$Y204)*Ayarlar!$B$14,0)</x:f>
        <x:v>0</x:v>
      </x:c>
      <x:c r="AA204" s="83" t="str">
        <x:f>IF($B204="","",IF(OR($K204="",$N204=""),"",CEILING($W204+$X204+$Y204+$Z204,Ayarlar!$B$16)))</x:f>
      </x:c>
      <x:c r="AB204" s="83" t="str">
        <x:f>IFERROR($AA204/$H204,"")</x:f>
      </x:c>
      <x:c r="AC204" s="75" t="str">
        <x:f>IF($B204="","",IF(OR($K204="",$N204=""),"Veri Eksik","Fiyat Hazır"))</x:f>
      </x:c>
      <x:c r="AD204" s="75" t="str">
        <x:f>IF($C204&lt;&gt;"","MW-"&amp;$C204,"")</x:f>
        <x:v>MW-80</x:v>
      </x:c>
      <x:c r="AE204" s="75" t="str">
        <x:f>IF($G204&lt;&gt;"","3D Baskı / "&amp;$G204,"3D Baskı")</x:f>
        <x:v>3D Baskı</x:v>
      </x:c>
      <x:c r="AF204" s="75" t="str">
        <x:f>IF($D204&lt;&gt;"",$D204&amp;" - "&amp;$G204,$AD204&amp;" - "&amp;$G204)</x:f>
        <x:v>MW-80 - </x:v>
      </x:c>
      <x:c r="AG204" s="75" t="str"/>
    </x:row>
    <x:row r="205">
      <x:c r="A205" s="75" t="str">
        <x:f>IF($B205&lt;&gt;"",ROW()-4,"")</x:f>
      </x:c>
      <x:c r="B205" s="75" t="str"/>
      <x:c r="C205" s="75" t="n">
        <x:f>IFERROR(LET(x,MID($B205,FIND("/models/",$B205)+8,80),y,LEFT(x,FIND("-",x&amp;"-")-1),LEFT(y,FIND("?",y&amp;"?")-1)),"")</x:f>
        <x:v>80</x:v>
      </x:c>
      <x:c r="D205" s="75" t="str">
        <x:f>IF($B205="","",IFERROR(XLOOKUP($C205,MakerWorld_Verileri!$A:$A,MakerWorld_Verileri!$B:$B,""),""))</x:f>
      </x:c>
      <x:c r="E205" s="75" t="str">
        <x:f>IF($B205="","",IFERROR(XLOOKUP($C205,MakerWorld_Verileri!$A:$A,MakerWorld_Verileri!$C:$C,""),""))</x:f>
      </x:c>
      <x:c r="F205" s="75" t="str"/>
      <x:c r="G205" s="75" t="str">
        <x:f>IF($B205&lt;&gt;"",Ayarlar!$B$7,"")</x:f>
      </x:c>
      <x:c r="H205" s="82" t="str">
        <x:f>IF($B205&lt;&gt;"",1,"")</x:f>
      </x:c>
      <x:c r="I205" s="82" t="str">
        <x:f>IF($B205="","",IFERROR(XLOOKUP($C205,MakerWorld_Verileri!$A:$A,MakerWorld_Verileri!$D:$D,""),""))</x:f>
      </x:c>
      <x:c r="J205" s="82" t="str"/>
      <x:c r="K205" s="82" t="str">
        <x:f>IF($I205&lt;&gt;"",$I205,$J205)</x:f>
      </x:c>
      <x:c r="L205" s="82" t="str">
        <x:f>IF($B205="","",IFERROR(XLOOKUP($C205,MakerWorld_Verileri!$A:$A,MakerWorld_Verileri!$E:$E,""),""))</x:f>
      </x:c>
      <x:c r="M205" s="82" t="str"/>
      <x:c r="N205" s="82" t="str">
        <x:f>IF($L205&lt;&gt;"",$L205,$M205)</x:f>
      </x:c>
      <x:c r="O205" s="82" t="str">
        <x:f>IF($B205&lt;&gt;"",0,"")</x:f>
      </x:c>
      <x:c r="P205" s="75" t="str">
        <x:f>IF($B205&lt;&gt;"","Orta","")</x:f>
      </x:c>
      <x:c r="Q205" s="82" t="str">
        <x:f>IF($B205&lt;&gt;"",10,"")</x:f>
      </x:c>
      <x:c r="R205" s="83" t="str">
        <x:f>IF($B205&lt;&gt;"",Ayarlar!$B$10,"")</x:f>
      </x:c>
      <x:c r="S205" s="83" t="str">
        <x:f>IF($B205&lt;&gt;"",0,"")</x:f>
      </x:c>
      <x:c r="T205" s="83" t="n">
        <x:f>IFERROR(($K205+$O205)*XLOOKUP($G205,Ayarlar!$A$19:$A$28,Ayarlar!$C$19:$C$28,0)*(1+Ayarlar!$B$11),0)</x:f>
        <x:v>0</x:v>
      </x:c>
      <x:c r="U205" s="83" t="n">
        <x:f>IFERROR($N205/60*Ayarlar!$B$8,0)</x:f>
        <x:v>0</x:v>
      </x:c>
      <x:c r="V205" s="83" t="n">
        <x:f>IF($B205&lt;&gt;"",Ayarlar!$B$12+($Q205/60*Ayarlar!$B$9),0)</x:f>
        <x:v>0</x:v>
      </x:c>
      <x:c r="W205" s="83" t="n">
        <x:f>IF($B205&lt;&gt;"",SUM($T205:$V205,$R205:$S205),0)</x:f>
        <x:v>0</x:v>
      </x:c>
      <x:c r="X205" s="83" t="n">
        <x:f>IF($B205&lt;&gt;"",$W205*Ayarlar!$B$15,0)</x:f>
        <x:v>0</x:v>
      </x:c>
      <x:c r="Y205" s="83" t="n">
        <x:f>IF($B205&lt;&gt;"",($W205+$X205)*Ayarlar!$B$13,0)</x:f>
        <x:v>0</x:v>
      </x:c>
      <x:c r="Z205" s="83" t="n">
        <x:f>IF($B205&lt;&gt;"",($W205+$X205+$Y205)*Ayarlar!$B$14,0)</x:f>
        <x:v>0</x:v>
      </x:c>
      <x:c r="AA205" s="83" t="str">
        <x:f>IF($B205="","",IF(OR($K205="",$N205=""),"",CEILING($W205+$X205+$Y205+$Z205,Ayarlar!$B$16)))</x:f>
      </x:c>
      <x:c r="AB205" s="83" t="str">
        <x:f>IFERROR($AA205/$H205,"")</x:f>
      </x:c>
      <x:c r="AC205" s="75" t="str">
        <x:f>IF($B205="","",IF(OR($K205="",$N205=""),"Veri Eksik","Fiyat Hazır"))</x:f>
      </x:c>
      <x:c r="AD205" s="75" t="str">
        <x:f>IF($C205&lt;&gt;"","MW-"&amp;$C205,"")</x:f>
        <x:v>MW-80</x:v>
      </x:c>
      <x:c r="AE205" s="75" t="str">
        <x:f>IF($G205&lt;&gt;"","3D Baskı / "&amp;$G205,"3D Baskı")</x:f>
        <x:v>3D Baskı</x:v>
      </x:c>
      <x:c r="AF205" s="75" t="str">
        <x:f>IF($D205&lt;&gt;"",$D205&amp;" - "&amp;$G205,$AD205&amp;" - "&amp;$G205)</x:f>
        <x:v>MW-80 - </x:v>
      </x:c>
      <x:c r="AG205" s="75" t="str"/>
    </x:row>
    <x:row r="206">
      <x:c r="A206" s="75" t="str">
        <x:f>IF($B206&lt;&gt;"",ROW()-4,"")</x:f>
      </x:c>
      <x:c r="B206" s="75" t="str"/>
      <x:c r="C206" s="75" t="n">
        <x:f>IFERROR(LET(x,MID($B206,FIND("/models/",$B206)+8,80),y,LEFT(x,FIND("-",x&amp;"-")-1),LEFT(y,FIND("?",y&amp;"?")-1)),"")</x:f>
        <x:v>80</x:v>
      </x:c>
      <x:c r="D206" s="75" t="str">
        <x:f>IF($B206="","",IFERROR(XLOOKUP($C206,MakerWorld_Verileri!$A:$A,MakerWorld_Verileri!$B:$B,""),""))</x:f>
      </x:c>
      <x:c r="E206" s="75" t="str">
        <x:f>IF($B206="","",IFERROR(XLOOKUP($C206,MakerWorld_Verileri!$A:$A,MakerWorld_Verileri!$C:$C,""),""))</x:f>
      </x:c>
      <x:c r="F206" s="75" t="str"/>
      <x:c r="G206" s="75" t="str">
        <x:f>IF($B206&lt;&gt;"",Ayarlar!$B$7,"")</x:f>
      </x:c>
      <x:c r="H206" s="82" t="str">
        <x:f>IF($B206&lt;&gt;"",1,"")</x:f>
      </x:c>
      <x:c r="I206" s="82" t="str">
        <x:f>IF($B206="","",IFERROR(XLOOKUP($C206,MakerWorld_Verileri!$A:$A,MakerWorld_Verileri!$D:$D,""),""))</x:f>
      </x:c>
      <x:c r="J206" s="82" t="str"/>
      <x:c r="K206" s="82" t="str">
        <x:f>IF($I206&lt;&gt;"",$I206,$J206)</x:f>
      </x:c>
      <x:c r="L206" s="82" t="str">
        <x:f>IF($B206="","",IFERROR(XLOOKUP($C206,MakerWorld_Verileri!$A:$A,MakerWorld_Verileri!$E:$E,""),""))</x:f>
      </x:c>
      <x:c r="M206" s="82" t="str"/>
      <x:c r="N206" s="82" t="str">
        <x:f>IF($L206&lt;&gt;"",$L206,$M206)</x:f>
      </x:c>
      <x:c r="O206" s="82" t="str">
        <x:f>IF($B206&lt;&gt;"",0,"")</x:f>
      </x:c>
      <x:c r="P206" s="75" t="str">
        <x:f>IF($B206&lt;&gt;"","Orta","")</x:f>
      </x:c>
      <x:c r="Q206" s="82" t="str">
        <x:f>IF($B206&lt;&gt;"",10,"")</x:f>
      </x:c>
      <x:c r="R206" s="83" t="str">
        <x:f>IF($B206&lt;&gt;"",Ayarlar!$B$10,"")</x:f>
      </x:c>
      <x:c r="S206" s="83" t="str">
        <x:f>IF($B206&lt;&gt;"",0,"")</x:f>
      </x:c>
      <x:c r="T206" s="83" t="n">
        <x:f>IFERROR(($K206+$O206)*XLOOKUP($G206,Ayarlar!$A$19:$A$28,Ayarlar!$C$19:$C$28,0)*(1+Ayarlar!$B$11),0)</x:f>
        <x:v>0</x:v>
      </x:c>
      <x:c r="U206" s="83" t="n">
        <x:f>IFERROR($N206/60*Ayarlar!$B$8,0)</x:f>
        <x:v>0</x:v>
      </x:c>
      <x:c r="V206" s="83" t="n">
        <x:f>IF($B206&lt;&gt;"",Ayarlar!$B$12+($Q206/60*Ayarlar!$B$9),0)</x:f>
        <x:v>0</x:v>
      </x:c>
      <x:c r="W206" s="83" t="n">
        <x:f>IF($B206&lt;&gt;"",SUM($T206:$V206,$R206:$S206),0)</x:f>
        <x:v>0</x:v>
      </x:c>
      <x:c r="X206" s="83" t="n">
        <x:f>IF($B206&lt;&gt;"",$W206*Ayarlar!$B$15,0)</x:f>
        <x:v>0</x:v>
      </x:c>
      <x:c r="Y206" s="83" t="n">
        <x:f>IF($B206&lt;&gt;"",($W206+$X206)*Ayarlar!$B$13,0)</x:f>
        <x:v>0</x:v>
      </x:c>
      <x:c r="Z206" s="83" t="n">
        <x:f>IF($B206&lt;&gt;"",($W206+$X206+$Y206)*Ayarlar!$B$14,0)</x:f>
        <x:v>0</x:v>
      </x:c>
      <x:c r="AA206" s="83" t="str">
        <x:f>IF($B206="","",IF(OR($K206="",$N206=""),"",CEILING($W206+$X206+$Y206+$Z206,Ayarlar!$B$16)))</x:f>
      </x:c>
      <x:c r="AB206" s="83" t="str">
        <x:f>IFERROR($AA206/$H206,"")</x:f>
      </x:c>
      <x:c r="AC206" s="75" t="str">
        <x:f>IF($B206="","",IF(OR($K206="",$N206=""),"Veri Eksik","Fiyat Hazır"))</x:f>
      </x:c>
      <x:c r="AD206" s="75" t="str">
        <x:f>IF($C206&lt;&gt;"","MW-"&amp;$C206,"")</x:f>
        <x:v>MW-80</x:v>
      </x:c>
      <x:c r="AE206" s="75" t="str">
        <x:f>IF($G206&lt;&gt;"","3D Baskı / "&amp;$G206,"3D Baskı")</x:f>
        <x:v>3D Baskı</x:v>
      </x:c>
      <x:c r="AF206" s="75" t="str">
        <x:f>IF($D206&lt;&gt;"",$D206&amp;" - "&amp;$G206,$AD206&amp;" - "&amp;$G206)</x:f>
        <x:v>MW-80 - </x:v>
      </x:c>
      <x:c r="AG206" s="75" t="str"/>
    </x:row>
    <x:row r="207">
      <x:c r="A207" s="75" t="str">
        <x:f>IF($B207&lt;&gt;"",ROW()-4,"")</x:f>
      </x:c>
      <x:c r="B207" s="75" t="str"/>
      <x:c r="C207" s="75" t="n">
        <x:f>IFERROR(LET(x,MID($B207,FIND("/models/",$B207)+8,80),y,LEFT(x,FIND("-",x&amp;"-")-1),LEFT(y,FIND("?",y&amp;"?")-1)),"")</x:f>
        <x:v>80</x:v>
      </x:c>
      <x:c r="D207" s="75" t="str">
        <x:f>IF($B207="","",IFERROR(XLOOKUP($C207,MakerWorld_Verileri!$A:$A,MakerWorld_Verileri!$B:$B,""),""))</x:f>
      </x:c>
      <x:c r="E207" s="75" t="str">
        <x:f>IF($B207="","",IFERROR(XLOOKUP($C207,MakerWorld_Verileri!$A:$A,MakerWorld_Verileri!$C:$C,""),""))</x:f>
      </x:c>
      <x:c r="F207" s="75" t="str"/>
      <x:c r="G207" s="75" t="str">
        <x:f>IF($B207&lt;&gt;"",Ayarlar!$B$7,"")</x:f>
      </x:c>
      <x:c r="H207" s="82" t="str">
        <x:f>IF($B207&lt;&gt;"",1,"")</x:f>
      </x:c>
      <x:c r="I207" s="82" t="str">
        <x:f>IF($B207="","",IFERROR(XLOOKUP($C207,MakerWorld_Verileri!$A:$A,MakerWorld_Verileri!$D:$D,""),""))</x:f>
      </x:c>
      <x:c r="J207" s="82" t="str"/>
      <x:c r="K207" s="82" t="str">
        <x:f>IF($I207&lt;&gt;"",$I207,$J207)</x:f>
      </x:c>
      <x:c r="L207" s="82" t="str">
        <x:f>IF($B207="","",IFERROR(XLOOKUP($C207,MakerWorld_Verileri!$A:$A,MakerWorld_Verileri!$E:$E,""),""))</x:f>
      </x:c>
      <x:c r="M207" s="82" t="str"/>
      <x:c r="N207" s="82" t="str">
        <x:f>IF($L207&lt;&gt;"",$L207,$M207)</x:f>
      </x:c>
      <x:c r="O207" s="82" t="str">
        <x:f>IF($B207&lt;&gt;"",0,"")</x:f>
      </x:c>
      <x:c r="P207" s="75" t="str">
        <x:f>IF($B207&lt;&gt;"","Orta","")</x:f>
      </x:c>
      <x:c r="Q207" s="82" t="str">
        <x:f>IF($B207&lt;&gt;"",10,"")</x:f>
      </x:c>
      <x:c r="R207" s="83" t="str">
        <x:f>IF($B207&lt;&gt;"",Ayarlar!$B$10,"")</x:f>
      </x:c>
      <x:c r="S207" s="83" t="str">
        <x:f>IF($B207&lt;&gt;"",0,"")</x:f>
      </x:c>
      <x:c r="T207" s="83" t="n">
        <x:f>IFERROR(($K207+$O207)*XLOOKUP($G207,Ayarlar!$A$19:$A$28,Ayarlar!$C$19:$C$28,0)*(1+Ayarlar!$B$11),0)</x:f>
        <x:v>0</x:v>
      </x:c>
      <x:c r="U207" s="83" t="n">
        <x:f>IFERROR($N207/60*Ayarlar!$B$8,0)</x:f>
        <x:v>0</x:v>
      </x:c>
      <x:c r="V207" s="83" t="n">
        <x:f>IF($B207&lt;&gt;"",Ayarlar!$B$12+($Q207/60*Ayarlar!$B$9),0)</x:f>
        <x:v>0</x:v>
      </x:c>
      <x:c r="W207" s="83" t="n">
        <x:f>IF($B207&lt;&gt;"",SUM($T207:$V207,$R207:$S207),0)</x:f>
        <x:v>0</x:v>
      </x:c>
      <x:c r="X207" s="83" t="n">
        <x:f>IF($B207&lt;&gt;"",$W207*Ayarlar!$B$15,0)</x:f>
        <x:v>0</x:v>
      </x:c>
      <x:c r="Y207" s="83" t="n">
        <x:f>IF($B207&lt;&gt;"",($W207+$X207)*Ayarlar!$B$13,0)</x:f>
        <x:v>0</x:v>
      </x:c>
      <x:c r="Z207" s="83" t="n">
        <x:f>IF($B207&lt;&gt;"",($W207+$X207+$Y207)*Ayarlar!$B$14,0)</x:f>
        <x:v>0</x:v>
      </x:c>
      <x:c r="AA207" s="83" t="str">
        <x:f>IF($B207="","",IF(OR($K207="",$N207=""),"",CEILING($W207+$X207+$Y207+$Z207,Ayarlar!$B$16)))</x:f>
      </x:c>
      <x:c r="AB207" s="83" t="str">
        <x:f>IFERROR($AA207/$H207,"")</x:f>
      </x:c>
      <x:c r="AC207" s="75" t="str">
        <x:f>IF($B207="","",IF(OR($K207="",$N207=""),"Veri Eksik","Fiyat Hazır"))</x:f>
      </x:c>
      <x:c r="AD207" s="75" t="str">
        <x:f>IF($C207&lt;&gt;"","MW-"&amp;$C207,"")</x:f>
        <x:v>MW-80</x:v>
      </x:c>
      <x:c r="AE207" s="75" t="str">
        <x:f>IF($G207&lt;&gt;"","3D Baskı / "&amp;$G207,"3D Baskı")</x:f>
        <x:v>3D Baskı</x:v>
      </x:c>
      <x:c r="AF207" s="75" t="str">
        <x:f>IF($D207&lt;&gt;"",$D207&amp;" - "&amp;$G207,$AD207&amp;" - "&amp;$G207)</x:f>
        <x:v>MW-80 - </x:v>
      </x:c>
      <x:c r="AG207" s="75" t="str"/>
    </x:row>
    <x:row r="208">
      <x:c r="A208" s="75" t="str">
        <x:f>IF($B208&lt;&gt;"",ROW()-4,"")</x:f>
      </x:c>
      <x:c r="B208" s="75" t="str"/>
      <x:c r="C208" s="75" t="n">
        <x:f>IFERROR(LET(x,MID($B208,FIND("/models/",$B208)+8,80),y,LEFT(x,FIND("-",x&amp;"-")-1),LEFT(y,FIND("?",y&amp;"?")-1)),"")</x:f>
        <x:v>80</x:v>
      </x:c>
      <x:c r="D208" s="75" t="str">
        <x:f>IF($B208="","",IFERROR(XLOOKUP($C208,MakerWorld_Verileri!$A:$A,MakerWorld_Verileri!$B:$B,""),""))</x:f>
      </x:c>
      <x:c r="E208" s="75" t="str">
        <x:f>IF($B208="","",IFERROR(XLOOKUP($C208,MakerWorld_Verileri!$A:$A,MakerWorld_Verileri!$C:$C,""),""))</x:f>
      </x:c>
      <x:c r="F208" s="75" t="str"/>
      <x:c r="G208" s="75" t="str">
        <x:f>IF($B208&lt;&gt;"",Ayarlar!$B$7,"")</x:f>
      </x:c>
      <x:c r="H208" s="82" t="str">
        <x:f>IF($B208&lt;&gt;"",1,"")</x:f>
      </x:c>
      <x:c r="I208" s="82" t="str">
        <x:f>IF($B208="","",IFERROR(XLOOKUP($C208,MakerWorld_Verileri!$A:$A,MakerWorld_Verileri!$D:$D,""),""))</x:f>
      </x:c>
      <x:c r="J208" s="82" t="str"/>
      <x:c r="K208" s="82" t="str">
        <x:f>IF($I208&lt;&gt;"",$I208,$J208)</x:f>
      </x:c>
      <x:c r="L208" s="82" t="str">
        <x:f>IF($B208="","",IFERROR(XLOOKUP($C208,MakerWorld_Verileri!$A:$A,MakerWorld_Verileri!$E:$E,""),""))</x:f>
      </x:c>
      <x:c r="M208" s="82" t="str"/>
      <x:c r="N208" s="82" t="str">
        <x:f>IF($L208&lt;&gt;"",$L208,$M208)</x:f>
      </x:c>
      <x:c r="O208" s="82" t="str">
        <x:f>IF($B208&lt;&gt;"",0,"")</x:f>
      </x:c>
      <x:c r="P208" s="75" t="str">
        <x:f>IF($B208&lt;&gt;"","Orta","")</x:f>
      </x:c>
      <x:c r="Q208" s="82" t="str">
        <x:f>IF($B208&lt;&gt;"",10,"")</x:f>
      </x:c>
      <x:c r="R208" s="83" t="str">
        <x:f>IF($B208&lt;&gt;"",Ayarlar!$B$10,"")</x:f>
      </x:c>
      <x:c r="S208" s="83" t="str">
        <x:f>IF($B208&lt;&gt;"",0,"")</x:f>
      </x:c>
      <x:c r="T208" s="83" t="n">
        <x:f>IFERROR(($K208+$O208)*XLOOKUP($G208,Ayarlar!$A$19:$A$28,Ayarlar!$C$19:$C$28,0)*(1+Ayarlar!$B$11),0)</x:f>
        <x:v>0</x:v>
      </x:c>
      <x:c r="U208" s="83" t="n">
        <x:f>IFERROR($N208/60*Ayarlar!$B$8,0)</x:f>
        <x:v>0</x:v>
      </x:c>
      <x:c r="V208" s="83" t="n">
        <x:f>IF($B208&lt;&gt;"",Ayarlar!$B$12+($Q208/60*Ayarlar!$B$9),0)</x:f>
        <x:v>0</x:v>
      </x:c>
      <x:c r="W208" s="83" t="n">
        <x:f>IF($B208&lt;&gt;"",SUM($T208:$V208,$R208:$S208),0)</x:f>
        <x:v>0</x:v>
      </x:c>
      <x:c r="X208" s="83" t="n">
        <x:f>IF($B208&lt;&gt;"",$W208*Ayarlar!$B$15,0)</x:f>
        <x:v>0</x:v>
      </x:c>
      <x:c r="Y208" s="83" t="n">
        <x:f>IF($B208&lt;&gt;"",($W208+$X208)*Ayarlar!$B$13,0)</x:f>
        <x:v>0</x:v>
      </x:c>
      <x:c r="Z208" s="83" t="n">
        <x:f>IF($B208&lt;&gt;"",($W208+$X208+$Y208)*Ayarlar!$B$14,0)</x:f>
        <x:v>0</x:v>
      </x:c>
      <x:c r="AA208" s="83" t="str">
        <x:f>IF($B208="","",IF(OR($K208="",$N208=""),"",CEILING($W208+$X208+$Y208+$Z208,Ayarlar!$B$16)))</x:f>
      </x:c>
      <x:c r="AB208" s="83" t="str">
        <x:f>IFERROR($AA208/$H208,"")</x:f>
      </x:c>
      <x:c r="AC208" s="75" t="str">
        <x:f>IF($B208="","",IF(OR($K208="",$N208=""),"Veri Eksik","Fiyat Hazır"))</x:f>
      </x:c>
      <x:c r="AD208" s="75" t="str">
        <x:f>IF($C208&lt;&gt;"","MW-"&amp;$C208,"")</x:f>
        <x:v>MW-80</x:v>
      </x:c>
      <x:c r="AE208" s="75" t="str">
        <x:f>IF($G208&lt;&gt;"","3D Baskı / "&amp;$G208,"3D Baskı")</x:f>
        <x:v>3D Baskı</x:v>
      </x:c>
      <x:c r="AF208" s="75" t="str">
        <x:f>IF($D208&lt;&gt;"",$D208&amp;" - "&amp;$G208,$AD208&amp;" - "&amp;$G208)</x:f>
        <x:v>MW-80 - </x:v>
      </x:c>
      <x:c r="AG208" s="75" t="str"/>
    </x:row>
    <x:row r="209">
      <x:c r="A209" s="75" t="str">
        <x:f>IF($B209&lt;&gt;"",ROW()-4,"")</x:f>
      </x:c>
      <x:c r="B209" s="75" t="str"/>
      <x:c r="C209" s="75" t="n">
        <x:f>IFERROR(LET(x,MID($B209,FIND("/models/",$B209)+8,80),y,LEFT(x,FIND("-",x&amp;"-")-1),LEFT(y,FIND("?",y&amp;"?")-1)),"")</x:f>
        <x:v>80</x:v>
      </x:c>
      <x:c r="D209" s="75" t="str">
        <x:f>IF($B209="","",IFERROR(XLOOKUP($C209,MakerWorld_Verileri!$A:$A,MakerWorld_Verileri!$B:$B,""),""))</x:f>
      </x:c>
      <x:c r="E209" s="75" t="str">
        <x:f>IF($B209="","",IFERROR(XLOOKUP($C209,MakerWorld_Verileri!$A:$A,MakerWorld_Verileri!$C:$C,""),""))</x:f>
      </x:c>
      <x:c r="F209" s="75" t="str"/>
      <x:c r="G209" s="75" t="str">
        <x:f>IF($B209&lt;&gt;"",Ayarlar!$B$7,"")</x:f>
      </x:c>
      <x:c r="H209" s="82" t="str">
        <x:f>IF($B209&lt;&gt;"",1,"")</x:f>
      </x:c>
      <x:c r="I209" s="82" t="str">
        <x:f>IF($B209="","",IFERROR(XLOOKUP($C209,MakerWorld_Verileri!$A:$A,MakerWorld_Verileri!$D:$D,""),""))</x:f>
      </x:c>
      <x:c r="J209" s="82" t="str"/>
      <x:c r="K209" s="82" t="str">
        <x:f>IF($I209&lt;&gt;"",$I209,$J209)</x:f>
      </x:c>
      <x:c r="L209" s="82" t="str">
        <x:f>IF($B209="","",IFERROR(XLOOKUP($C209,MakerWorld_Verileri!$A:$A,MakerWorld_Verileri!$E:$E,""),""))</x:f>
      </x:c>
      <x:c r="M209" s="82" t="str"/>
      <x:c r="N209" s="82" t="str">
        <x:f>IF($L209&lt;&gt;"",$L209,$M209)</x:f>
      </x:c>
      <x:c r="O209" s="82" t="str">
        <x:f>IF($B209&lt;&gt;"",0,"")</x:f>
      </x:c>
      <x:c r="P209" s="75" t="str">
        <x:f>IF($B209&lt;&gt;"","Orta","")</x:f>
      </x:c>
      <x:c r="Q209" s="82" t="str">
        <x:f>IF($B209&lt;&gt;"",10,"")</x:f>
      </x:c>
      <x:c r="R209" s="83" t="str">
        <x:f>IF($B209&lt;&gt;"",Ayarlar!$B$10,"")</x:f>
      </x:c>
      <x:c r="S209" s="83" t="str">
        <x:f>IF($B209&lt;&gt;"",0,"")</x:f>
      </x:c>
      <x:c r="T209" s="83" t="n">
        <x:f>IFERROR(($K209+$O209)*XLOOKUP($G209,Ayarlar!$A$19:$A$28,Ayarlar!$C$19:$C$28,0)*(1+Ayarlar!$B$11),0)</x:f>
        <x:v>0</x:v>
      </x:c>
      <x:c r="U209" s="83" t="n">
        <x:f>IFERROR($N209/60*Ayarlar!$B$8,0)</x:f>
        <x:v>0</x:v>
      </x:c>
      <x:c r="V209" s="83" t="n">
        <x:f>IF($B209&lt;&gt;"",Ayarlar!$B$12+($Q209/60*Ayarlar!$B$9),0)</x:f>
        <x:v>0</x:v>
      </x:c>
      <x:c r="W209" s="83" t="n">
        <x:f>IF($B209&lt;&gt;"",SUM($T209:$V209,$R209:$S209),0)</x:f>
        <x:v>0</x:v>
      </x:c>
      <x:c r="X209" s="83" t="n">
        <x:f>IF($B209&lt;&gt;"",$W209*Ayarlar!$B$15,0)</x:f>
        <x:v>0</x:v>
      </x:c>
      <x:c r="Y209" s="83" t="n">
        <x:f>IF($B209&lt;&gt;"",($W209+$X209)*Ayarlar!$B$13,0)</x:f>
        <x:v>0</x:v>
      </x:c>
      <x:c r="Z209" s="83" t="n">
        <x:f>IF($B209&lt;&gt;"",($W209+$X209+$Y209)*Ayarlar!$B$14,0)</x:f>
        <x:v>0</x:v>
      </x:c>
      <x:c r="AA209" s="83" t="str">
        <x:f>IF($B209="","",IF(OR($K209="",$N209=""),"",CEILING($W209+$X209+$Y209+$Z209,Ayarlar!$B$16)))</x:f>
      </x:c>
      <x:c r="AB209" s="83" t="str">
        <x:f>IFERROR($AA209/$H209,"")</x:f>
      </x:c>
      <x:c r="AC209" s="75" t="str">
        <x:f>IF($B209="","",IF(OR($K209="",$N209=""),"Veri Eksik","Fiyat Hazır"))</x:f>
      </x:c>
      <x:c r="AD209" s="75" t="str">
        <x:f>IF($C209&lt;&gt;"","MW-"&amp;$C209,"")</x:f>
        <x:v>MW-80</x:v>
      </x:c>
      <x:c r="AE209" s="75" t="str">
        <x:f>IF($G209&lt;&gt;"","3D Baskı / "&amp;$G209,"3D Baskı")</x:f>
        <x:v>3D Baskı</x:v>
      </x:c>
      <x:c r="AF209" s="75" t="str">
        <x:f>IF($D209&lt;&gt;"",$D209&amp;" - "&amp;$G209,$AD209&amp;" - "&amp;$G209)</x:f>
        <x:v>MW-80 - </x:v>
      </x:c>
      <x:c r="AG209" s="75" t="str"/>
    </x:row>
    <x:row r="210">
      <x:c r="A210" s="75" t="str">
        <x:f>IF($B210&lt;&gt;"",ROW()-4,"")</x:f>
      </x:c>
      <x:c r="B210" s="75" t="str"/>
      <x:c r="C210" s="75" t="n">
        <x:f>IFERROR(LET(x,MID($B210,FIND("/models/",$B210)+8,80),y,LEFT(x,FIND("-",x&amp;"-")-1),LEFT(y,FIND("?",y&amp;"?")-1)),"")</x:f>
        <x:v>80</x:v>
      </x:c>
      <x:c r="D210" s="75" t="str">
        <x:f>IF($B210="","",IFERROR(XLOOKUP($C210,MakerWorld_Verileri!$A:$A,MakerWorld_Verileri!$B:$B,""),""))</x:f>
      </x:c>
      <x:c r="E210" s="75" t="str">
        <x:f>IF($B210="","",IFERROR(XLOOKUP($C210,MakerWorld_Verileri!$A:$A,MakerWorld_Verileri!$C:$C,""),""))</x:f>
      </x:c>
      <x:c r="F210" s="75" t="str"/>
      <x:c r="G210" s="75" t="str">
        <x:f>IF($B210&lt;&gt;"",Ayarlar!$B$7,"")</x:f>
      </x:c>
      <x:c r="H210" s="82" t="str">
        <x:f>IF($B210&lt;&gt;"",1,"")</x:f>
      </x:c>
      <x:c r="I210" s="82" t="str">
        <x:f>IF($B210="","",IFERROR(XLOOKUP($C210,MakerWorld_Verileri!$A:$A,MakerWorld_Verileri!$D:$D,""),""))</x:f>
      </x:c>
      <x:c r="J210" s="82" t="str"/>
      <x:c r="K210" s="82" t="str">
        <x:f>IF($I210&lt;&gt;"",$I210,$J210)</x:f>
      </x:c>
      <x:c r="L210" s="82" t="str">
        <x:f>IF($B210="","",IFERROR(XLOOKUP($C210,MakerWorld_Verileri!$A:$A,MakerWorld_Verileri!$E:$E,""),""))</x:f>
      </x:c>
      <x:c r="M210" s="82" t="str"/>
      <x:c r="N210" s="82" t="str">
        <x:f>IF($L210&lt;&gt;"",$L210,$M210)</x:f>
      </x:c>
      <x:c r="O210" s="82" t="str">
        <x:f>IF($B210&lt;&gt;"",0,"")</x:f>
      </x:c>
      <x:c r="P210" s="75" t="str">
        <x:f>IF($B210&lt;&gt;"","Orta","")</x:f>
      </x:c>
      <x:c r="Q210" s="82" t="str">
        <x:f>IF($B210&lt;&gt;"",10,"")</x:f>
      </x:c>
      <x:c r="R210" s="83" t="str">
        <x:f>IF($B210&lt;&gt;"",Ayarlar!$B$10,"")</x:f>
      </x:c>
      <x:c r="S210" s="83" t="str">
        <x:f>IF($B210&lt;&gt;"",0,"")</x:f>
      </x:c>
      <x:c r="T210" s="83" t="n">
        <x:f>IFERROR(($K210+$O210)*XLOOKUP($G210,Ayarlar!$A$19:$A$28,Ayarlar!$C$19:$C$28,0)*(1+Ayarlar!$B$11),0)</x:f>
        <x:v>0</x:v>
      </x:c>
      <x:c r="U210" s="83" t="n">
        <x:f>IFERROR($N210/60*Ayarlar!$B$8,0)</x:f>
        <x:v>0</x:v>
      </x:c>
      <x:c r="V210" s="83" t="n">
        <x:f>IF($B210&lt;&gt;"",Ayarlar!$B$12+($Q210/60*Ayarlar!$B$9),0)</x:f>
        <x:v>0</x:v>
      </x:c>
      <x:c r="W210" s="83" t="n">
        <x:f>IF($B210&lt;&gt;"",SUM($T210:$V210,$R210:$S210),0)</x:f>
        <x:v>0</x:v>
      </x:c>
      <x:c r="X210" s="83" t="n">
        <x:f>IF($B210&lt;&gt;"",$W210*Ayarlar!$B$15,0)</x:f>
        <x:v>0</x:v>
      </x:c>
      <x:c r="Y210" s="83" t="n">
        <x:f>IF($B210&lt;&gt;"",($W210+$X210)*Ayarlar!$B$13,0)</x:f>
        <x:v>0</x:v>
      </x:c>
      <x:c r="Z210" s="83" t="n">
        <x:f>IF($B210&lt;&gt;"",($W210+$X210+$Y210)*Ayarlar!$B$14,0)</x:f>
        <x:v>0</x:v>
      </x:c>
      <x:c r="AA210" s="83" t="str">
        <x:f>IF($B210="","",IF(OR($K210="",$N210=""),"",CEILING($W210+$X210+$Y210+$Z210,Ayarlar!$B$16)))</x:f>
      </x:c>
      <x:c r="AB210" s="83" t="str">
        <x:f>IFERROR($AA210/$H210,"")</x:f>
      </x:c>
      <x:c r="AC210" s="75" t="str">
        <x:f>IF($B210="","",IF(OR($K210="",$N210=""),"Veri Eksik","Fiyat Hazır"))</x:f>
      </x:c>
      <x:c r="AD210" s="75" t="str">
        <x:f>IF($C210&lt;&gt;"","MW-"&amp;$C210,"")</x:f>
        <x:v>MW-80</x:v>
      </x:c>
      <x:c r="AE210" s="75" t="str">
        <x:f>IF($G210&lt;&gt;"","3D Baskı / "&amp;$G210,"3D Baskı")</x:f>
        <x:v>3D Baskı</x:v>
      </x:c>
      <x:c r="AF210" s="75" t="str">
        <x:f>IF($D210&lt;&gt;"",$D210&amp;" - "&amp;$G210,$AD210&amp;" - "&amp;$G210)</x:f>
        <x:v>MW-80 - </x:v>
      </x:c>
      <x:c r="AG210" s="75" t="str"/>
    </x:row>
    <x:row r="211">
      <x:c r="A211" s="75" t="str">
        <x:f>IF($B211&lt;&gt;"",ROW()-4,"")</x:f>
      </x:c>
      <x:c r="B211" s="75" t="str"/>
      <x:c r="C211" s="75" t="n">
        <x:f>IFERROR(LET(x,MID($B211,FIND("/models/",$B211)+8,80),y,LEFT(x,FIND("-",x&amp;"-")-1),LEFT(y,FIND("?",y&amp;"?")-1)),"")</x:f>
        <x:v>80</x:v>
      </x:c>
      <x:c r="D211" s="75" t="str">
        <x:f>IF($B211="","",IFERROR(XLOOKUP($C211,MakerWorld_Verileri!$A:$A,MakerWorld_Verileri!$B:$B,""),""))</x:f>
      </x:c>
      <x:c r="E211" s="75" t="str">
        <x:f>IF($B211="","",IFERROR(XLOOKUP($C211,MakerWorld_Verileri!$A:$A,MakerWorld_Verileri!$C:$C,""),""))</x:f>
      </x:c>
      <x:c r="F211" s="75" t="str"/>
      <x:c r="G211" s="75" t="str">
        <x:f>IF($B211&lt;&gt;"",Ayarlar!$B$7,"")</x:f>
      </x:c>
      <x:c r="H211" s="82" t="str">
        <x:f>IF($B211&lt;&gt;"",1,"")</x:f>
      </x:c>
      <x:c r="I211" s="82" t="str">
        <x:f>IF($B211="","",IFERROR(XLOOKUP($C211,MakerWorld_Verileri!$A:$A,MakerWorld_Verileri!$D:$D,""),""))</x:f>
      </x:c>
      <x:c r="J211" s="82" t="str"/>
      <x:c r="K211" s="82" t="str">
        <x:f>IF($I211&lt;&gt;"",$I211,$J211)</x:f>
      </x:c>
      <x:c r="L211" s="82" t="str">
        <x:f>IF($B211="","",IFERROR(XLOOKUP($C211,MakerWorld_Verileri!$A:$A,MakerWorld_Verileri!$E:$E,""),""))</x:f>
      </x:c>
      <x:c r="M211" s="82" t="str"/>
      <x:c r="N211" s="82" t="str">
        <x:f>IF($L211&lt;&gt;"",$L211,$M211)</x:f>
      </x:c>
      <x:c r="O211" s="82" t="str">
        <x:f>IF($B211&lt;&gt;"",0,"")</x:f>
      </x:c>
      <x:c r="P211" s="75" t="str">
        <x:f>IF($B211&lt;&gt;"","Orta","")</x:f>
      </x:c>
      <x:c r="Q211" s="82" t="str">
        <x:f>IF($B211&lt;&gt;"",10,"")</x:f>
      </x:c>
      <x:c r="R211" s="83" t="str">
        <x:f>IF($B211&lt;&gt;"",Ayarlar!$B$10,"")</x:f>
      </x:c>
      <x:c r="S211" s="83" t="str">
        <x:f>IF($B211&lt;&gt;"",0,"")</x:f>
      </x:c>
      <x:c r="T211" s="83" t="n">
        <x:f>IFERROR(($K211+$O211)*XLOOKUP($G211,Ayarlar!$A$19:$A$28,Ayarlar!$C$19:$C$28,0)*(1+Ayarlar!$B$11),0)</x:f>
        <x:v>0</x:v>
      </x:c>
      <x:c r="U211" s="83" t="n">
        <x:f>IFERROR($N211/60*Ayarlar!$B$8,0)</x:f>
        <x:v>0</x:v>
      </x:c>
      <x:c r="V211" s="83" t="n">
        <x:f>IF($B211&lt;&gt;"",Ayarlar!$B$12+($Q211/60*Ayarlar!$B$9),0)</x:f>
        <x:v>0</x:v>
      </x:c>
      <x:c r="W211" s="83" t="n">
        <x:f>IF($B211&lt;&gt;"",SUM($T211:$V211,$R211:$S211),0)</x:f>
        <x:v>0</x:v>
      </x:c>
      <x:c r="X211" s="83" t="n">
        <x:f>IF($B211&lt;&gt;"",$W211*Ayarlar!$B$15,0)</x:f>
        <x:v>0</x:v>
      </x:c>
      <x:c r="Y211" s="83" t="n">
        <x:f>IF($B211&lt;&gt;"",($W211+$X211)*Ayarlar!$B$13,0)</x:f>
        <x:v>0</x:v>
      </x:c>
      <x:c r="Z211" s="83" t="n">
        <x:f>IF($B211&lt;&gt;"",($W211+$X211+$Y211)*Ayarlar!$B$14,0)</x:f>
        <x:v>0</x:v>
      </x:c>
      <x:c r="AA211" s="83" t="str">
        <x:f>IF($B211="","",IF(OR($K211="",$N211=""),"",CEILING($W211+$X211+$Y211+$Z211,Ayarlar!$B$16)))</x:f>
      </x:c>
      <x:c r="AB211" s="83" t="str">
        <x:f>IFERROR($AA211/$H211,"")</x:f>
      </x:c>
      <x:c r="AC211" s="75" t="str">
        <x:f>IF($B211="","",IF(OR($K211="",$N211=""),"Veri Eksik","Fiyat Hazır"))</x:f>
      </x:c>
      <x:c r="AD211" s="75" t="str">
        <x:f>IF($C211&lt;&gt;"","MW-"&amp;$C211,"")</x:f>
        <x:v>MW-80</x:v>
      </x:c>
      <x:c r="AE211" s="75" t="str">
        <x:f>IF($G211&lt;&gt;"","3D Baskı / "&amp;$G211,"3D Baskı")</x:f>
        <x:v>3D Baskı</x:v>
      </x:c>
      <x:c r="AF211" s="75" t="str">
        <x:f>IF($D211&lt;&gt;"",$D211&amp;" - "&amp;$G211,$AD211&amp;" - "&amp;$G211)</x:f>
        <x:v>MW-80 - </x:v>
      </x:c>
      <x:c r="AG211" s="75" t="str"/>
    </x:row>
    <x:row r="212">
      <x:c r="A212" s="75" t="str">
        <x:f>IF($B212&lt;&gt;"",ROW()-4,"")</x:f>
      </x:c>
      <x:c r="B212" s="75" t="str"/>
      <x:c r="C212" s="75" t="n">
        <x:f>IFERROR(LET(x,MID($B212,FIND("/models/",$B212)+8,80),y,LEFT(x,FIND("-",x&amp;"-")-1),LEFT(y,FIND("?",y&amp;"?")-1)),"")</x:f>
        <x:v>80</x:v>
      </x:c>
      <x:c r="D212" s="75" t="str">
        <x:f>IF($B212="","",IFERROR(XLOOKUP($C212,MakerWorld_Verileri!$A:$A,MakerWorld_Verileri!$B:$B,""),""))</x:f>
      </x:c>
      <x:c r="E212" s="75" t="str">
        <x:f>IF($B212="","",IFERROR(XLOOKUP($C212,MakerWorld_Verileri!$A:$A,MakerWorld_Verileri!$C:$C,""),""))</x:f>
      </x:c>
      <x:c r="F212" s="75" t="str"/>
      <x:c r="G212" s="75" t="str">
        <x:f>IF($B212&lt;&gt;"",Ayarlar!$B$7,"")</x:f>
      </x:c>
      <x:c r="H212" s="82" t="str">
        <x:f>IF($B212&lt;&gt;"",1,"")</x:f>
      </x:c>
      <x:c r="I212" s="82" t="str">
        <x:f>IF($B212="","",IFERROR(XLOOKUP($C212,MakerWorld_Verileri!$A:$A,MakerWorld_Verileri!$D:$D,""),""))</x:f>
      </x:c>
      <x:c r="J212" s="82" t="str"/>
      <x:c r="K212" s="82" t="str">
        <x:f>IF($I212&lt;&gt;"",$I212,$J212)</x:f>
      </x:c>
      <x:c r="L212" s="82" t="str">
        <x:f>IF($B212="","",IFERROR(XLOOKUP($C212,MakerWorld_Verileri!$A:$A,MakerWorld_Verileri!$E:$E,""),""))</x:f>
      </x:c>
      <x:c r="M212" s="82" t="str"/>
      <x:c r="N212" s="82" t="str">
        <x:f>IF($L212&lt;&gt;"",$L212,$M212)</x:f>
      </x:c>
      <x:c r="O212" s="82" t="str">
        <x:f>IF($B212&lt;&gt;"",0,"")</x:f>
      </x:c>
      <x:c r="P212" s="75" t="str">
        <x:f>IF($B212&lt;&gt;"","Orta","")</x:f>
      </x:c>
      <x:c r="Q212" s="82" t="str">
        <x:f>IF($B212&lt;&gt;"",10,"")</x:f>
      </x:c>
      <x:c r="R212" s="83" t="str">
        <x:f>IF($B212&lt;&gt;"",Ayarlar!$B$10,"")</x:f>
      </x:c>
      <x:c r="S212" s="83" t="str">
        <x:f>IF($B212&lt;&gt;"",0,"")</x:f>
      </x:c>
      <x:c r="T212" s="83" t="n">
        <x:f>IFERROR(($K212+$O212)*XLOOKUP($G212,Ayarlar!$A$19:$A$28,Ayarlar!$C$19:$C$28,0)*(1+Ayarlar!$B$11),0)</x:f>
        <x:v>0</x:v>
      </x:c>
      <x:c r="U212" s="83" t="n">
        <x:f>IFERROR($N212/60*Ayarlar!$B$8,0)</x:f>
        <x:v>0</x:v>
      </x:c>
      <x:c r="V212" s="83" t="n">
        <x:f>IF($B212&lt;&gt;"",Ayarlar!$B$12+($Q212/60*Ayarlar!$B$9),0)</x:f>
        <x:v>0</x:v>
      </x:c>
      <x:c r="W212" s="83" t="n">
        <x:f>IF($B212&lt;&gt;"",SUM($T212:$V212,$R212:$S212),0)</x:f>
        <x:v>0</x:v>
      </x:c>
      <x:c r="X212" s="83" t="n">
        <x:f>IF($B212&lt;&gt;"",$W212*Ayarlar!$B$15,0)</x:f>
        <x:v>0</x:v>
      </x:c>
      <x:c r="Y212" s="83" t="n">
        <x:f>IF($B212&lt;&gt;"",($W212+$X212)*Ayarlar!$B$13,0)</x:f>
        <x:v>0</x:v>
      </x:c>
      <x:c r="Z212" s="83" t="n">
        <x:f>IF($B212&lt;&gt;"",($W212+$X212+$Y212)*Ayarlar!$B$14,0)</x:f>
        <x:v>0</x:v>
      </x:c>
      <x:c r="AA212" s="83" t="str">
        <x:f>IF($B212="","",IF(OR($K212="",$N212=""),"",CEILING($W212+$X212+$Y212+$Z212,Ayarlar!$B$16)))</x:f>
      </x:c>
      <x:c r="AB212" s="83" t="str">
        <x:f>IFERROR($AA212/$H212,"")</x:f>
      </x:c>
      <x:c r="AC212" s="75" t="str">
        <x:f>IF($B212="","",IF(OR($K212="",$N212=""),"Veri Eksik","Fiyat Hazır"))</x:f>
      </x:c>
      <x:c r="AD212" s="75" t="str">
        <x:f>IF($C212&lt;&gt;"","MW-"&amp;$C212,"")</x:f>
        <x:v>MW-80</x:v>
      </x:c>
      <x:c r="AE212" s="75" t="str">
        <x:f>IF($G212&lt;&gt;"","3D Baskı / "&amp;$G212,"3D Baskı")</x:f>
        <x:v>3D Baskı</x:v>
      </x:c>
      <x:c r="AF212" s="75" t="str">
        <x:f>IF($D212&lt;&gt;"",$D212&amp;" - "&amp;$G212,$AD212&amp;" - "&amp;$G212)</x:f>
        <x:v>MW-80 - </x:v>
      </x:c>
      <x:c r="AG212" s="75" t="str"/>
    </x:row>
    <x:row r="213">
      <x:c r="A213" s="75" t="str">
        <x:f>IF($B213&lt;&gt;"",ROW()-4,"")</x:f>
      </x:c>
      <x:c r="B213" s="75" t="str"/>
      <x:c r="C213" s="75" t="n">
        <x:f>IFERROR(LET(x,MID($B213,FIND("/models/",$B213)+8,80),y,LEFT(x,FIND("-",x&amp;"-")-1),LEFT(y,FIND("?",y&amp;"?")-1)),"")</x:f>
        <x:v>80</x:v>
      </x:c>
      <x:c r="D213" s="75" t="str">
        <x:f>IF($B213="","",IFERROR(XLOOKUP($C213,MakerWorld_Verileri!$A:$A,MakerWorld_Verileri!$B:$B,""),""))</x:f>
      </x:c>
      <x:c r="E213" s="75" t="str">
        <x:f>IF($B213="","",IFERROR(XLOOKUP($C213,MakerWorld_Verileri!$A:$A,MakerWorld_Verileri!$C:$C,""),""))</x:f>
      </x:c>
      <x:c r="F213" s="75" t="str"/>
      <x:c r="G213" s="75" t="str">
        <x:f>IF($B213&lt;&gt;"",Ayarlar!$B$7,"")</x:f>
      </x:c>
      <x:c r="H213" s="82" t="str">
        <x:f>IF($B213&lt;&gt;"",1,"")</x:f>
      </x:c>
      <x:c r="I213" s="82" t="str">
        <x:f>IF($B213="","",IFERROR(XLOOKUP($C213,MakerWorld_Verileri!$A:$A,MakerWorld_Verileri!$D:$D,""),""))</x:f>
      </x:c>
      <x:c r="J213" s="82" t="str"/>
      <x:c r="K213" s="82" t="str">
        <x:f>IF($I213&lt;&gt;"",$I213,$J213)</x:f>
      </x:c>
      <x:c r="L213" s="82" t="str">
        <x:f>IF($B213="","",IFERROR(XLOOKUP($C213,MakerWorld_Verileri!$A:$A,MakerWorld_Verileri!$E:$E,""),""))</x:f>
      </x:c>
      <x:c r="M213" s="82" t="str"/>
      <x:c r="N213" s="82" t="str">
        <x:f>IF($L213&lt;&gt;"",$L213,$M213)</x:f>
      </x:c>
      <x:c r="O213" s="82" t="str">
        <x:f>IF($B213&lt;&gt;"",0,"")</x:f>
      </x:c>
      <x:c r="P213" s="75" t="str">
        <x:f>IF($B213&lt;&gt;"","Orta","")</x:f>
      </x:c>
      <x:c r="Q213" s="82" t="str">
        <x:f>IF($B213&lt;&gt;"",10,"")</x:f>
      </x:c>
      <x:c r="R213" s="83" t="str">
        <x:f>IF($B213&lt;&gt;"",Ayarlar!$B$10,"")</x:f>
      </x:c>
      <x:c r="S213" s="83" t="str">
        <x:f>IF($B213&lt;&gt;"",0,"")</x:f>
      </x:c>
      <x:c r="T213" s="83" t="n">
        <x:f>IFERROR(($K213+$O213)*XLOOKUP($G213,Ayarlar!$A$19:$A$28,Ayarlar!$C$19:$C$28,0)*(1+Ayarlar!$B$11),0)</x:f>
        <x:v>0</x:v>
      </x:c>
      <x:c r="U213" s="83" t="n">
        <x:f>IFERROR($N213/60*Ayarlar!$B$8,0)</x:f>
        <x:v>0</x:v>
      </x:c>
      <x:c r="V213" s="83" t="n">
        <x:f>IF($B213&lt;&gt;"",Ayarlar!$B$12+($Q213/60*Ayarlar!$B$9),0)</x:f>
        <x:v>0</x:v>
      </x:c>
      <x:c r="W213" s="83" t="n">
        <x:f>IF($B213&lt;&gt;"",SUM($T213:$V213,$R213:$S213),0)</x:f>
        <x:v>0</x:v>
      </x:c>
      <x:c r="X213" s="83" t="n">
        <x:f>IF($B213&lt;&gt;"",$W213*Ayarlar!$B$15,0)</x:f>
        <x:v>0</x:v>
      </x:c>
      <x:c r="Y213" s="83" t="n">
        <x:f>IF($B213&lt;&gt;"",($W213+$X213)*Ayarlar!$B$13,0)</x:f>
        <x:v>0</x:v>
      </x:c>
      <x:c r="Z213" s="83" t="n">
        <x:f>IF($B213&lt;&gt;"",($W213+$X213+$Y213)*Ayarlar!$B$14,0)</x:f>
        <x:v>0</x:v>
      </x:c>
      <x:c r="AA213" s="83" t="str">
        <x:f>IF($B213="","",IF(OR($K213="",$N213=""),"",CEILING($W213+$X213+$Y213+$Z213,Ayarlar!$B$16)))</x:f>
      </x:c>
      <x:c r="AB213" s="83" t="str">
        <x:f>IFERROR($AA213/$H213,"")</x:f>
      </x:c>
      <x:c r="AC213" s="75" t="str">
        <x:f>IF($B213="","",IF(OR($K213="",$N213=""),"Veri Eksik","Fiyat Hazır"))</x:f>
      </x:c>
      <x:c r="AD213" s="75" t="str">
        <x:f>IF($C213&lt;&gt;"","MW-"&amp;$C213,"")</x:f>
        <x:v>MW-80</x:v>
      </x:c>
      <x:c r="AE213" s="75" t="str">
        <x:f>IF($G213&lt;&gt;"","3D Baskı / "&amp;$G213,"3D Baskı")</x:f>
        <x:v>3D Baskı</x:v>
      </x:c>
      <x:c r="AF213" s="75" t="str">
        <x:f>IF($D213&lt;&gt;"",$D213&amp;" - "&amp;$G213,$AD213&amp;" - "&amp;$G213)</x:f>
        <x:v>MW-80 - </x:v>
      </x:c>
      <x:c r="AG213" s="75" t="str"/>
    </x:row>
    <x:row r="214">
      <x:c r="A214" s="75" t="str">
        <x:f>IF($B214&lt;&gt;"",ROW()-4,"")</x:f>
      </x:c>
      <x:c r="B214" s="75" t="str"/>
      <x:c r="C214" s="75" t="n">
        <x:f>IFERROR(LET(x,MID($B214,FIND("/models/",$B214)+8,80),y,LEFT(x,FIND("-",x&amp;"-")-1),LEFT(y,FIND("?",y&amp;"?")-1)),"")</x:f>
        <x:v>80</x:v>
      </x:c>
      <x:c r="D214" s="75" t="str">
        <x:f>IF($B214="","",IFERROR(XLOOKUP($C214,MakerWorld_Verileri!$A:$A,MakerWorld_Verileri!$B:$B,""),""))</x:f>
      </x:c>
      <x:c r="E214" s="75" t="str">
        <x:f>IF($B214="","",IFERROR(XLOOKUP($C214,MakerWorld_Verileri!$A:$A,MakerWorld_Verileri!$C:$C,""),""))</x:f>
      </x:c>
      <x:c r="F214" s="75" t="str"/>
      <x:c r="G214" s="75" t="str">
        <x:f>IF($B214&lt;&gt;"",Ayarlar!$B$7,"")</x:f>
      </x:c>
      <x:c r="H214" s="82" t="str">
        <x:f>IF($B214&lt;&gt;"",1,"")</x:f>
      </x:c>
      <x:c r="I214" s="82" t="str">
        <x:f>IF($B214="","",IFERROR(XLOOKUP($C214,MakerWorld_Verileri!$A:$A,MakerWorld_Verileri!$D:$D,""),""))</x:f>
      </x:c>
      <x:c r="J214" s="82" t="str"/>
      <x:c r="K214" s="82" t="str">
        <x:f>IF($I214&lt;&gt;"",$I214,$J214)</x:f>
      </x:c>
      <x:c r="L214" s="82" t="str">
        <x:f>IF($B214="","",IFERROR(XLOOKUP($C214,MakerWorld_Verileri!$A:$A,MakerWorld_Verileri!$E:$E,""),""))</x:f>
      </x:c>
      <x:c r="M214" s="82" t="str"/>
      <x:c r="N214" s="82" t="str">
        <x:f>IF($L214&lt;&gt;"",$L214,$M214)</x:f>
      </x:c>
      <x:c r="O214" s="82" t="str">
        <x:f>IF($B214&lt;&gt;"",0,"")</x:f>
      </x:c>
      <x:c r="P214" s="75" t="str">
        <x:f>IF($B214&lt;&gt;"","Orta","")</x:f>
      </x:c>
      <x:c r="Q214" s="82" t="str">
        <x:f>IF($B214&lt;&gt;"",10,"")</x:f>
      </x:c>
      <x:c r="R214" s="83" t="str">
        <x:f>IF($B214&lt;&gt;"",Ayarlar!$B$10,"")</x:f>
      </x:c>
      <x:c r="S214" s="83" t="str">
        <x:f>IF($B214&lt;&gt;"",0,"")</x:f>
      </x:c>
      <x:c r="T214" s="83" t="n">
        <x:f>IFERROR(($K214+$O214)*XLOOKUP($G214,Ayarlar!$A$19:$A$28,Ayarlar!$C$19:$C$28,0)*(1+Ayarlar!$B$11),0)</x:f>
        <x:v>0</x:v>
      </x:c>
      <x:c r="U214" s="83" t="n">
        <x:f>IFERROR($N214/60*Ayarlar!$B$8,0)</x:f>
        <x:v>0</x:v>
      </x:c>
      <x:c r="V214" s="83" t="n">
        <x:f>IF($B214&lt;&gt;"",Ayarlar!$B$12+($Q214/60*Ayarlar!$B$9),0)</x:f>
        <x:v>0</x:v>
      </x:c>
      <x:c r="W214" s="83" t="n">
        <x:f>IF($B214&lt;&gt;"",SUM($T214:$V214,$R214:$S214),0)</x:f>
        <x:v>0</x:v>
      </x:c>
      <x:c r="X214" s="83" t="n">
        <x:f>IF($B214&lt;&gt;"",$W214*Ayarlar!$B$15,0)</x:f>
        <x:v>0</x:v>
      </x:c>
      <x:c r="Y214" s="83" t="n">
        <x:f>IF($B214&lt;&gt;"",($W214+$X214)*Ayarlar!$B$13,0)</x:f>
        <x:v>0</x:v>
      </x:c>
      <x:c r="Z214" s="83" t="n">
        <x:f>IF($B214&lt;&gt;"",($W214+$X214+$Y214)*Ayarlar!$B$14,0)</x:f>
        <x:v>0</x:v>
      </x:c>
      <x:c r="AA214" s="83" t="str">
        <x:f>IF($B214="","",IF(OR($K214="",$N214=""),"",CEILING($W214+$X214+$Y214+$Z214,Ayarlar!$B$16)))</x:f>
      </x:c>
      <x:c r="AB214" s="83" t="str">
        <x:f>IFERROR($AA214/$H214,"")</x:f>
      </x:c>
      <x:c r="AC214" s="75" t="str">
        <x:f>IF($B214="","",IF(OR($K214="",$N214=""),"Veri Eksik","Fiyat Hazır"))</x:f>
      </x:c>
      <x:c r="AD214" s="75" t="str">
        <x:f>IF($C214&lt;&gt;"","MW-"&amp;$C214,"")</x:f>
        <x:v>MW-80</x:v>
      </x:c>
      <x:c r="AE214" s="75" t="str">
        <x:f>IF($G214&lt;&gt;"","3D Baskı / "&amp;$G214,"3D Baskı")</x:f>
        <x:v>3D Baskı</x:v>
      </x:c>
      <x:c r="AF214" s="75" t="str">
        <x:f>IF($D214&lt;&gt;"",$D214&amp;" - "&amp;$G214,$AD214&amp;" - "&amp;$G214)</x:f>
        <x:v>MW-80 - </x:v>
      </x:c>
      <x:c r="AG214" s="75" t="str"/>
    </x:row>
    <x:row r="215">
      <x:c r="A215" s="75" t="str">
        <x:f>IF($B215&lt;&gt;"",ROW()-4,"")</x:f>
      </x:c>
      <x:c r="B215" s="75" t="str"/>
      <x:c r="C215" s="75" t="n">
        <x:f>IFERROR(LET(x,MID($B215,FIND("/models/",$B215)+8,80),y,LEFT(x,FIND("-",x&amp;"-")-1),LEFT(y,FIND("?",y&amp;"?")-1)),"")</x:f>
        <x:v>80</x:v>
      </x:c>
      <x:c r="D215" s="75" t="str">
        <x:f>IF($B215="","",IFERROR(XLOOKUP($C215,MakerWorld_Verileri!$A:$A,MakerWorld_Verileri!$B:$B,""),""))</x:f>
      </x:c>
      <x:c r="E215" s="75" t="str">
        <x:f>IF($B215="","",IFERROR(XLOOKUP($C215,MakerWorld_Verileri!$A:$A,MakerWorld_Verileri!$C:$C,""),""))</x:f>
      </x:c>
      <x:c r="F215" s="75" t="str"/>
      <x:c r="G215" s="75" t="str">
        <x:f>IF($B215&lt;&gt;"",Ayarlar!$B$7,"")</x:f>
      </x:c>
      <x:c r="H215" s="82" t="str">
        <x:f>IF($B215&lt;&gt;"",1,"")</x:f>
      </x:c>
      <x:c r="I215" s="82" t="str">
        <x:f>IF($B215="","",IFERROR(XLOOKUP($C215,MakerWorld_Verileri!$A:$A,MakerWorld_Verileri!$D:$D,""),""))</x:f>
      </x:c>
      <x:c r="J215" s="82" t="str"/>
      <x:c r="K215" s="82" t="str">
        <x:f>IF($I215&lt;&gt;"",$I215,$J215)</x:f>
      </x:c>
      <x:c r="L215" s="82" t="str">
        <x:f>IF($B215="","",IFERROR(XLOOKUP($C215,MakerWorld_Verileri!$A:$A,MakerWorld_Verileri!$E:$E,""),""))</x:f>
      </x:c>
      <x:c r="M215" s="82" t="str"/>
      <x:c r="N215" s="82" t="str">
        <x:f>IF($L215&lt;&gt;"",$L215,$M215)</x:f>
      </x:c>
      <x:c r="O215" s="82" t="str">
        <x:f>IF($B215&lt;&gt;"",0,"")</x:f>
      </x:c>
      <x:c r="P215" s="75" t="str">
        <x:f>IF($B215&lt;&gt;"","Orta","")</x:f>
      </x:c>
      <x:c r="Q215" s="82" t="str">
        <x:f>IF($B215&lt;&gt;"",10,"")</x:f>
      </x:c>
      <x:c r="R215" s="83" t="str">
        <x:f>IF($B215&lt;&gt;"",Ayarlar!$B$10,"")</x:f>
      </x:c>
      <x:c r="S215" s="83" t="str">
        <x:f>IF($B215&lt;&gt;"",0,"")</x:f>
      </x:c>
      <x:c r="T215" s="83" t="n">
        <x:f>IFERROR(($K215+$O215)*XLOOKUP($G215,Ayarlar!$A$19:$A$28,Ayarlar!$C$19:$C$28,0)*(1+Ayarlar!$B$11),0)</x:f>
        <x:v>0</x:v>
      </x:c>
      <x:c r="U215" s="83" t="n">
        <x:f>IFERROR($N215/60*Ayarlar!$B$8,0)</x:f>
        <x:v>0</x:v>
      </x:c>
      <x:c r="V215" s="83" t="n">
        <x:f>IF($B215&lt;&gt;"",Ayarlar!$B$12+($Q215/60*Ayarlar!$B$9),0)</x:f>
        <x:v>0</x:v>
      </x:c>
      <x:c r="W215" s="83" t="n">
        <x:f>IF($B215&lt;&gt;"",SUM($T215:$V215,$R215:$S215),0)</x:f>
        <x:v>0</x:v>
      </x:c>
      <x:c r="X215" s="83" t="n">
        <x:f>IF($B215&lt;&gt;"",$W215*Ayarlar!$B$15,0)</x:f>
        <x:v>0</x:v>
      </x:c>
      <x:c r="Y215" s="83" t="n">
        <x:f>IF($B215&lt;&gt;"",($W215+$X215)*Ayarlar!$B$13,0)</x:f>
        <x:v>0</x:v>
      </x:c>
      <x:c r="Z215" s="83" t="n">
        <x:f>IF($B215&lt;&gt;"",($W215+$X215+$Y215)*Ayarlar!$B$14,0)</x:f>
        <x:v>0</x:v>
      </x:c>
      <x:c r="AA215" s="83" t="str">
        <x:f>IF($B215="","",IF(OR($K215="",$N215=""),"",CEILING($W215+$X215+$Y215+$Z215,Ayarlar!$B$16)))</x:f>
      </x:c>
      <x:c r="AB215" s="83" t="str">
        <x:f>IFERROR($AA215/$H215,"")</x:f>
      </x:c>
      <x:c r="AC215" s="75" t="str">
        <x:f>IF($B215="","",IF(OR($K215="",$N215=""),"Veri Eksik","Fiyat Hazır"))</x:f>
      </x:c>
      <x:c r="AD215" s="75" t="str">
        <x:f>IF($C215&lt;&gt;"","MW-"&amp;$C215,"")</x:f>
        <x:v>MW-80</x:v>
      </x:c>
      <x:c r="AE215" s="75" t="str">
        <x:f>IF($G215&lt;&gt;"","3D Baskı / "&amp;$G215,"3D Baskı")</x:f>
        <x:v>3D Baskı</x:v>
      </x:c>
      <x:c r="AF215" s="75" t="str">
        <x:f>IF($D215&lt;&gt;"",$D215&amp;" - "&amp;$G215,$AD215&amp;" - "&amp;$G215)</x:f>
        <x:v>MW-80 - </x:v>
      </x:c>
      <x:c r="AG215" s="75" t="str"/>
    </x:row>
    <x:row r="216">
      <x:c r="A216" s="75" t="str">
        <x:f>IF($B216&lt;&gt;"",ROW()-4,"")</x:f>
      </x:c>
      <x:c r="B216" s="75" t="str"/>
      <x:c r="C216" s="75" t="n">
        <x:f>IFERROR(LET(x,MID($B216,FIND("/models/",$B216)+8,80),y,LEFT(x,FIND("-",x&amp;"-")-1),LEFT(y,FIND("?",y&amp;"?")-1)),"")</x:f>
        <x:v>80</x:v>
      </x:c>
      <x:c r="D216" s="75" t="str">
        <x:f>IF($B216="","",IFERROR(XLOOKUP($C216,MakerWorld_Verileri!$A:$A,MakerWorld_Verileri!$B:$B,""),""))</x:f>
      </x:c>
      <x:c r="E216" s="75" t="str">
        <x:f>IF($B216="","",IFERROR(XLOOKUP($C216,MakerWorld_Verileri!$A:$A,MakerWorld_Verileri!$C:$C,""),""))</x:f>
      </x:c>
      <x:c r="F216" s="75" t="str"/>
      <x:c r="G216" s="75" t="str">
        <x:f>IF($B216&lt;&gt;"",Ayarlar!$B$7,"")</x:f>
      </x:c>
      <x:c r="H216" s="82" t="str">
        <x:f>IF($B216&lt;&gt;"",1,"")</x:f>
      </x:c>
      <x:c r="I216" s="82" t="str">
        <x:f>IF($B216="","",IFERROR(XLOOKUP($C216,MakerWorld_Verileri!$A:$A,MakerWorld_Verileri!$D:$D,""),""))</x:f>
      </x:c>
      <x:c r="J216" s="82" t="str"/>
      <x:c r="K216" s="82" t="str">
        <x:f>IF($I216&lt;&gt;"",$I216,$J216)</x:f>
      </x:c>
      <x:c r="L216" s="82" t="str">
        <x:f>IF($B216="","",IFERROR(XLOOKUP($C216,MakerWorld_Verileri!$A:$A,MakerWorld_Verileri!$E:$E,""),""))</x:f>
      </x:c>
      <x:c r="M216" s="82" t="str"/>
      <x:c r="N216" s="82" t="str">
        <x:f>IF($L216&lt;&gt;"",$L216,$M216)</x:f>
      </x:c>
      <x:c r="O216" s="82" t="str">
        <x:f>IF($B216&lt;&gt;"",0,"")</x:f>
      </x:c>
      <x:c r="P216" s="75" t="str">
        <x:f>IF($B216&lt;&gt;"","Orta","")</x:f>
      </x:c>
      <x:c r="Q216" s="82" t="str">
        <x:f>IF($B216&lt;&gt;"",10,"")</x:f>
      </x:c>
      <x:c r="R216" s="83" t="str">
        <x:f>IF($B216&lt;&gt;"",Ayarlar!$B$10,"")</x:f>
      </x:c>
      <x:c r="S216" s="83" t="str">
        <x:f>IF($B216&lt;&gt;"",0,"")</x:f>
      </x:c>
      <x:c r="T216" s="83" t="n">
        <x:f>IFERROR(($K216+$O216)*XLOOKUP($G216,Ayarlar!$A$19:$A$28,Ayarlar!$C$19:$C$28,0)*(1+Ayarlar!$B$11),0)</x:f>
        <x:v>0</x:v>
      </x:c>
      <x:c r="U216" s="83" t="n">
        <x:f>IFERROR($N216/60*Ayarlar!$B$8,0)</x:f>
        <x:v>0</x:v>
      </x:c>
      <x:c r="V216" s="83" t="n">
        <x:f>IF($B216&lt;&gt;"",Ayarlar!$B$12+($Q216/60*Ayarlar!$B$9),0)</x:f>
        <x:v>0</x:v>
      </x:c>
      <x:c r="W216" s="83" t="n">
        <x:f>IF($B216&lt;&gt;"",SUM($T216:$V216,$R216:$S216),0)</x:f>
        <x:v>0</x:v>
      </x:c>
      <x:c r="X216" s="83" t="n">
        <x:f>IF($B216&lt;&gt;"",$W216*Ayarlar!$B$15,0)</x:f>
        <x:v>0</x:v>
      </x:c>
      <x:c r="Y216" s="83" t="n">
        <x:f>IF($B216&lt;&gt;"",($W216+$X216)*Ayarlar!$B$13,0)</x:f>
        <x:v>0</x:v>
      </x:c>
      <x:c r="Z216" s="83" t="n">
        <x:f>IF($B216&lt;&gt;"",($W216+$X216+$Y216)*Ayarlar!$B$14,0)</x:f>
        <x:v>0</x:v>
      </x:c>
      <x:c r="AA216" s="83" t="str">
        <x:f>IF($B216="","",IF(OR($K216="",$N216=""),"",CEILING($W216+$X216+$Y216+$Z216,Ayarlar!$B$16)))</x:f>
      </x:c>
      <x:c r="AB216" s="83" t="str">
        <x:f>IFERROR($AA216/$H216,"")</x:f>
      </x:c>
      <x:c r="AC216" s="75" t="str">
        <x:f>IF($B216="","",IF(OR($K216="",$N216=""),"Veri Eksik","Fiyat Hazır"))</x:f>
      </x:c>
      <x:c r="AD216" s="75" t="str">
        <x:f>IF($C216&lt;&gt;"","MW-"&amp;$C216,"")</x:f>
        <x:v>MW-80</x:v>
      </x:c>
      <x:c r="AE216" s="75" t="str">
        <x:f>IF($G216&lt;&gt;"","3D Baskı / "&amp;$G216,"3D Baskı")</x:f>
        <x:v>3D Baskı</x:v>
      </x:c>
      <x:c r="AF216" s="75" t="str">
        <x:f>IF($D216&lt;&gt;"",$D216&amp;" - "&amp;$G216,$AD216&amp;" - "&amp;$G216)</x:f>
        <x:v>MW-80 - </x:v>
      </x:c>
      <x:c r="AG216" s="75" t="str"/>
    </x:row>
    <x:row r="217">
      <x:c r="A217" s="75" t="str">
        <x:f>IF($B217&lt;&gt;"",ROW()-4,"")</x:f>
      </x:c>
      <x:c r="B217" s="75" t="str"/>
      <x:c r="C217" s="75" t="n">
        <x:f>IFERROR(LET(x,MID($B217,FIND("/models/",$B217)+8,80),y,LEFT(x,FIND("-",x&amp;"-")-1),LEFT(y,FIND("?",y&amp;"?")-1)),"")</x:f>
        <x:v>80</x:v>
      </x:c>
      <x:c r="D217" s="75" t="str">
        <x:f>IF($B217="","",IFERROR(XLOOKUP($C217,MakerWorld_Verileri!$A:$A,MakerWorld_Verileri!$B:$B,""),""))</x:f>
      </x:c>
      <x:c r="E217" s="75" t="str">
        <x:f>IF($B217="","",IFERROR(XLOOKUP($C217,MakerWorld_Verileri!$A:$A,MakerWorld_Verileri!$C:$C,""),""))</x:f>
      </x:c>
      <x:c r="F217" s="75" t="str"/>
      <x:c r="G217" s="75" t="str">
        <x:f>IF($B217&lt;&gt;"",Ayarlar!$B$7,"")</x:f>
      </x:c>
      <x:c r="H217" s="82" t="str">
        <x:f>IF($B217&lt;&gt;"",1,"")</x:f>
      </x:c>
      <x:c r="I217" s="82" t="str">
        <x:f>IF($B217="","",IFERROR(XLOOKUP($C217,MakerWorld_Verileri!$A:$A,MakerWorld_Verileri!$D:$D,""),""))</x:f>
      </x:c>
      <x:c r="J217" s="82" t="str"/>
      <x:c r="K217" s="82" t="str">
        <x:f>IF($I217&lt;&gt;"",$I217,$J217)</x:f>
      </x:c>
      <x:c r="L217" s="82" t="str">
        <x:f>IF($B217="","",IFERROR(XLOOKUP($C217,MakerWorld_Verileri!$A:$A,MakerWorld_Verileri!$E:$E,""),""))</x:f>
      </x:c>
      <x:c r="M217" s="82" t="str"/>
      <x:c r="N217" s="82" t="str">
        <x:f>IF($L217&lt;&gt;"",$L217,$M217)</x:f>
      </x:c>
      <x:c r="O217" s="82" t="str">
        <x:f>IF($B217&lt;&gt;"",0,"")</x:f>
      </x:c>
      <x:c r="P217" s="75" t="str">
        <x:f>IF($B217&lt;&gt;"","Orta","")</x:f>
      </x:c>
      <x:c r="Q217" s="82" t="str">
        <x:f>IF($B217&lt;&gt;"",10,"")</x:f>
      </x:c>
      <x:c r="R217" s="83" t="str">
        <x:f>IF($B217&lt;&gt;"",Ayarlar!$B$10,"")</x:f>
      </x:c>
      <x:c r="S217" s="83" t="str">
        <x:f>IF($B217&lt;&gt;"",0,"")</x:f>
      </x:c>
      <x:c r="T217" s="83" t="n">
        <x:f>IFERROR(($K217+$O217)*XLOOKUP($G217,Ayarlar!$A$19:$A$28,Ayarlar!$C$19:$C$28,0)*(1+Ayarlar!$B$11),0)</x:f>
        <x:v>0</x:v>
      </x:c>
      <x:c r="U217" s="83" t="n">
        <x:f>IFERROR($N217/60*Ayarlar!$B$8,0)</x:f>
        <x:v>0</x:v>
      </x:c>
      <x:c r="V217" s="83" t="n">
        <x:f>IF($B217&lt;&gt;"",Ayarlar!$B$12+($Q217/60*Ayarlar!$B$9),0)</x:f>
        <x:v>0</x:v>
      </x:c>
      <x:c r="W217" s="83" t="n">
        <x:f>IF($B217&lt;&gt;"",SUM($T217:$V217,$R217:$S217),0)</x:f>
        <x:v>0</x:v>
      </x:c>
      <x:c r="X217" s="83" t="n">
        <x:f>IF($B217&lt;&gt;"",$W217*Ayarlar!$B$15,0)</x:f>
        <x:v>0</x:v>
      </x:c>
      <x:c r="Y217" s="83" t="n">
        <x:f>IF($B217&lt;&gt;"",($W217+$X217)*Ayarlar!$B$13,0)</x:f>
        <x:v>0</x:v>
      </x:c>
      <x:c r="Z217" s="83" t="n">
        <x:f>IF($B217&lt;&gt;"",($W217+$X217+$Y217)*Ayarlar!$B$14,0)</x:f>
        <x:v>0</x:v>
      </x:c>
      <x:c r="AA217" s="83" t="str">
        <x:f>IF($B217="","",IF(OR($K217="",$N217=""),"",CEILING($W217+$X217+$Y217+$Z217,Ayarlar!$B$16)))</x:f>
      </x:c>
      <x:c r="AB217" s="83" t="str">
        <x:f>IFERROR($AA217/$H217,"")</x:f>
      </x:c>
      <x:c r="AC217" s="75" t="str">
        <x:f>IF($B217="","",IF(OR($K217="",$N217=""),"Veri Eksik","Fiyat Hazır"))</x:f>
      </x:c>
      <x:c r="AD217" s="75" t="str">
        <x:f>IF($C217&lt;&gt;"","MW-"&amp;$C217,"")</x:f>
        <x:v>MW-80</x:v>
      </x:c>
      <x:c r="AE217" s="75" t="str">
        <x:f>IF($G217&lt;&gt;"","3D Baskı / "&amp;$G217,"3D Baskı")</x:f>
        <x:v>3D Baskı</x:v>
      </x:c>
      <x:c r="AF217" s="75" t="str">
        <x:f>IF($D217&lt;&gt;"",$D217&amp;" - "&amp;$G217,$AD217&amp;" - "&amp;$G217)</x:f>
        <x:v>MW-80 - </x:v>
      </x:c>
      <x:c r="AG217" s="75" t="str"/>
    </x:row>
    <x:row r="218">
      <x:c r="A218" s="75" t="str">
        <x:f>IF($B218&lt;&gt;"",ROW()-4,"")</x:f>
      </x:c>
      <x:c r="B218" s="75" t="str"/>
      <x:c r="C218" s="75" t="n">
        <x:f>IFERROR(LET(x,MID($B218,FIND("/models/",$B218)+8,80),y,LEFT(x,FIND("-",x&amp;"-")-1),LEFT(y,FIND("?",y&amp;"?")-1)),"")</x:f>
        <x:v>80</x:v>
      </x:c>
      <x:c r="D218" s="75" t="str">
        <x:f>IF($B218="","",IFERROR(XLOOKUP($C218,MakerWorld_Verileri!$A:$A,MakerWorld_Verileri!$B:$B,""),""))</x:f>
      </x:c>
      <x:c r="E218" s="75" t="str">
        <x:f>IF($B218="","",IFERROR(XLOOKUP($C218,MakerWorld_Verileri!$A:$A,MakerWorld_Verileri!$C:$C,""),""))</x:f>
      </x:c>
      <x:c r="F218" s="75" t="str"/>
      <x:c r="G218" s="75" t="str">
        <x:f>IF($B218&lt;&gt;"",Ayarlar!$B$7,"")</x:f>
      </x:c>
      <x:c r="H218" s="82" t="str">
        <x:f>IF($B218&lt;&gt;"",1,"")</x:f>
      </x:c>
      <x:c r="I218" s="82" t="str">
        <x:f>IF($B218="","",IFERROR(XLOOKUP($C218,MakerWorld_Verileri!$A:$A,MakerWorld_Verileri!$D:$D,""),""))</x:f>
      </x:c>
      <x:c r="J218" s="82" t="str"/>
      <x:c r="K218" s="82" t="str">
        <x:f>IF($I218&lt;&gt;"",$I218,$J218)</x:f>
      </x:c>
      <x:c r="L218" s="82" t="str">
        <x:f>IF($B218="","",IFERROR(XLOOKUP($C218,MakerWorld_Verileri!$A:$A,MakerWorld_Verileri!$E:$E,""),""))</x:f>
      </x:c>
      <x:c r="M218" s="82" t="str"/>
      <x:c r="N218" s="82" t="str">
        <x:f>IF($L218&lt;&gt;"",$L218,$M218)</x:f>
      </x:c>
      <x:c r="O218" s="82" t="str">
        <x:f>IF($B218&lt;&gt;"",0,"")</x:f>
      </x:c>
      <x:c r="P218" s="75" t="str">
        <x:f>IF($B218&lt;&gt;"","Orta","")</x:f>
      </x:c>
      <x:c r="Q218" s="82" t="str">
        <x:f>IF($B218&lt;&gt;"",10,"")</x:f>
      </x:c>
      <x:c r="R218" s="83" t="str">
        <x:f>IF($B218&lt;&gt;"",Ayarlar!$B$10,"")</x:f>
      </x:c>
      <x:c r="S218" s="83" t="str">
        <x:f>IF($B218&lt;&gt;"",0,"")</x:f>
      </x:c>
      <x:c r="T218" s="83" t="n">
        <x:f>IFERROR(($K218+$O218)*XLOOKUP($G218,Ayarlar!$A$19:$A$28,Ayarlar!$C$19:$C$28,0)*(1+Ayarlar!$B$11),0)</x:f>
        <x:v>0</x:v>
      </x:c>
      <x:c r="U218" s="83" t="n">
        <x:f>IFERROR($N218/60*Ayarlar!$B$8,0)</x:f>
        <x:v>0</x:v>
      </x:c>
      <x:c r="V218" s="83" t="n">
        <x:f>IF($B218&lt;&gt;"",Ayarlar!$B$12+($Q218/60*Ayarlar!$B$9),0)</x:f>
        <x:v>0</x:v>
      </x:c>
      <x:c r="W218" s="83" t="n">
        <x:f>IF($B218&lt;&gt;"",SUM($T218:$V218,$R218:$S218),0)</x:f>
        <x:v>0</x:v>
      </x:c>
      <x:c r="X218" s="83" t="n">
        <x:f>IF($B218&lt;&gt;"",$W218*Ayarlar!$B$15,0)</x:f>
        <x:v>0</x:v>
      </x:c>
      <x:c r="Y218" s="83" t="n">
        <x:f>IF($B218&lt;&gt;"",($W218+$X218)*Ayarlar!$B$13,0)</x:f>
        <x:v>0</x:v>
      </x:c>
      <x:c r="Z218" s="83" t="n">
        <x:f>IF($B218&lt;&gt;"",($W218+$X218+$Y218)*Ayarlar!$B$14,0)</x:f>
        <x:v>0</x:v>
      </x:c>
      <x:c r="AA218" s="83" t="str">
        <x:f>IF($B218="","",IF(OR($K218="",$N218=""),"",CEILING($W218+$X218+$Y218+$Z218,Ayarlar!$B$16)))</x:f>
      </x:c>
      <x:c r="AB218" s="83" t="str">
        <x:f>IFERROR($AA218/$H218,"")</x:f>
      </x:c>
      <x:c r="AC218" s="75" t="str">
        <x:f>IF($B218="","",IF(OR($K218="",$N218=""),"Veri Eksik","Fiyat Hazır"))</x:f>
      </x:c>
      <x:c r="AD218" s="75" t="str">
        <x:f>IF($C218&lt;&gt;"","MW-"&amp;$C218,"")</x:f>
        <x:v>MW-80</x:v>
      </x:c>
      <x:c r="AE218" s="75" t="str">
        <x:f>IF($G218&lt;&gt;"","3D Baskı / "&amp;$G218,"3D Baskı")</x:f>
        <x:v>3D Baskı</x:v>
      </x:c>
      <x:c r="AF218" s="75" t="str">
        <x:f>IF($D218&lt;&gt;"",$D218&amp;" - "&amp;$G218,$AD218&amp;" - "&amp;$G218)</x:f>
        <x:v>MW-80 - </x:v>
      </x:c>
      <x:c r="AG218" s="75" t="str"/>
    </x:row>
    <x:row r="219">
      <x:c r="A219" s="75" t="str">
        <x:f>IF($B219&lt;&gt;"",ROW()-4,"")</x:f>
      </x:c>
      <x:c r="B219" s="75" t="str"/>
      <x:c r="C219" s="75" t="n">
        <x:f>IFERROR(LET(x,MID($B219,FIND("/models/",$B219)+8,80),y,LEFT(x,FIND("-",x&amp;"-")-1),LEFT(y,FIND("?",y&amp;"?")-1)),"")</x:f>
        <x:v>80</x:v>
      </x:c>
      <x:c r="D219" s="75" t="str">
        <x:f>IF($B219="","",IFERROR(XLOOKUP($C219,MakerWorld_Verileri!$A:$A,MakerWorld_Verileri!$B:$B,""),""))</x:f>
      </x:c>
      <x:c r="E219" s="75" t="str">
        <x:f>IF($B219="","",IFERROR(XLOOKUP($C219,MakerWorld_Verileri!$A:$A,MakerWorld_Verileri!$C:$C,""),""))</x:f>
      </x:c>
      <x:c r="F219" s="75" t="str"/>
      <x:c r="G219" s="75" t="str">
        <x:f>IF($B219&lt;&gt;"",Ayarlar!$B$7,"")</x:f>
      </x:c>
      <x:c r="H219" s="82" t="str">
        <x:f>IF($B219&lt;&gt;"",1,"")</x:f>
      </x:c>
      <x:c r="I219" s="82" t="str">
        <x:f>IF($B219="","",IFERROR(XLOOKUP($C219,MakerWorld_Verileri!$A:$A,MakerWorld_Verileri!$D:$D,""),""))</x:f>
      </x:c>
      <x:c r="J219" s="82" t="str"/>
      <x:c r="K219" s="82" t="str">
        <x:f>IF($I219&lt;&gt;"",$I219,$J219)</x:f>
      </x:c>
      <x:c r="L219" s="82" t="str">
        <x:f>IF($B219="","",IFERROR(XLOOKUP($C219,MakerWorld_Verileri!$A:$A,MakerWorld_Verileri!$E:$E,""),""))</x:f>
      </x:c>
      <x:c r="M219" s="82" t="str"/>
      <x:c r="N219" s="82" t="str">
        <x:f>IF($L219&lt;&gt;"",$L219,$M219)</x:f>
      </x:c>
      <x:c r="O219" s="82" t="str">
        <x:f>IF($B219&lt;&gt;"",0,"")</x:f>
      </x:c>
      <x:c r="P219" s="75" t="str">
        <x:f>IF($B219&lt;&gt;"","Orta","")</x:f>
      </x:c>
      <x:c r="Q219" s="82" t="str">
        <x:f>IF($B219&lt;&gt;"",10,"")</x:f>
      </x:c>
      <x:c r="R219" s="83" t="str">
        <x:f>IF($B219&lt;&gt;"",Ayarlar!$B$10,"")</x:f>
      </x:c>
      <x:c r="S219" s="83" t="str">
        <x:f>IF($B219&lt;&gt;"",0,"")</x:f>
      </x:c>
      <x:c r="T219" s="83" t="n">
        <x:f>IFERROR(($K219+$O219)*XLOOKUP($G219,Ayarlar!$A$19:$A$28,Ayarlar!$C$19:$C$28,0)*(1+Ayarlar!$B$11),0)</x:f>
        <x:v>0</x:v>
      </x:c>
      <x:c r="U219" s="83" t="n">
        <x:f>IFERROR($N219/60*Ayarlar!$B$8,0)</x:f>
        <x:v>0</x:v>
      </x:c>
      <x:c r="V219" s="83" t="n">
        <x:f>IF($B219&lt;&gt;"",Ayarlar!$B$12+($Q219/60*Ayarlar!$B$9),0)</x:f>
        <x:v>0</x:v>
      </x:c>
      <x:c r="W219" s="83" t="n">
        <x:f>IF($B219&lt;&gt;"",SUM($T219:$V219,$R219:$S219),0)</x:f>
        <x:v>0</x:v>
      </x:c>
      <x:c r="X219" s="83" t="n">
        <x:f>IF($B219&lt;&gt;"",$W219*Ayarlar!$B$15,0)</x:f>
        <x:v>0</x:v>
      </x:c>
      <x:c r="Y219" s="83" t="n">
        <x:f>IF($B219&lt;&gt;"",($W219+$X219)*Ayarlar!$B$13,0)</x:f>
        <x:v>0</x:v>
      </x:c>
      <x:c r="Z219" s="83" t="n">
        <x:f>IF($B219&lt;&gt;"",($W219+$X219+$Y219)*Ayarlar!$B$14,0)</x:f>
        <x:v>0</x:v>
      </x:c>
      <x:c r="AA219" s="83" t="str">
        <x:f>IF($B219="","",IF(OR($K219="",$N219=""),"",CEILING($W219+$X219+$Y219+$Z219,Ayarlar!$B$16)))</x:f>
      </x:c>
      <x:c r="AB219" s="83" t="str">
        <x:f>IFERROR($AA219/$H219,"")</x:f>
      </x:c>
      <x:c r="AC219" s="75" t="str">
        <x:f>IF($B219="","",IF(OR($K219="",$N219=""),"Veri Eksik","Fiyat Hazır"))</x:f>
      </x:c>
      <x:c r="AD219" s="75" t="str">
        <x:f>IF($C219&lt;&gt;"","MW-"&amp;$C219,"")</x:f>
        <x:v>MW-80</x:v>
      </x:c>
      <x:c r="AE219" s="75" t="str">
        <x:f>IF($G219&lt;&gt;"","3D Baskı / "&amp;$G219,"3D Baskı")</x:f>
        <x:v>3D Baskı</x:v>
      </x:c>
      <x:c r="AF219" s="75" t="str">
        <x:f>IF($D219&lt;&gt;"",$D219&amp;" - "&amp;$G219,$AD219&amp;" - "&amp;$G219)</x:f>
        <x:v>MW-80 - </x:v>
      </x:c>
      <x:c r="AG219" s="75" t="str"/>
    </x:row>
    <x:row r="220">
      <x:c r="A220" s="75" t="str">
        <x:f>IF($B220&lt;&gt;"",ROW()-4,"")</x:f>
      </x:c>
      <x:c r="B220" s="75" t="str"/>
      <x:c r="C220" s="75" t="n">
        <x:f>IFERROR(LET(x,MID($B220,FIND("/models/",$B220)+8,80),y,LEFT(x,FIND("-",x&amp;"-")-1),LEFT(y,FIND("?",y&amp;"?")-1)),"")</x:f>
        <x:v>80</x:v>
      </x:c>
      <x:c r="D220" s="75" t="str">
        <x:f>IF($B220="","",IFERROR(XLOOKUP($C220,MakerWorld_Verileri!$A:$A,MakerWorld_Verileri!$B:$B,""),""))</x:f>
      </x:c>
      <x:c r="E220" s="75" t="str">
        <x:f>IF($B220="","",IFERROR(XLOOKUP($C220,MakerWorld_Verileri!$A:$A,MakerWorld_Verileri!$C:$C,""),""))</x:f>
      </x:c>
      <x:c r="F220" s="75" t="str"/>
      <x:c r="G220" s="75" t="str">
        <x:f>IF($B220&lt;&gt;"",Ayarlar!$B$7,"")</x:f>
      </x:c>
      <x:c r="H220" s="82" t="str">
        <x:f>IF($B220&lt;&gt;"",1,"")</x:f>
      </x:c>
      <x:c r="I220" s="82" t="str">
        <x:f>IF($B220="","",IFERROR(XLOOKUP($C220,MakerWorld_Verileri!$A:$A,MakerWorld_Verileri!$D:$D,""),""))</x:f>
      </x:c>
      <x:c r="J220" s="82" t="str"/>
      <x:c r="K220" s="82" t="str">
        <x:f>IF($I220&lt;&gt;"",$I220,$J220)</x:f>
      </x:c>
      <x:c r="L220" s="82" t="str">
        <x:f>IF($B220="","",IFERROR(XLOOKUP($C220,MakerWorld_Verileri!$A:$A,MakerWorld_Verileri!$E:$E,""),""))</x:f>
      </x:c>
      <x:c r="M220" s="82" t="str"/>
      <x:c r="N220" s="82" t="str">
        <x:f>IF($L220&lt;&gt;"",$L220,$M220)</x:f>
      </x:c>
      <x:c r="O220" s="82" t="str">
        <x:f>IF($B220&lt;&gt;"",0,"")</x:f>
      </x:c>
      <x:c r="P220" s="75" t="str">
        <x:f>IF($B220&lt;&gt;"","Orta","")</x:f>
      </x:c>
      <x:c r="Q220" s="82" t="str">
        <x:f>IF($B220&lt;&gt;"",10,"")</x:f>
      </x:c>
      <x:c r="R220" s="83" t="str">
        <x:f>IF($B220&lt;&gt;"",Ayarlar!$B$10,"")</x:f>
      </x:c>
      <x:c r="S220" s="83" t="str">
        <x:f>IF($B220&lt;&gt;"",0,"")</x:f>
      </x:c>
      <x:c r="T220" s="83" t="n">
        <x:f>IFERROR(($K220+$O220)*XLOOKUP($G220,Ayarlar!$A$19:$A$28,Ayarlar!$C$19:$C$28,0)*(1+Ayarlar!$B$11),0)</x:f>
        <x:v>0</x:v>
      </x:c>
      <x:c r="U220" s="83" t="n">
        <x:f>IFERROR($N220/60*Ayarlar!$B$8,0)</x:f>
        <x:v>0</x:v>
      </x:c>
      <x:c r="V220" s="83" t="n">
        <x:f>IF($B220&lt;&gt;"",Ayarlar!$B$12+($Q220/60*Ayarlar!$B$9),0)</x:f>
        <x:v>0</x:v>
      </x:c>
      <x:c r="W220" s="83" t="n">
        <x:f>IF($B220&lt;&gt;"",SUM($T220:$V220,$R220:$S220),0)</x:f>
        <x:v>0</x:v>
      </x:c>
      <x:c r="X220" s="83" t="n">
        <x:f>IF($B220&lt;&gt;"",$W220*Ayarlar!$B$15,0)</x:f>
        <x:v>0</x:v>
      </x:c>
      <x:c r="Y220" s="83" t="n">
        <x:f>IF($B220&lt;&gt;"",($W220+$X220)*Ayarlar!$B$13,0)</x:f>
        <x:v>0</x:v>
      </x:c>
      <x:c r="Z220" s="83" t="n">
        <x:f>IF($B220&lt;&gt;"",($W220+$X220+$Y220)*Ayarlar!$B$14,0)</x:f>
        <x:v>0</x:v>
      </x:c>
      <x:c r="AA220" s="83" t="str">
        <x:f>IF($B220="","",IF(OR($K220="",$N220=""),"",CEILING($W220+$X220+$Y220+$Z220,Ayarlar!$B$16)))</x:f>
      </x:c>
      <x:c r="AB220" s="83" t="str">
        <x:f>IFERROR($AA220/$H220,"")</x:f>
      </x:c>
      <x:c r="AC220" s="75" t="str">
        <x:f>IF($B220="","",IF(OR($K220="",$N220=""),"Veri Eksik","Fiyat Hazır"))</x:f>
      </x:c>
      <x:c r="AD220" s="75" t="str">
        <x:f>IF($C220&lt;&gt;"","MW-"&amp;$C220,"")</x:f>
        <x:v>MW-80</x:v>
      </x:c>
      <x:c r="AE220" s="75" t="str">
        <x:f>IF($G220&lt;&gt;"","3D Baskı / "&amp;$G220,"3D Baskı")</x:f>
        <x:v>3D Baskı</x:v>
      </x:c>
      <x:c r="AF220" s="75" t="str">
        <x:f>IF($D220&lt;&gt;"",$D220&amp;" - "&amp;$G220,$AD220&amp;" - "&amp;$G220)</x:f>
        <x:v>MW-80 - </x:v>
      </x:c>
      <x:c r="AG220" s="75" t="str"/>
    </x:row>
    <x:row r="221">
      <x:c r="A221" s="75" t="str">
        <x:f>IF($B221&lt;&gt;"",ROW()-4,"")</x:f>
      </x:c>
      <x:c r="B221" s="75" t="str"/>
      <x:c r="C221" s="75" t="n">
        <x:f>IFERROR(LET(x,MID($B221,FIND("/models/",$B221)+8,80),y,LEFT(x,FIND("-",x&amp;"-")-1),LEFT(y,FIND("?",y&amp;"?")-1)),"")</x:f>
        <x:v>80</x:v>
      </x:c>
      <x:c r="D221" s="75" t="str">
        <x:f>IF($B221="","",IFERROR(XLOOKUP($C221,MakerWorld_Verileri!$A:$A,MakerWorld_Verileri!$B:$B,""),""))</x:f>
      </x:c>
      <x:c r="E221" s="75" t="str">
        <x:f>IF($B221="","",IFERROR(XLOOKUP($C221,MakerWorld_Verileri!$A:$A,MakerWorld_Verileri!$C:$C,""),""))</x:f>
      </x:c>
      <x:c r="F221" s="75" t="str"/>
      <x:c r="G221" s="75" t="str">
        <x:f>IF($B221&lt;&gt;"",Ayarlar!$B$7,"")</x:f>
      </x:c>
      <x:c r="H221" s="82" t="str">
        <x:f>IF($B221&lt;&gt;"",1,"")</x:f>
      </x:c>
      <x:c r="I221" s="82" t="str">
        <x:f>IF($B221="","",IFERROR(XLOOKUP($C221,MakerWorld_Verileri!$A:$A,MakerWorld_Verileri!$D:$D,""),""))</x:f>
      </x:c>
      <x:c r="J221" s="82" t="str"/>
      <x:c r="K221" s="82" t="str">
        <x:f>IF($I221&lt;&gt;"",$I221,$J221)</x:f>
      </x:c>
      <x:c r="L221" s="82" t="str">
        <x:f>IF($B221="","",IFERROR(XLOOKUP($C221,MakerWorld_Verileri!$A:$A,MakerWorld_Verileri!$E:$E,""),""))</x:f>
      </x:c>
      <x:c r="M221" s="82" t="str"/>
      <x:c r="N221" s="82" t="str">
        <x:f>IF($L221&lt;&gt;"",$L221,$M221)</x:f>
      </x:c>
      <x:c r="O221" s="82" t="str">
        <x:f>IF($B221&lt;&gt;"",0,"")</x:f>
      </x:c>
      <x:c r="P221" s="75" t="str">
        <x:f>IF($B221&lt;&gt;"","Orta","")</x:f>
      </x:c>
      <x:c r="Q221" s="82" t="str">
        <x:f>IF($B221&lt;&gt;"",10,"")</x:f>
      </x:c>
      <x:c r="R221" s="83" t="str">
        <x:f>IF($B221&lt;&gt;"",Ayarlar!$B$10,"")</x:f>
      </x:c>
      <x:c r="S221" s="83" t="str">
        <x:f>IF($B221&lt;&gt;"",0,"")</x:f>
      </x:c>
      <x:c r="T221" s="83" t="n">
        <x:f>IFERROR(($K221+$O221)*XLOOKUP($G221,Ayarlar!$A$19:$A$28,Ayarlar!$C$19:$C$28,0)*(1+Ayarlar!$B$11),0)</x:f>
        <x:v>0</x:v>
      </x:c>
      <x:c r="U221" s="83" t="n">
        <x:f>IFERROR($N221/60*Ayarlar!$B$8,0)</x:f>
        <x:v>0</x:v>
      </x:c>
      <x:c r="V221" s="83" t="n">
        <x:f>IF($B221&lt;&gt;"",Ayarlar!$B$12+($Q221/60*Ayarlar!$B$9),0)</x:f>
        <x:v>0</x:v>
      </x:c>
      <x:c r="W221" s="83" t="n">
        <x:f>IF($B221&lt;&gt;"",SUM($T221:$V221,$R221:$S221),0)</x:f>
        <x:v>0</x:v>
      </x:c>
      <x:c r="X221" s="83" t="n">
        <x:f>IF($B221&lt;&gt;"",$W221*Ayarlar!$B$15,0)</x:f>
        <x:v>0</x:v>
      </x:c>
      <x:c r="Y221" s="83" t="n">
        <x:f>IF($B221&lt;&gt;"",($W221+$X221)*Ayarlar!$B$13,0)</x:f>
        <x:v>0</x:v>
      </x:c>
      <x:c r="Z221" s="83" t="n">
        <x:f>IF($B221&lt;&gt;"",($W221+$X221+$Y221)*Ayarlar!$B$14,0)</x:f>
        <x:v>0</x:v>
      </x:c>
      <x:c r="AA221" s="83" t="str">
        <x:f>IF($B221="","",IF(OR($K221="",$N221=""),"",CEILING($W221+$X221+$Y221+$Z221,Ayarlar!$B$16)))</x:f>
      </x:c>
      <x:c r="AB221" s="83" t="str">
        <x:f>IFERROR($AA221/$H221,"")</x:f>
      </x:c>
      <x:c r="AC221" s="75" t="str">
        <x:f>IF($B221="","",IF(OR($K221="",$N221=""),"Veri Eksik","Fiyat Hazır"))</x:f>
      </x:c>
      <x:c r="AD221" s="75" t="str">
        <x:f>IF($C221&lt;&gt;"","MW-"&amp;$C221,"")</x:f>
        <x:v>MW-80</x:v>
      </x:c>
      <x:c r="AE221" s="75" t="str">
        <x:f>IF($G221&lt;&gt;"","3D Baskı / "&amp;$G221,"3D Baskı")</x:f>
        <x:v>3D Baskı</x:v>
      </x:c>
      <x:c r="AF221" s="75" t="str">
        <x:f>IF($D221&lt;&gt;"",$D221&amp;" - "&amp;$G221,$AD221&amp;" - "&amp;$G221)</x:f>
        <x:v>MW-80 - </x:v>
      </x:c>
      <x:c r="AG221" s="75" t="str"/>
    </x:row>
    <x:row r="222">
      <x:c r="A222" s="75" t="str">
        <x:f>IF($B222&lt;&gt;"",ROW()-4,"")</x:f>
      </x:c>
      <x:c r="B222" s="75" t="str"/>
      <x:c r="C222" s="75" t="n">
        <x:f>IFERROR(LET(x,MID($B222,FIND("/models/",$B222)+8,80),y,LEFT(x,FIND("-",x&amp;"-")-1),LEFT(y,FIND("?",y&amp;"?")-1)),"")</x:f>
        <x:v>80</x:v>
      </x:c>
      <x:c r="D222" s="75" t="str">
        <x:f>IF($B222="","",IFERROR(XLOOKUP($C222,MakerWorld_Verileri!$A:$A,MakerWorld_Verileri!$B:$B,""),""))</x:f>
      </x:c>
      <x:c r="E222" s="75" t="str">
        <x:f>IF($B222="","",IFERROR(XLOOKUP($C222,MakerWorld_Verileri!$A:$A,MakerWorld_Verileri!$C:$C,""),""))</x:f>
      </x:c>
      <x:c r="F222" s="75" t="str"/>
      <x:c r="G222" s="75" t="str">
        <x:f>IF($B222&lt;&gt;"",Ayarlar!$B$7,"")</x:f>
      </x:c>
      <x:c r="H222" s="82" t="str">
        <x:f>IF($B222&lt;&gt;"",1,"")</x:f>
      </x:c>
      <x:c r="I222" s="82" t="str">
        <x:f>IF($B222="","",IFERROR(XLOOKUP($C222,MakerWorld_Verileri!$A:$A,MakerWorld_Verileri!$D:$D,""),""))</x:f>
      </x:c>
      <x:c r="J222" s="82" t="str"/>
      <x:c r="K222" s="82" t="str">
        <x:f>IF($I222&lt;&gt;"",$I222,$J222)</x:f>
      </x:c>
      <x:c r="L222" s="82" t="str">
        <x:f>IF($B222="","",IFERROR(XLOOKUP($C222,MakerWorld_Verileri!$A:$A,MakerWorld_Verileri!$E:$E,""),""))</x:f>
      </x:c>
      <x:c r="M222" s="82" t="str"/>
      <x:c r="N222" s="82" t="str">
        <x:f>IF($L222&lt;&gt;"",$L222,$M222)</x:f>
      </x:c>
      <x:c r="O222" s="82" t="str">
        <x:f>IF($B222&lt;&gt;"",0,"")</x:f>
      </x:c>
      <x:c r="P222" s="75" t="str">
        <x:f>IF($B222&lt;&gt;"","Orta","")</x:f>
      </x:c>
      <x:c r="Q222" s="82" t="str">
        <x:f>IF($B222&lt;&gt;"",10,"")</x:f>
      </x:c>
      <x:c r="R222" s="83" t="str">
        <x:f>IF($B222&lt;&gt;"",Ayarlar!$B$10,"")</x:f>
      </x:c>
      <x:c r="S222" s="83" t="str">
        <x:f>IF($B222&lt;&gt;"",0,"")</x:f>
      </x:c>
      <x:c r="T222" s="83" t="n">
        <x:f>IFERROR(($K222+$O222)*XLOOKUP($G222,Ayarlar!$A$19:$A$28,Ayarlar!$C$19:$C$28,0)*(1+Ayarlar!$B$11),0)</x:f>
        <x:v>0</x:v>
      </x:c>
      <x:c r="U222" s="83" t="n">
        <x:f>IFERROR($N222/60*Ayarlar!$B$8,0)</x:f>
        <x:v>0</x:v>
      </x:c>
      <x:c r="V222" s="83" t="n">
        <x:f>IF($B222&lt;&gt;"",Ayarlar!$B$12+($Q222/60*Ayarlar!$B$9),0)</x:f>
        <x:v>0</x:v>
      </x:c>
      <x:c r="W222" s="83" t="n">
        <x:f>IF($B222&lt;&gt;"",SUM($T222:$V222,$R222:$S222),0)</x:f>
        <x:v>0</x:v>
      </x:c>
      <x:c r="X222" s="83" t="n">
        <x:f>IF($B222&lt;&gt;"",$W222*Ayarlar!$B$15,0)</x:f>
        <x:v>0</x:v>
      </x:c>
      <x:c r="Y222" s="83" t="n">
        <x:f>IF($B222&lt;&gt;"",($W222+$X222)*Ayarlar!$B$13,0)</x:f>
        <x:v>0</x:v>
      </x:c>
      <x:c r="Z222" s="83" t="n">
        <x:f>IF($B222&lt;&gt;"",($W222+$X222+$Y222)*Ayarlar!$B$14,0)</x:f>
        <x:v>0</x:v>
      </x:c>
      <x:c r="AA222" s="83" t="str">
        <x:f>IF($B222="","",IF(OR($K222="",$N222=""),"",CEILING($W222+$X222+$Y222+$Z222,Ayarlar!$B$16)))</x:f>
      </x:c>
      <x:c r="AB222" s="83" t="str">
        <x:f>IFERROR($AA222/$H222,"")</x:f>
      </x:c>
      <x:c r="AC222" s="75" t="str">
        <x:f>IF($B222="","",IF(OR($K222="",$N222=""),"Veri Eksik","Fiyat Hazır"))</x:f>
      </x:c>
      <x:c r="AD222" s="75" t="str">
        <x:f>IF($C222&lt;&gt;"","MW-"&amp;$C222,"")</x:f>
        <x:v>MW-80</x:v>
      </x:c>
      <x:c r="AE222" s="75" t="str">
        <x:f>IF($G222&lt;&gt;"","3D Baskı / "&amp;$G222,"3D Baskı")</x:f>
        <x:v>3D Baskı</x:v>
      </x:c>
      <x:c r="AF222" s="75" t="str">
        <x:f>IF($D222&lt;&gt;"",$D222&amp;" - "&amp;$G222,$AD222&amp;" - "&amp;$G222)</x:f>
        <x:v>MW-80 - </x:v>
      </x:c>
      <x:c r="AG222" s="75" t="str"/>
    </x:row>
    <x:row r="223">
      <x:c r="A223" s="75" t="str">
        <x:f>IF($B223&lt;&gt;"",ROW()-4,"")</x:f>
      </x:c>
      <x:c r="B223" s="75" t="str"/>
      <x:c r="C223" s="75" t="n">
        <x:f>IFERROR(LET(x,MID($B223,FIND("/models/",$B223)+8,80),y,LEFT(x,FIND("-",x&amp;"-")-1),LEFT(y,FIND("?",y&amp;"?")-1)),"")</x:f>
        <x:v>80</x:v>
      </x:c>
      <x:c r="D223" s="75" t="str">
        <x:f>IF($B223="","",IFERROR(XLOOKUP($C223,MakerWorld_Verileri!$A:$A,MakerWorld_Verileri!$B:$B,""),""))</x:f>
      </x:c>
      <x:c r="E223" s="75" t="str">
        <x:f>IF($B223="","",IFERROR(XLOOKUP($C223,MakerWorld_Verileri!$A:$A,MakerWorld_Verileri!$C:$C,""),""))</x:f>
      </x:c>
      <x:c r="F223" s="75" t="str"/>
      <x:c r="G223" s="75" t="str">
        <x:f>IF($B223&lt;&gt;"",Ayarlar!$B$7,"")</x:f>
      </x:c>
      <x:c r="H223" s="82" t="str">
        <x:f>IF($B223&lt;&gt;"",1,"")</x:f>
      </x:c>
      <x:c r="I223" s="82" t="str">
        <x:f>IF($B223="","",IFERROR(XLOOKUP($C223,MakerWorld_Verileri!$A:$A,MakerWorld_Verileri!$D:$D,""),""))</x:f>
      </x:c>
      <x:c r="J223" s="82" t="str"/>
      <x:c r="K223" s="82" t="str">
        <x:f>IF($I223&lt;&gt;"",$I223,$J223)</x:f>
      </x:c>
      <x:c r="L223" s="82" t="str">
        <x:f>IF($B223="","",IFERROR(XLOOKUP($C223,MakerWorld_Verileri!$A:$A,MakerWorld_Verileri!$E:$E,""),""))</x:f>
      </x:c>
      <x:c r="M223" s="82" t="str"/>
      <x:c r="N223" s="82" t="str">
        <x:f>IF($L223&lt;&gt;"",$L223,$M223)</x:f>
      </x:c>
      <x:c r="O223" s="82" t="str">
        <x:f>IF($B223&lt;&gt;"",0,"")</x:f>
      </x:c>
      <x:c r="P223" s="75" t="str">
        <x:f>IF($B223&lt;&gt;"","Orta","")</x:f>
      </x:c>
      <x:c r="Q223" s="82" t="str">
        <x:f>IF($B223&lt;&gt;"",10,"")</x:f>
      </x:c>
      <x:c r="R223" s="83" t="str">
        <x:f>IF($B223&lt;&gt;"",Ayarlar!$B$10,"")</x:f>
      </x:c>
      <x:c r="S223" s="83" t="str">
        <x:f>IF($B223&lt;&gt;"",0,"")</x:f>
      </x:c>
      <x:c r="T223" s="83" t="n">
        <x:f>IFERROR(($K223+$O223)*XLOOKUP($G223,Ayarlar!$A$19:$A$28,Ayarlar!$C$19:$C$28,0)*(1+Ayarlar!$B$11),0)</x:f>
        <x:v>0</x:v>
      </x:c>
      <x:c r="U223" s="83" t="n">
        <x:f>IFERROR($N223/60*Ayarlar!$B$8,0)</x:f>
        <x:v>0</x:v>
      </x:c>
      <x:c r="V223" s="83" t="n">
        <x:f>IF($B223&lt;&gt;"",Ayarlar!$B$12+($Q223/60*Ayarlar!$B$9),0)</x:f>
        <x:v>0</x:v>
      </x:c>
      <x:c r="W223" s="83" t="n">
        <x:f>IF($B223&lt;&gt;"",SUM($T223:$V223,$R223:$S223),0)</x:f>
        <x:v>0</x:v>
      </x:c>
      <x:c r="X223" s="83" t="n">
        <x:f>IF($B223&lt;&gt;"",$W223*Ayarlar!$B$15,0)</x:f>
        <x:v>0</x:v>
      </x:c>
      <x:c r="Y223" s="83" t="n">
        <x:f>IF($B223&lt;&gt;"",($W223+$X223)*Ayarlar!$B$13,0)</x:f>
        <x:v>0</x:v>
      </x:c>
      <x:c r="Z223" s="83" t="n">
        <x:f>IF($B223&lt;&gt;"",($W223+$X223+$Y223)*Ayarlar!$B$14,0)</x:f>
        <x:v>0</x:v>
      </x:c>
      <x:c r="AA223" s="83" t="str">
        <x:f>IF($B223="","",IF(OR($K223="",$N223=""),"",CEILING($W223+$X223+$Y223+$Z223,Ayarlar!$B$16)))</x:f>
      </x:c>
      <x:c r="AB223" s="83" t="str">
        <x:f>IFERROR($AA223/$H223,"")</x:f>
      </x:c>
      <x:c r="AC223" s="75" t="str">
        <x:f>IF($B223="","",IF(OR($K223="",$N223=""),"Veri Eksik","Fiyat Hazır"))</x:f>
      </x:c>
      <x:c r="AD223" s="75" t="str">
        <x:f>IF($C223&lt;&gt;"","MW-"&amp;$C223,"")</x:f>
        <x:v>MW-80</x:v>
      </x:c>
      <x:c r="AE223" s="75" t="str">
        <x:f>IF($G223&lt;&gt;"","3D Baskı / "&amp;$G223,"3D Baskı")</x:f>
        <x:v>3D Baskı</x:v>
      </x:c>
      <x:c r="AF223" s="75" t="str">
        <x:f>IF($D223&lt;&gt;"",$D223&amp;" - "&amp;$G223,$AD223&amp;" - "&amp;$G223)</x:f>
        <x:v>MW-80 - </x:v>
      </x:c>
      <x:c r="AG223" s="75" t="str"/>
    </x:row>
    <x:row r="224">
      <x:c r="A224" s="75" t="str">
        <x:f>IF($B224&lt;&gt;"",ROW()-4,"")</x:f>
      </x:c>
      <x:c r="B224" s="75" t="str"/>
      <x:c r="C224" s="75" t="n">
        <x:f>IFERROR(LET(x,MID($B224,FIND("/models/",$B224)+8,80),y,LEFT(x,FIND("-",x&amp;"-")-1),LEFT(y,FIND("?",y&amp;"?")-1)),"")</x:f>
        <x:v>80</x:v>
      </x:c>
      <x:c r="D224" s="75" t="str">
        <x:f>IF($B224="","",IFERROR(XLOOKUP($C224,MakerWorld_Verileri!$A:$A,MakerWorld_Verileri!$B:$B,""),""))</x:f>
      </x:c>
      <x:c r="E224" s="75" t="str">
        <x:f>IF($B224="","",IFERROR(XLOOKUP($C224,MakerWorld_Verileri!$A:$A,MakerWorld_Verileri!$C:$C,""),""))</x:f>
      </x:c>
      <x:c r="F224" s="75" t="str"/>
      <x:c r="G224" s="75" t="str">
        <x:f>IF($B224&lt;&gt;"",Ayarlar!$B$7,"")</x:f>
      </x:c>
      <x:c r="H224" s="82" t="str">
        <x:f>IF($B224&lt;&gt;"",1,"")</x:f>
      </x:c>
      <x:c r="I224" s="82" t="str">
        <x:f>IF($B224="","",IFERROR(XLOOKUP($C224,MakerWorld_Verileri!$A:$A,MakerWorld_Verileri!$D:$D,""),""))</x:f>
      </x:c>
      <x:c r="J224" s="82" t="str"/>
      <x:c r="K224" s="82" t="str">
        <x:f>IF($I224&lt;&gt;"",$I224,$J224)</x:f>
      </x:c>
      <x:c r="L224" s="82" t="str">
        <x:f>IF($B224="","",IFERROR(XLOOKUP($C224,MakerWorld_Verileri!$A:$A,MakerWorld_Verileri!$E:$E,""),""))</x:f>
      </x:c>
      <x:c r="M224" s="82" t="str"/>
      <x:c r="N224" s="82" t="str">
        <x:f>IF($L224&lt;&gt;"",$L224,$M224)</x:f>
      </x:c>
      <x:c r="O224" s="82" t="str">
        <x:f>IF($B224&lt;&gt;"",0,"")</x:f>
      </x:c>
      <x:c r="P224" s="75" t="str">
        <x:f>IF($B224&lt;&gt;"","Orta","")</x:f>
      </x:c>
      <x:c r="Q224" s="82" t="str">
        <x:f>IF($B224&lt;&gt;"",10,"")</x:f>
      </x:c>
      <x:c r="R224" s="83" t="str">
        <x:f>IF($B224&lt;&gt;"",Ayarlar!$B$10,"")</x:f>
      </x:c>
      <x:c r="S224" s="83" t="str">
        <x:f>IF($B224&lt;&gt;"",0,"")</x:f>
      </x:c>
      <x:c r="T224" s="83" t="n">
        <x:f>IFERROR(($K224+$O224)*XLOOKUP($G224,Ayarlar!$A$19:$A$28,Ayarlar!$C$19:$C$28,0)*(1+Ayarlar!$B$11),0)</x:f>
        <x:v>0</x:v>
      </x:c>
      <x:c r="U224" s="83" t="n">
        <x:f>IFERROR($N224/60*Ayarlar!$B$8,0)</x:f>
        <x:v>0</x:v>
      </x:c>
      <x:c r="V224" s="83" t="n">
        <x:f>IF($B224&lt;&gt;"",Ayarlar!$B$12+($Q224/60*Ayarlar!$B$9),0)</x:f>
        <x:v>0</x:v>
      </x:c>
      <x:c r="W224" s="83" t="n">
        <x:f>IF($B224&lt;&gt;"",SUM($T224:$V224,$R224:$S224),0)</x:f>
        <x:v>0</x:v>
      </x:c>
      <x:c r="X224" s="83" t="n">
        <x:f>IF($B224&lt;&gt;"",$W224*Ayarlar!$B$15,0)</x:f>
        <x:v>0</x:v>
      </x:c>
      <x:c r="Y224" s="83" t="n">
        <x:f>IF($B224&lt;&gt;"",($W224+$X224)*Ayarlar!$B$13,0)</x:f>
        <x:v>0</x:v>
      </x:c>
      <x:c r="Z224" s="83" t="n">
        <x:f>IF($B224&lt;&gt;"",($W224+$X224+$Y224)*Ayarlar!$B$14,0)</x:f>
        <x:v>0</x:v>
      </x:c>
      <x:c r="AA224" s="83" t="str">
        <x:f>IF($B224="","",IF(OR($K224="",$N224=""),"",CEILING($W224+$X224+$Y224+$Z224,Ayarlar!$B$16)))</x:f>
      </x:c>
      <x:c r="AB224" s="83" t="str">
        <x:f>IFERROR($AA224/$H224,"")</x:f>
      </x:c>
      <x:c r="AC224" s="75" t="str">
        <x:f>IF($B224="","",IF(OR($K224="",$N224=""),"Veri Eksik","Fiyat Hazır"))</x:f>
      </x:c>
      <x:c r="AD224" s="75" t="str">
        <x:f>IF($C224&lt;&gt;"","MW-"&amp;$C224,"")</x:f>
        <x:v>MW-80</x:v>
      </x:c>
      <x:c r="AE224" s="75" t="str">
        <x:f>IF($G224&lt;&gt;"","3D Baskı / "&amp;$G224,"3D Baskı")</x:f>
        <x:v>3D Baskı</x:v>
      </x:c>
      <x:c r="AF224" s="75" t="str">
        <x:f>IF($D224&lt;&gt;"",$D224&amp;" - "&amp;$G224,$AD224&amp;" - "&amp;$G224)</x:f>
        <x:v>MW-80 - </x:v>
      </x:c>
      <x:c r="AG224" s="75" t="str"/>
    </x:row>
    <x:row r="225">
      <x:c r="A225" s="75" t="str">
        <x:f>IF($B225&lt;&gt;"",ROW()-4,"")</x:f>
      </x:c>
      <x:c r="B225" s="75" t="str"/>
      <x:c r="C225" s="75" t="n">
        <x:f>IFERROR(LET(x,MID($B225,FIND("/models/",$B225)+8,80),y,LEFT(x,FIND("-",x&amp;"-")-1),LEFT(y,FIND("?",y&amp;"?")-1)),"")</x:f>
        <x:v>80</x:v>
      </x:c>
      <x:c r="D225" s="75" t="str">
        <x:f>IF($B225="","",IFERROR(XLOOKUP($C225,MakerWorld_Verileri!$A:$A,MakerWorld_Verileri!$B:$B,""),""))</x:f>
      </x:c>
      <x:c r="E225" s="75" t="str">
        <x:f>IF($B225="","",IFERROR(XLOOKUP($C225,MakerWorld_Verileri!$A:$A,MakerWorld_Verileri!$C:$C,""),""))</x:f>
      </x:c>
      <x:c r="F225" s="75" t="str"/>
      <x:c r="G225" s="75" t="str">
        <x:f>IF($B225&lt;&gt;"",Ayarlar!$B$7,"")</x:f>
      </x:c>
      <x:c r="H225" s="82" t="str">
        <x:f>IF($B225&lt;&gt;"",1,"")</x:f>
      </x:c>
      <x:c r="I225" s="82" t="str">
        <x:f>IF($B225="","",IFERROR(XLOOKUP($C225,MakerWorld_Verileri!$A:$A,MakerWorld_Verileri!$D:$D,""),""))</x:f>
      </x:c>
      <x:c r="J225" s="82" t="str"/>
      <x:c r="K225" s="82" t="str">
        <x:f>IF($I225&lt;&gt;"",$I225,$J225)</x:f>
      </x:c>
      <x:c r="L225" s="82" t="str">
        <x:f>IF($B225="","",IFERROR(XLOOKUP($C225,MakerWorld_Verileri!$A:$A,MakerWorld_Verileri!$E:$E,""),""))</x:f>
      </x:c>
      <x:c r="M225" s="82" t="str"/>
      <x:c r="N225" s="82" t="str">
        <x:f>IF($L225&lt;&gt;"",$L225,$M225)</x:f>
      </x:c>
      <x:c r="O225" s="82" t="str">
        <x:f>IF($B225&lt;&gt;"",0,"")</x:f>
      </x:c>
      <x:c r="P225" s="75" t="str">
        <x:f>IF($B225&lt;&gt;"","Orta","")</x:f>
      </x:c>
      <x:c r="Q225" s="82" t="str">
        <x:f>IF($B225&lt;&gt;"",10,"")</x:f>
      </x:c>
      <x:c r="R225" s="83" t="str">
        <x:f>IF($B225&lt;&gt;"",Ayarlar!$B$10,"")</x:f>
      </x:c>
      <x:c r="S225" s="83" t="str">
        <x:f>IF($B225&lt;&gt;"",0,"")</x:f>
      </x:c>
      <x:c r="T225" s="83" t="n">
        <x:f>IFERROR(($K225+$O225)*XLOOKUP($G225,Ayarlar!$A$19:$A$28,Ayarlar!$C$19:$C$28,0)*(1+Ayarlar!$B$11),0)</x:f>
        <x:v>0</x:v>
      </x:c>
      <x:c r="U225" s="83" t="n">
        <x:f>IFERROR($N225/60*Ayarlar!$B$8,0)</x:f>
        <x:v>0</x:v>
      </x:c>
      <x:c r="V225" s="83" t="n">
        <x:f>IF($B225&lt;&gt;"",Ayarlar!$B$12+($Q225/60*Ayarlar!$B$9),0)</x:f>
        <x:v>0</x:v>
      </x:c>
      <x:c r="W225" s="83" t="n">
        <x:f>IF($B225&lt;&gt;"",SUM($T225:$V225,$R225:$S225),0)</x:f>
        <x:v>0</x:v>
      </x:c>
      <x:c r="X225" s="83" t="n">
        <x:f>IF($B225&lt;&gt;"",$W225*Ayarlar!$B$15,0)</x:f>
        <x:v>0</x:v>
      </x:c>
      <x:c r="Y225" s="83" t="n">
        <x:f>IF($B225&lt;&gt;"",($W225+$X225)*Ayarlar!$B$13,0)</x:f>
        <x:v>0</x:v>
      </x:c>
      <x:c r="Z225" s="83" t="n">
        <x:f>IF($B225&lt;&gt;"",($W225+$X225+$Y225)*Ayarlar!$B$14,0)</x:f>
        <x:v>0</x:v>
      </x:c>
      <x:c r="AA225" s="83" t="str">
        <x:f>IF($B225="","",IF(OR($K225="",$N225=""),"",CEILING($W225+$X225+$Y225+$Z225,Ayarlar!$B$16)))</x:f>
      </x:c>
      <x:c r="AB225" s="83" t="str">
        <x:f>IFERROR($AA225/$H225,"")</x:f>
      </x:c>
      <x:c r="AC225" s="75" t="str">
        <x:f>IF($B225="","",IF(OR($K225="",$N225=""),"Veri Eksik","Fiyat Hazır"))</x:f>
      </x:c>
      <x:c r="AD225" s="75" t="str">
        <x:f>IF($C225&lt;&gt;"","MW-"&amp;$C225,"")</x:f>
        <x:v>MW-80</x:v>
      </x:c>
      <x:c r="AE225" s="75" t="str">
        <x:f>IF($G225&lt;&gt;"","3D Baskı / "&amp;$G225,"3D Baskı")</x:f>
        <x:v>3D Baskı</x:v>
      </x:c>
      <x:c r="AF225" s="75" t="str">
        <x:f>IF($D225&lt;&gt;"",$D225&amp;" - "&amp;$G225,$AD225&amp;" - "&amp;$G225)</x:f>
        <x:v>MW-80 - </x:v>
      </x:c>
      <x:c r="AG225" s="75" t="str"/>
    </x:row>
    <x:row r="226">
      <x:c r="A226" s="75" t="str">
        <x:f>IF($B226&lt;&gt;"",ROW()-4,"")</x:f>
      </x:c>
      <x:c r="B226" s="75" t="str"/>
      <x:c r="C226" s="75" t="n">
        <x:f>IFERROR(LET(x,MID($B226,FIND("/models/",$B226)+8,80),y,LEFT(x,FIND("-",x&amp;"-")-1),LEFT(y,FIND("?",y&amp;"?")-1)),"")</x:f>
        <x:v>80</x:v>
      </x:c>
      <x:c r="D226" s="75" t="str">
        <x:f>IF($B226="","",IFERROR(XLOOKUP($C226,MakerWorld_Verileri!$A:$A,MakerWorld_Verileri!$B:$B,""),""))</x:f>
      </x:c>
      <x:c r="E226" s="75" t="str">
        <x:f>IF($B226="","",IFERROR(XLOOKUP($C226,MakerWorld_Verileri!$A:$A,MakerWorld_Verileri!$C:$C,""),""))</x:f>
      </x:c>
      <x:c r="F226" s="75" t="str"/>
      <x:c r="G226" s="75" t="str">
        <x:f>IF($B226&lt;&gt;"",Ayarlar!$B$7,"")</x:f>
      </x:c>
      <x:c r="H226" s="82" t="str">
        <x:f>IF($B226&lt;&gt;"",1,"")</x:f>
      </x:c>
      <x:c r="I226" s="82" t="str">
        <x:f>IF($B226="","",IFERROR(XLOOKUP($C226,MakerWorld_Verileri!$A:$A,MakerWorld_Verileri!$D:$D,""),""))</x:f>
      </x:c>
      <x:c r="J226" s="82" t="str"/>
      <x:c r="K226" s="82" t="str">
        <x:f>IF($I226&lt;&gt;"",$I226,$J226)</x:f>
      </x:c>
      <x:c r="L226" s="82" t="str">
        <x:f>IF($B226="","",IFERROR(XLOOKUP($C226,MakerWorld_Verileri!$A:$A,MakerWorld_Verileri!$E:$E,""),""))</x:f>
      </x:c>
      <x:c r="M226" s="82" t="str"/>
      <x:c r="N226" s="82" t="str">
        <x:f>IF($L226&lt;&gt;"",$L226,$M226)</x:f>
      </x:c>
      <x:c r="O226" s="82" t="str">
        <x:f>IF($B226&lt;&gt;"",0,"")</x:f>
      </x:c>
      <x:c r="P226" s="75" t="str">
        <x:f>IF($B226&lt;&gt;"","Orta","")</x:f>
      </x:c>
      <x:c r="Q226" s="82" t="str">
        <x:f>IF($B226&lt;&gt;"",10,"")</x:f>
      </x:c>
      <x:c r="R226" s="83" t="str">
        <x:f>IF($B226&lt;&gt;"",Ayarlar!$B$10,"")</x:f>
      </x:c>
      <x:c r="S226" s="83" t="str">
        <x:f>IF($B226&lt;&gt;"",0,"")</x:f>
      </x:c>
      <x:c r="T226" s="83" t="n">
        <x:f>IFERROR(($K226+$O226)*XLOOKUP($G226,Ayarlar!$A$19:$A$28,Ayarlar!$C$19:$C$28,0)*(1+Ayarlar!$B$11),0)</x:f>
        <x:v>0</x:v>
      </x:c>
      <x:c r="U226" s="83" t="n">
        <x:f>IFERROR($N226/60*Ayarlar!$B$8,0)</x:f>
        <x:v>0</x:v>
      </x:c>
      <x:c r="V226" s="83" t="n">
        <x:f>IF($B226&lt;&gt;"",Ayarlar!$B$12+($Q226/60*Ayarlar!$B$9),0)</x:f>
        <x:v>0</x:v>
      </x:c>
      <x:c r="W226" s="83" t="n">
        <x:f>IF($B226&lt;&gt;"",SUM($T226:$V226,$R226:$S226),0)</x:f>
        <x:v>0</x:v>
      </x:c>
      <x:c r="X226" s="83" t="n">
        <x:f>IF($B226&lt;&gt;"",$W226*Ayarlar!$B$15,0)</x:f>
        <x:v>0</x:v>
      </x:c>
      <x:c r="Y226" s="83" t="n">
        <x:f>IF($B226&lt;&gt;"",($W226+$X226)*Ayarlar!$B$13,0)</x:f>
        <x:v>0</x:v>
      </x:c>
      <x:c r="Z226" s="83" t="n">
        <x:f>IF($B226&lt;&gt;"",($W226+$X226+$Y226)*Ayarlar!$B$14,0)</x:f>
        <x:v>0</x:v>
      </x:c>
      <x:c r="AA226" s="83" t="str">
        <x:f>IF($B226="","",IF(OR($K226="",$N226=""),"",CEILING($W226+$X226+$Y226+$Z226,Ayarlar!$B$16)))</x:f>
      </x:c>
      <x:c r="AB226" s="83" t="str">
        <x:f>IFERROR($AA226/$H226,"")</x:f>
      </x:c>
      <x:c r="AC226" s="75" t="str">
        <x:f>IF($B226="","",IF(OR($K226="",$N226=""),"Veri Eksik","Fiyat Hazır"))</x:f>
      </x:c>
      <x:c r="AD226" s="75" t="str">
        <x:f>IF($C226&lt;&gt;"","MW-"&amp;$C226,"")</x:f>
        <x:v>MW-80</x:v>
      </x:c>
      <x:c r="AE226" s="75" t="str">
        <x:f>IF($G226&lt;&gt;"","3D Baskı / "&amp;$G226,"3D Baskı")</x:f>
        <x:v>3D Baskı</x:v>
      </x:c>
      <x:c r="AF226" s="75" t="str">
        <x:f>IF($D226&lt;&gt;"",$D226&amp;" - "&amp;$G226,$AD226&amp;" - "&amp;$G226)</x:f>
        <x:v>MW-80 - </x:v>
      </x:c>
      <x:c r="AG226" s="75" t="str"/>
    </x:row>
    <x:row r="227">
      <x:c r="A227" s="75" t="str">
        <x:f>IF($B227&lt;&gt;"",ROW()-4,"")</x:f>
      </x:c>
      <x:c r="B227" s="75" t="str"/>
      <x:c r="C227" s="75" t="n">
        <x:f>IFERROR(LET(x,MID($B227,FIND("/models/",$B227)+8,80),y,LEFT(x,FIND("-",x&amp;"-")-1),LEFT(y,FIND("?",y&amp;"?")-1)),"")</x:f>
        <x:v>80</x:v>
      </x:c>
      <x:c r="D227" s="75" t="str">
        <x:f>IF($B227="","",IFERROR(XLOOKUP($C227,MakerWorld_Verileri!$A:$A,MakerWorld_Verileri!$B:$B,""),""))</x:f>
      </x:c>
      <x:c r="E227" s="75" t="str">
        <x:f>IF($B227="","",IFERROR(XLOOKUP($C227,MakerWorld_Verileri!$A:$A,MakerWorld_Verileri!$C:$C,""),""))</x:f>
      </x:c>
      <x:c r="F227" s="75" t="str"/>
      <x:c r="G227" s="75" t="str">
        <x:f>IF($B227&lt;&gt;"",Ayarlar!$B$7,"")</x:f>
      </x:c>
      <x:c r="H227" s="82" t="str">
        <x:f>IF($B227&lt;&gt;"",1,"")</x:f>
      </x:c>
      <x:c r="I227" s="82" t="str">
        <x:f>IF($B227="","",IFERROR(XLOOKUP($C227,MakerWorld_Verileri!$A:$A,MakerWorld_Verileri!$D:$D,""),""))</x:f>
      </x:c>
      <x:c r="J227" s="82" t="str"/>
      <x:c r="K227" s="82" t="str">
        <x:f>IF($I227&lt;&gt;"",$I227,$J227)</x:f>
      </x:c>
      <x:c r="L227" s="82" t="str">
        <x:f>IF($B227="","",IFERROR(XLOOKUP($C227,MakerWorld_Verileri!$A:$A,MakerWorld_Verileri!$E:$E,""),""))</x:f>
      </x:c>
      <x:c r="M227" s="82" t="str"/>
      <x:c r="N227" s="82" t="str">
        <x:f>IF($L227&lt;&gt;"",$L227,$M227)</x:f>
      </x:c>
      <x:c r="O227" s="82" t="str">
        <x:f>IF($B227&lt;&gt;"",0,"")</x:f>
      </x:c>
      <x:c r="P227" s="75" t="str">
        <x:f>IF($B227&lt;&gt;"","Orta","")</x:f>
      </x:c>
      <x:c r="Q227" s="82" t="str">
        <x:f>IF($B227&lt;&gt;"",10,"")</x:f>
      </x:c>
      <x:c r="R227" s="83" t="str">
        <x:f>IF($B227&lt;&gt;"",Ayarlar!$B$10,"")</x:f>
      </x:c>
      <x:c r="S227" s="83" t="str">
        <x:f>IF($B227&lt;&gt;"",0,"")</x:f>
      </x:c>
      <x:c r="T227" s="83" t="n">
        <x:f>IFERROR(($K227+$O227)*XLOOKUP($G227,Ayarlar!$A$19:$A$28,Ayarlar!$C$19:$C$28,0)*(1+Ayarlar!$B$11),0)</x:f>
        <x:v>0</x:v>
      </x:c>
      <x:c r="U227" s="83" t="n">
        <x:f>IFERROR($N227/60*Ayarlar!$B$8,0)</x:f>
        <x:v>0</x:v>
      </x:c>
      <x:c r="V227" s="83" t="n">
        <x:f>IF($B227&lt;&gt;"",Ayarlar!$B$12+($Q227/60*Ayarlar!$B$9),0)</x:f>
        <x:v>0</x:v>
      </x:c>
      <x:c r="W227" s="83" t="n">
        <x:f>IF($B227&lt;&gt;"",SUM($T227:$V227,$R227:$S227),0)</x:f>
        <x:v>0</x:v>
      </x:c>
      <x:c r="X227" s="83" t="n">
        <x:f>IF($B227&lt;&gt;"",$W227*Ayarlar!$B$15,0)</x:f>
        <x:v>0</x:v>
      </x:c>
      <x:c r="Y227" s="83" t="n">
        <x:f>IF($B227&lt;&gt;"",($W227+$X227)*Ayarlar!$B$13,0)</x:f>
        <x:v>0</x:v>
      </x:c>
      <x:c r="Z227" s="83" t="n">
        <x:f>IF($B227&lt;&gt;"",($W227+$X227+$Y227)*Ayarlar!$B$14,0)</x:f>
        <x:v>0</x:v>
      </x:c>
      <x:c r="AA227" s="83" t="str">
        <x:f>IF($B227="","",IF(OR($K227="",$N227=""),"",CEILING($W227+$X227+$Y227+$Z227,Ayarlar!$B$16)))</x:f>
      </x:c>
      <x:c r="AB227" s="83" t="str">
        <x:f>IFERROR($AA227/$H227,"")</x:f>
      </x:c>
      <x:c r="AC227" s="75" t="str">
        <x:f>IF($B227="","",IF(OR($K227="",$N227=""),"Veri Eksik","Fiyat Hazır"))</x:f>
      </x:c>
      <x:c r="AD227" s="75" t="str">
        <x:f>IF($C227&lt;&gt;"","MW-"&amp;$C227,"")</x:f>
        <x:v>MW-80</x:v>
      </x:c>
      <x:c r="AE227" s="75" t="str">
        <x:f>IF($G227&lt;&gt;"","3D Baskı / "&amp;$G227,"3D Baskı")</x:f>
        <x:v>3D Baskı</x:v>
      </x:c>
      <x:c r="AF227" s="75" t="str">
        <x:f>IF($D227&lt;&gt;"",$D227&amp;" - "&amp;$G227,$AD227&amp;" - "&amp;$G227)</x:f>
        <x:v>MW-80 - </x:v>
      </x:c>
      <x:c r="AG227" s="75" t="str"/>
    </x:row>
    <x:row r="228">
      <x:c r="A228" s="75" t="str">
        <x:f>IF($B228&lt;&gt;"",ROW()-4,"")</x:f>
      </x:c>
      <x:c r="B228" s="75" t="str"/>
      <x:c r="C228" s="75" t="n">
        <x:f>IFERROR(LET(x,MID($B228,FIND("/models/",$B228)+8,80),y,LEFT(x,FIND("-",x&amp;"-")-1),LEFT(y,FIND("?",y&amp;"?")-1)),"")</x:f>
        <x:v>80</x:v>
      </x:c>
      <x:c r="D228" s="75" t="str">
        <x:f>IF($B228="","",IFERROR(XLOOKUP($C228,MakerWorld_Verileri!$A:$A,MakerWorld_Verileri!$B:$B,""),""))</x:f>
      </x:c>
      <x:c r="E228" s="75" t="str">
        <x:f>IF($B228="","",IFERROR(XLOOKUP($C228,MakerWorld_Verileri!$A:$A,MakerWorld_Verileri!$C:$C,""),""))</x:f>
      </x:c>
      <x:c r="F228" s="75" t="str"/>
      <x:c r="G228" s="75" t="str">
        <x:f>IF($B228&lt;&gt;"",Ayarlar!$B$7,"")</x:f>
      </x:c>
      <x:c r="H228" s="82" t="str">
        <x:f>IF($B228&lt;&gt;"",1,"")</x:f>
      </x:c>
      <x:c r="I228" s="82" t="str">
        <x:f>IF($B228="","",IFERROR(XLOOKUP($C228,MakerWorld_Verileri!$A:$A,MakerWorld_Verileri!$D:$D,""),""))</x:f>
      </x:c>
      <x:c r="J228" s="82" t="str"/>
      <x:c r="K228" s="82" t="str">
        <x:f>IF($I228&lt;&gt;"",$I228,$J228)</x:f>
      </x:c>
      <x:c r="L228" s="82" t="str">
        <x:f>IF($B228="","",IFERROR(XLOOKUP($C228,MakerWorld_Verileri!$A:$A,MakerWorld_Verileri!$E:$E,""),""))</x:f>
      </x:c>
      <x:c r="M228" s="82" t="str"/>
      <x:c r="N228" s="82" t="str">
        <x:f>IF($L228&lt;&gt;"",$L228,$M228)</x:f>
      </x:c>
      <x:c r="O228" s="82" t="str">
        <x:f>IF($B228&lt;&gt;"",0,"")</x:f>
      </x:c>
      <x:c r="P228" s="75" t="str">
        <x:f>IF($B228&lt;&gt;"","Orta","")</x:f>
      </x:c>
      <x:c r="Q228" s="82" t="str">
        <x:f>IF($B228&lt;&gt;"",10,"")</x:f>
      </x:c>
      <x:c r="R228" s="83" t="str">
        <x:f>IF($B228&lt;&gt;"",Ayarlar!$B$10,"")</x:f>
      </x:c>
      <x:c r="S228" s="83" t="str">
        <x:f>IF($B228&lt;&gt;"",0,"")</x:f>
      </x:c>
      <x:c r="T228" s="83" t="n">
        <x:f>IFERROR(($K228+$O228)*XLOOKUP($G228,Ayarlar!$A$19:$A$28,Ayarlar!$C$19:$C$28,0)*(1+Ayarlar!$B$11),0)</x:f>
        <x:v>0</x:v>
      </x:c>
      <x:c r="U228" s="83" t="n">
        <x:f>IFERROR($N228/60*Ayarlar!$B$8,0)</x:f>
        <x:v>0</x:v>
      </x:c>
      <x:c r="V228" s="83" t="n">
        <x:f>IF($B228&lt;&gt;"",Ayarlar!$B$12+($Q228/60*Ayarlar!$B$9),0)</x:f>
        <x:v>0</x:v>
      </x:c>
      <x:c r="W228" s="83" t="n">
        <x:f>IF($B228&lt;&gt;"",SUM($T228:$V228,$R228:$S228),0)</x:f>
        <x:v>0</x:v>
      </x:c>
      <x:c r="X228" s="83" t="n">
        <x:f>IF($B228&lt;&gt;"",$W228*Ayarlar!$B$15,0)</x:f>
        <x:v>0</x:v>
      </x:c>
      <x:c r="Y228" s="83" t="n">
        <x:f>IF($B228&lt;&gt;"",($W228+$X228)*Ayarlar!$B$13,0)</x:f>
        <x:v>0</x:v>
      </x:c>
      <x:c r="Z228" s="83" t="n">
        <x:f>IF($B228&lt;&gt;"",($W228+$X228+$Y228)*Ayarlar!$B$14,0)</x:f>
        <x:v>0</x:v>
      </x:c>
      <x:c r="AA228" s="83" t="str">
        <x:f>IF($B228="","",IF(OR($K228="",$N228=""),"",CEILING($W228+$X228+$Y228+$Z228,Ayarlar!$B$16)))</x:f>
      </x:c>
      <x:c r="AB228" s="83" t="str">
        <x:f>IFERROR($AA228/$H228,"")</x:f>
      </x:c>
      <x:c r="AC228" s="75" t="str">
        <x:f>IF($B228="","",IF(OR($K228="",$N228=""),"Veri Eksik","Fiyat Hazır"))</x:f>
      </x:c>
      <x:c r="AD228" s="75" t="str">
        <x:f>IF($C228&lt;&gt;"","MW-"&amp;$C228,"")</x:f>
        <x:v>MW-80</x:v>
      </x:c>
      <x:c r="AE228" s="75" t="str">
        <x:f>IF($G228&lt;&gt;"","3D Baskı / "&amp;$G228,"3D Baskı")</x:f>
        <x:v>3D Baskı</x:v>
      </x:c>
      <x:c r="AF228" s="75" t="str">
        <x:f>IF($D228&lt;&gt;"",$D228&amp;" - "&amp;$G228,$AD228&amp;" - "&amp;$G228)</x:f>
        <x:v>MW-80 - </x:v>
      </x:c>
      <x:c r="AG228" s="75" t="str"/>
    </x:row>
    <x:row r="229">
      <x:c r="A229" s="75" t="str">
        <x:f>IF($B229&lt;&gt;"",ROW()-4,"")</x:f>
      </x:c>
      <x:c r="B229" s="75" t="str"/>
      <x:c r="C229" s="75" t="n">
        <x:f>IFERROR(LET(x,MID($B229,FIND("/models/",$B229)+8,80),y,LEFT(x,FIND("-",x&amp;"-")-1),LEFT(y,FIND("?",y&amp;"?")-1)),"")</x:f>
        <x:v>80</x:v>
      </x:c>
      <x:c r="D229" s="75" t="str">
        <x:f>IF($B229="","",IFERROR(XLOOKUP($C229,MakerWorld_Verileri!$A:$A,MakerWorld_Verileri!$B:$B,""),""))</x:f>
      </x:c>
      <x:c r="E229" s="75" t="str">
        <x:f>IF($B229="","",IFERROR(XLOOKUP($C229,MakerWorld_Verileri!$A:$A,MakerWorld_Verileri!$C:$C,""),""))</x:f>
      </x:c>
      <x:c r="F229" s="75" t="str"/>
      <x:c r="G229" s="75" t="str">
        <x:f>IF($B229&lt;&gt;"",Ayarlar!$B$7,"")</x:f>
      </x:c>
      <x:c r="H229" s="82" t="str">
        <x:f>IF($B229&lt;&gt;"",1,"")</x:f>
      </x:c>
      <x:c r="I229" s="82" t="str">
        <x:f>IF($B229="","",IFERROR(XLOOKUP($C229,MakerWorld_Verileri!$A:$A,MakerWorld_Verileri!$D:$D,""),""))</x:f>
      </x:c>
      <x:c r="J229" s="82" t="str"/>
      <x:c r="K229" s="82" t="str">
        <x:f>IF($I229&lt;&gt;"",$I229,$J229)</x:f>
      </x:c>
      <x:c r="L229" s="82" t="str">
        <x:f>IF($B229="","",IFERROR(XLOOKUP($C229,MakerWorld_Verileri!$A:$A,MakerWorld_Verileri!$E:$E,""),""))</x:f>
      </x:c>
      <x:c r="M229" s="82" t="str"/>
      <x:c r="N229" s="82" t="str">
        <x:f>IF($L229&lt;&gt;"",$L229,$M229)</x:f>
      </x:c>
      <x:c r="O229" s="82" t="str">
        <x:f>IF($B229&lt;&gt;"",0,"")</x:f>
      </x:c>
      <x:c r="P229" s="75" t="str">
        <x:f>IF($B229&lt;&gt;"","Orta","")</x:f>
      </x:c>
      <x:c r="Q229" s="82" t="str">
        <x:f>IF($B229&lt;&gt;"",10,"")</x:f>
      </x:c>
      <x:c r="R229" s="83" t="str">
        <x:f>IF($B229&lt;&gt;"",Ayarlar!$B$10,"")</x:f>
      </x:c>
      <x:c r="S229" s="83" t="str">
        <x:f>IF($B229&lt;&gt;"",0,"")</x:f>
      </x:c>
      <x:c r="T229" s="83" t="n">
        <x:f>IFERROR(($K229+$O229)*XLOOKUP($G229,Ayarlar!$A$19:$A$28,Ayarlar!$C$19:$C$28,0)*(1+Ayarlar!$B$11),0)</x:f>
        <x:v>0</x:v>
      </x:c>
      <x:c r="U229" s="83" t="n">
        <x:f>IFERROR($N229/60*Ayarlar!$B$8,0)</x:f>
        <x:v>0</x:v>
      </x:c>
      <x:c r="V229" s="83" t="n">
        <x:f>IF($B229&lt;&gt;"",Ayarlar!$B$12+($Q229/60*Ayarlar!$B$9),0)</x:f>
        <x:v>0</x:v>
      </x:c>
      <x:c r="W229" s="83" t="n">
        <x:f>IF($B229&lt;&gt;"",SUM($T229:$V229,$R229:$S229),0)</x:f>
        <x:v>0</x:v>
      </x:c>
      <x:c r="X229" s="83" t="n">
        <x:f>IF($B229&lt;&gt;"",$W229*Ayarlar!$B$15,0)</x:f>
        <x:v>0</x:v>
      </x:c>
      <x:c r="Y229" s="83" t="n">
        <x:f>IF($B229&lt;&gt;"",($W229+$X229)*Ayarlar!$B$13,0)</x:f>
        <x:v>0</x:v>
      </x:c>
      <x:c r="Z229" s="83" t="n">
        <x:f>IF($B229&lt;&gt;"",($W229+$X229+$Y229)*Ayarlar!$B$14,0)</x:f>
        <x:v>0</x:v>
      </x:c>
      <x:c r="AA229" s="83" t="str">
        <x:f>IF($B229="","",IF(OR($K229="",$N229=""),"",CEILING($W229+$X229+$Y229+$Z229,Ayarlar!$B$16)))</x:f>
      </x:c>
      <x:c r="AB229" s="83" t="str">
        <x:f>IFERROR($AA229/$H229,"")</x:f>
      </x:c>
      <x:c r="AC229" s="75" t="str">
        <x:f>IF($B229="","",IF(OR($K229="",$N229=""),"Veri Eksik","Fiyat Hazır"))</x:f>
      </x:c>
      <x:c r="AD229" s="75" t="str">
        <x:f>IF($C229&lt;&gt;"","MW-"&amp;$C229,"")</x:f>
        <x:v>MW-80</x:v>
      </x:c>
      <x:c r="AE229" s="75" t="str">
        <x:f>IF($G229&lt;&gt;"","3D Baskı / "&amp;$G229,"3D Baskı")</x:f>
        <x:v>3D Baskı</x:v>
      </x:c>
      <x:c r="AF229" s="75" t="str">
        <x:f>IF($D229&lt;&gt;"",$D229&amp;" - "&amp;$G229,$AD229&amp;" - "&amp;$G229)</x:f>
        <x:v>MW-80 - </x:v>
      </x:c>
      <x:c r="AG229" s="75" t="str"/>
    </x:row>
    <x:row r="230">
      <x:c r="A230" s="75" t="str">
        <x:f>IF($B230&lt;&gt;"",ROW()-4,"")</x:f>
      </x:c>
      <x:c r="B230" s="75" t="str"/>
      <x:c r="C230" s="75" t="n">
        <x:f>IFERROR(LET(x,MID($B230,FIND("/models/",$B230)+8,80),y,LEFT(x,FIND("-",x&amp;"-")-1),LEFT(y,FIND("?",y&amp;"?")-1)),"")</x:f>
        <x:v>80</x:v>
      </x:c>
      <x:c r="D230" s="75" t="str">
        <x:f>IF($B230="","",IFERROR(XLOOKUP($C230,MakerWorld_Verileri!$A:$A,MakerWorld_Verileri!$B:$B,""),""))</x:f>
      </x:c>
      <x:c r="E230" s="75" t="str">
        <x:f>IF($B230="","",IFERROR(XLOOKUP($C230,MakerWorld_Verileri!$A:$A,MakerWorld_Verileri!$C:$C,""),""))</x:f>
      </x:c>
      <x:c r="F230" s="75" t="str"/>
      <x:c r="G230" s="75" t="str">
        <x:f>IF($B230&lt;&gt;"",Ayarlar!$B$7,"")</x:f>
      </x:c>
      <x:c r="H230" s="82" t="str">
        <x:f>IF($B230&lt;&gt;"",1,"")</x:f>
      </x:c>
      <x:c r="I230" s="82" t="str">
        <x:f>IF($B230="","",IFERROR(XLOOKUP($C230,MakerWorld_Verileri!$A:$A,MakerWorld_Verileri!$D:$D,""),""))</x:f>
      </x:c>
      <x:c r="J230" s="82" t="str"/>
      <x:c r="K230" s="82" t="str">
        <x:f>IF($I230&lt;&gt;"",$I230,$J230)</x:f>
      </x:c>
      <x:c r="L230" s="82" t="str">
        <x:f>IF($B230="","",IFERROR(XLOOKUP($C230,MakerWorld_Verileri!$A:$A,MakerWorld_Verileri!$E:$E,""),""))</x:f>
      </x:c>
      <x:c r="M230" s="82" t="str"/>
      <x:c r="N230" s="82" t="str">
        <x:f>IF($L230&lt;&gt;"",$L230,$M230)</x:f>
      </x:c>
      <x:c r="O230" s="82" t="str">
        <x:f>IF($B230&lt;&gt;"",0,"")</x:f>
      </x:c>
      <x:c r="P230" s="75" t="str">
        <x:f>IF($B230&lt;&gt;"","Orta","")</x:f>
      </x:c>
      <x:c r="Q230" s="82" t="str">
        <x:f>IF($B230&lt;&gt;"",10,"")</x:f>
      </x:c>
      <x:c r="R230" s="83" t="str">
        <x:f>IF($B230&lt;&gt;"",Ayarlar!$B$10,"")</x:f>
      </x:c>
      <x:c r="S230" s="83" t="str">
        <x:f>IF($B230&lt;&gt;"",0,"")</x:f>
      </x:c>
      <x:c r="T230" s="83" t="n">
        <x:f>IFERROR(($K230+$O230)*XLOOKUP($G230,Ayarlar!$A$19:$A$28,Ayarlar!$C$19:$C$28,0)*(1+Ayarlar!$B$11),0)</x:f>
        <x:v>0</x:v>
      </x:c>
      <x:c r="U230" s="83" t="n">
        <x:f>IFERROR($N230/60*Ayarlar!$B$8,0)</x:f>
        <x:v>0</x:v>
      </x:c>
      <x:c r="V230" s="83" t="n">
        <x:f>IF($B230&lt;&gt;"",Ayarlar!$B$12+($Q230/60*Ayarlar!$B$9),0)</x:f>
        <x:v>0</x:v>
      </x:c>
      <x:c r="W230" s="83" t="n">
        <x:f>IF($B230&lt;&gt;"",SUM($T230:$V230,$R230:$S230),0)</x:f>
        <x:v>0</x:v>
      </x:c>
      <x:c r="X230" s="83" t="n">
        <x:f>IF($B230&lt;&gt;"",$W230*Ayarlar!$B$15,0)</x:f>
        <x:v>0</x:v>
      </x:c>
      <x:c r="Y230" s="83" t="n">
        <x:f>IF($B230&lt;&gt;"",($W230+$X230)*Ayarlar!$B$13,0)</x:f>
        <x:v>0</x:v>
      </x:c>
      <x:c r="Z230" s="83" t="n">
        <x:f>IF($B230&lt;&gt;"",($W230+$X230+$Y230)*Ayarlar!$B$14,0)</x:f>
        <x:v>0</x:v>
      </x:c>
      <x:c r="AA230" s="83" t="str">
        <x:f>IF($B230="","",IF(OR($K230="",$N230=""),"",CEILING($W230+$X230+$Y230+$Z230,Ayarlar!$B$16)))</x:f>
      </x:c>
      <x:c r="AB230" s="83" t="str">
        <x:f>IFERROR($AA230/$H230,"")</x:f>
      </x:c>
      <x:c r="AC230" s="75" t="str">
        <x:f>IF($B230="","",IF(OR($K230="",$N230=""),"Veri Eksik","Fiyat Hazır"))</x:f>
      </x:c>
      <x:c r="AD230" s="75" t="str">
        <x:f>IF($C230&lt;&gt;"","MW-"&amp;$C230,"")</x:f>
        <x:v>MW-80</x:v>
      </x:c>
      <x:c r="AE230" s="75" t="str">
        <x:f>IF($G230&lt;&gt;"","3D Baskı / "&amp;$G230,"3D Baskı")</x:f>
        <x:v>3D Baskı</x:v>
      </x:c>
      <x:c r="AF230" s="75" t="str">
        <x:f>IF($D230&lt;&gt;"",$D230&amp;" - "&amp;$G230,$AD230&amp;" - "&amp;$G230)</x:f>
        <x:v>MW-80 - </x:v>
      </x:c>
      <x:c r="AG230" s="75" t="str"/>
    </x:row>
    <x:row r="231">
      <x:c r="A231" s="75" t="str">
        <x:f>IF($B231&lt;&gt;"",ROW()-4,"")</x:f>
      </x:c>
      <x:c r="B231" s="75" t="str"/>
      <x:c r="C231" s="75" t="n">
        <x:f>IFERROR(LET(x,MID($B231,FIND("/models/",$B231)+8,80),y,LEFT(x,FIND("-",x&amp;"-")-1),LEFT(y,FIND("?",y&amp;"?")-1)),"")</x:f>
        <x:v>80</x:v>
      </x:c>
      <x:c r="D231" s="75" t="str">
        <x:f>IF($B231="","",IFERROR(XLOOKUP($C231,MakerWorld_Verileri!$A:$A,MakerWorld_Verileri!$B:$B,""),""))</x:f>
      </x:c>
      <x:c r="E231" s="75" t="str">
        <x:f>IF($B231="","",IFERROR(XLOOKUP($C231,MakerWorld_Verileri!$A:$A,MakerWorld_Verileri!$C:$C,""),""))</x:f>
      </x:c>
      <x:c r="F231" s="75" t="str"/>
      <x:c r="G231" s="75" t="str">
        <x:f>IF($B231&lt;&gt;"",Ayarlar!$B$7,"")</x:f>
      </x:c>
      <x:c r="H231" s="82" t="str">
        <x:f>IF($B231&lt;&gt;"",1,"")</x:f>
      </x:c>
      <x:c r="I231" s="82" t="str">
        <x:f>IF($B231="","",IFERROR(XLOOKUP($C231,MakerWorld_Verileri!$A:$A,MakerWorld_Verileri!$D:$D,""),""))</x:f>
      </x:c>
      <x:c r="J231" s="82" t="str"/>
      <x:c r="K231" s="82" t="str">
        <x:f>IF($I231&lt;&gt;"",$I231,$J231)</x:f>
      </x:c>
      <x:c r="L231" s="82" t="str">
        <x:f>IF($B231="","",IFERROR(XLOOKUP($C231,MakerWorld_Verileri!$A:$A,MakerWorld_Verileri!$E:$E,""),""))</x:f>
      </x:c>
      <x:c r="M231" s="82" t="str"/>
      <x:c r="N231" s="82" t="str">
        <x:f>IF($L231&lt;&gt;"",$L231,$M231)</x:f>
      </x:c>
      <x:c r="O231" s="82" t="str">
        <x:f>IF($B231&lt;&gt;"",0,"")</x:f>
      </x:c>
      <x:c r="P231" s="75" t="str">
        <x:f>IF($B231&lt;&gt;"","Orta","")</x:f>
      </x:c>
      <x:c r="Q231" s="82" t="str">
        <x:f>IF($B231&lt;&gt;"",10,"")</x:f>
      </x:c>
      <x:c r="R231" s="83" t="str">
        <x:f>IF($B231&lt;&gt;"",Ayarlar!$B$10,"")</x:f>
      </x:c>
      <x:c r="S231" s="83" t="str">
        <x:f>IF($B231&lt;&gt;"",0,"")</x:f>
      </x:c>
      <x:c r="T231" s="83" t="n">
        <x:f>IFERROR(($K231+$O231)*XLOOKUP($G231,Ayarlar!$A$19:$A$28,Ayarlar!$C$19:$C$28,0)*(1+Ayarlar!$B$11),0)</x:f>
        <x:v>0</x:v>
      </x:c>
      <x:c r="U231" s="83" t="n">
        <x:f>IFERROR($N231/60*Ayarlar!$B$8,0)</x:f>
        <x:v>0</x:v>
      </x:c>
      <x:c r="V231" s="83" t="n">
        <x:f>IF($B231&lt;&gt;"",Ayarlar!$B$12+($Q231/60*Ayarlar!$B$9),0)</x:f>
        <x:v>0</x:v>
      </x:c>
      <x:c r="W231" s="83" t="n">
        <x:f>IF($B231&lt;&gt;"",SUM($T231:$V231,$R231:$S231),0)</x:f>
        <x:v>0</x:v>
      </x:c>
      <x:c r="X231" s="83" t="n">
        <x:f>IF($B231&lt;&gt;"",$W231*Ayarlar!$B$15,0)</x:f>
        <x:v>0</x:v>
      </x:c>
      <x:c r="Y231" s="83" t="n">
        <x:f>IF($B231&lt;&gt;"",($W231+$X231)*Ayarlar!$B$13,0)</x:f>
        <x:v>0</x:v>
      </x:c>
      <x:c r="Z231" s="83" t="n">
        <x:f>IF($B231&lt;&gt;"",($W231+$X231+$Y231)*Ayarlar!$B$14,0)</x:f>
        <x:v>0</x:v>
      </x:c>
      <x:c r="AA231" s="83" t="str">
        <x:f>IF($B231="","",IF(OR($K231="",$N231=""),"",CEILING($W231+$X231+$Y231+$Z231,Ayarlar!$B$16)))</x:f>
      </x:c>
      <x:c r="AB231" s="83" t="str">
        <x:f>IFERROR($AA231/$H231,"")</x:f>
      </x:c>
      <x:c r="AC231" s="75" t="str">
        <x:f>IF($B231="","",IF(OR($K231="",$N231=""),"Veri Eksik","Fiyat Hazır"))</x:f>
      </x:c>
      <x:c r="AD231" s="75" t="str">
        <x:f>IF($C231&lt;&gt;"","MW-"&amp;$C231,"")</x:f>
        <x:v>MW-80</x:v>
      </x:c>
      <x:c r="AE231" s="75" t="str">
        <x:f>IF($G231&lt;&gt;"","3D Baskı / "&amp;$G231,"3D Baskı")</x:f>
        <x:v>3D Baskı</x:v>
      </x:c>
      <x:c r="AF231" s="75" t="str">
        <x:f>IF($D231&lt;&gt;"",$D231&amp;" - "&amp;$G231,$AD231&amp;" - "&amp;$G231)</x:f>
        <x:v>MW-80 - </x:v>
      </x:c>
      <x:c r="AG231" s="75" t="str"/>
    </x:row>
    <x:row r="232">
      <x:c r="A232" s="75" t="str">
        <x:f>IF($B232&lt;&gt;"",ROW()-4,"")</x:f>
      </x:c>
      <x:c r="B232" s="75" t="str"/>
      <x:c r="C232" s="75" t="n">
        <x:f>IFERROR(LET(x,MID($B232,FIND("/models/",$B232)+8,80),y,LEFT(x,FIND("-",x&amp;"-")-1),LEFT(y,FIND("?",y&amp;"?")-1)),"")</x:f>
        <x:v>80</x:v>
      </x:c>
      <x:c r="D232" s="75" t="str">
        <x:f>IF($B232="","",IFERROR(XLOOKUP($C232,MakerWorld_Verileri!$A:$A,MakerWorld_Verileri!$B:$B,""),""))</x:f>
      </x:c>
      <x:c r="E232" s="75" t="str">
        <x:f>IF($B232="","",IFERROR(XLOOKUP($C232,MakerWorld_Verileri!$A:$A,MakerWorld_Verileri!$C:$C,""),""))</x:f>
      </x:c>
      <x:c r="F232" s="75" t="str"/>
      <x:c r="G232" s="75" t="str">
        <x:f>IF($B232&lt;&gt;"",Ayarlar!$B$7,"")</x:f>
      </x:c>
      <x:c r="H232" s="82" t="str">
        <x:f>IF($B232&lt;&gt;"",1,"")</x:f>
      </x:c>
      <x:c r="I232" s="82" t="str">
        <x:f>IF($B232="","",IFERROR(XLOOKUP($C232,MakerWorld_Verileri!$A:$A,MakerWorld_Verileri!$D:$D,""),""))</x:f>
      </x:c>
      <x:c r="J232" s="82" t="str"/>
      <x:c r="K232" s="82" t="str">
        <x:f>IF($I232&lt;&gt;"",$I232,$J232)</x:f>
      </x:c>
      <x:c r="L232" s="82" t="str">
        <x:f>IF($B232="","",IFERROR(XLOOKUP($C232,MakerWorld_Verileri!$A:$A,MakerWorld_Verileri!$E:$E,""),""))</x:f>
      </x:c>
      <x:c r="M232" s="82" t="str"/>
      <x:c r="N232" s="82" t="str">
        <x:f>IF($L232&lt;&gt;"",$L232,$M232)</x:f>
      </x:c>
      <x:c r="O232" s="82" t="str">
        <x:f>IF($B232&lt;&gt;"",0,"")</x:f>
      </x:c>
      <x:c r="P232" s="75" t="str">
        <x:f>IF($B232&lt;&gt;"","Orta","")</x:f>
      </x:c>
      <x:c r="Q232" s="82" t="str">
        <x:f>IF($B232&lt;&gt;"",10,"")</x:f>
      </x:c>
      <x:c r="R232" s="83" t="str">
        <x:f>IF($B232&lt;&gt;"",Ayarlar!$B$10,"")</x:f>
      </x:c>
      <x:c r="S232" s="83" t="str">
        <x:f>IF($B232&lt;&gt;"",0,"")</x:f>
      </x:c>
      <x:c r="T232" s="83" t="n">
        <x:f>IFERROR(($K232+$O232)*XLOOKUP($G232,Ayarlar!$A$19:$A$28,Ayarlar!$C$19:$C$28,0)*(1+Ayarlar!$B$11),0)</x:f>
        <x:v>0</x:v>
      </x:c>
      <x:c r="U232" s="83" t="n">
        <x:f>IFERROR($N232/60*Ayarlar!$B$8,0)</x:f>
        <x:v>0</x:v>
      </x:c>
      <x:c r="V232" s="83" t="n">
        <x:f>IF($B232&lt;&gt;"",Ayarlar!$B$12+($Q232/60*Ayarlar!$B$9),0)</x:f>
        <x:v>0</x:v>
      </x:c>
      <x:c r="W232" s="83" t="n">
        <x:f>IF($B232&lt;&gt;"",SUM($T232:$V232,$R232:$S232),0)</x:f>
        <x:v>0</x:v>
      </x:c>
      <x:c r="X232" s="83" t="n">
        <x:f>IF($B232&lt;&gt;"",$W232*Ayarlar!$B$15,0)</x:f>
        <x:v>0</x:v>
      </x:c>
      <x:c r="Y232" s="83" t="n">
        <x:f>IF($B232&lt;&gt;"",($W232+$X232)*Ayarlar!$B$13,0)</x:f>
        <x:v>0</x:v>
      </x:c>
      <x:c r="Z232" s="83" t="n">
        <x:f>IF($B232&lt;&gt;"",($W232+$X232+$Y232)*Ayarlar!$B$14,0)</x:f>
        <x:v>0</x:v>
      </x:c>
      <x:c r="AA232" s="83" t="str">
        <x:f>IF($B232="","",IF(OR($K232="",$N232=""),"",CEILING($W232+$X232+$Y232+$Z232,Ayarlar!$B$16)))</x:f>
      </x:c>
      <x:c r="AB232" s="83" t="str">
        <x:f>IFERROR($AA232/$H232,"")</x:f>
      </x:c>
      <x:c r="AC232" s="75" t="str">
        <x:f>IF($B232="","",IF(OR($K232="",$N232=""),"Veri Eksik","Fiyat Hazır"))</x:f>
      </x:c>
      <x:c r="AD232" s="75" t="str">
        <x:f>IF($C232&lt;&gt;"","MW-"&amp;$C232,"")</x:f>
        <x:v>MW-80</x:v>
      </x:c>
      <x:c r="AE232" s="75" t="str">
        <x:f>IF($G232&lt;&gt;"","3D Baskı / "&amp;$G232,"3D Baskı")</x:f>
        <x:v>3D Baskı</x:v>
      </x:c>
      <x:c r="AF232" s="75" t="str">
        <x:f>IF($D232&lt;&gt;"",$D232&amp;" - "&amp;$G232,$AD232&amp;" - "&amp;$G232)</x:f>
        <x:v>MW-80 - </x:v>
      </x:c>
      <x:c r="AG232" s="75" t="str"/>
    </x:row>
    <x:row r="233">
      <x:c r="A233" s="75" t="str">
        <x:f>IF($B233&lt;&gt;"",ROW()-4,"")</x:f>
      </x:c>
      <x:c r="B233" s="75" t="str"/>
      <x:c r="C233" s="75" t="n">
        <x:f>IFERROR(LET(x,MID($B233,FIND("/models/",$B233)+8,80),y,LEFT(x,FIND("-",x&amp;"-")-1),LEFT(y,FIND("?",y&amp;"?")-1)),"")</x:f>
        <x:v>80</x:v>
      </x:c>
      <x:c r="D233" s="75" t="str">
        <x:f>IF($B233="","",IFERROR(XLOOKUP($C233,MakerWorld_Verileri!$A:$A,MakerWorld_Verileri!$B:$B,""),""))</x:f>
      </x:c>
      <x:c r="E233" s="75" t="str">
        <x:f>IF($B233="","",IFERROR(XLOOKUP($C233,MakerWorld_Verileri!$A:$A,MakerWorld_Verileri!$C:$C,""),""))</x:f>
      </x:c>
      <x:c r="F233" s="75" t="str"/>
      <x:c r="G233" s="75" t="str">
        <x:f>IF($B233&lt;&gt;"",Ayarlar!$B$7,"")</x:f>
      </x:c>
      <x:c r="H233" s="82" t="str">
        <x:f>IF($B233&lt;&gt;"",1,"")</x:f>
      </x:c>
      <x:c r="I233" s="82" t="str">
        <x:f>IF($B233="","",IFERROR(XLOOKUP($C233,MakerWorld_Verileri!$A:$A,MakerWorld_Verileri!$D:$D,""),""))</x:f>
      </x:c>
      <x:c r="J233" s="82" t="str"/>
      <x:c r="K233" s="82" t="str">
        <x:f>IF($I233&lt;&gt;"",$I233,$J233)</x:f>
      </x:c>
      <x:c r="L233" s="82" t="str">
        <x:f>IF($B233="","",IFERROR(XLOOKUP($C233,MakerWorld_Verileri!$A:$A,MakerWorld_Verileri!$E:$E,""),""))</x:f>
      </x:c>
      <x:c r="M233" s="82" t="str"/>
      <x:c r="N233" s="82" t="str">
        <x:f>IF($L233&lt;&gt;"",$L233,$M233)</x:f>
      </x:c>
      <x:c r="O233" s="82" t="str">
        <x:f>IF($B233&lt;&gt;"",0,"")</x:f>
      </x:c>
      <x:c r="P233" s="75" t="str">
        <x:f>IF($B233&lt;&gt;"","Orta","")</x:f>
      </x:c>
      <x:c r="Q233" s="82" t="str">
        <x:f>IF($B233&lt;&gt;"",10,"")</x:f>
      </x:c>
      <x:c r="R233" s="83" t="str">
        <x:f>IF($B233&lt;&gt;"",Ayarlar!$B$10,"")</x:f>
      </x:c>
      <x:c r="S233" s="83" t="str">
        <x:f>IF($B233&lt;&gt;"",0,"")</x:f>
      </x:c>
      <x:c r="T233" s="83" t="n">
        <x:f>IFERROR(($K233+$O233)*XLOOKUP($G233,Ayarlar!$A$19:$A$28,Ayarlar!$C$19:$C$28,0)*(1+Ayarlar!$B$11),0)</x:f>
        <x:v>0</x:v>
      </x:c>
      <x:c r="U233" s="83" t="n">
        <x:f>IFERROR($N233/60*Ayarlar!$B$8,0)</x:f>
        <x:v>0</x:v>
      </x:c>
      <x:c r="V233" s="83" t="n">
        <x:f>IF($B233&lt;&gt;"",Ayarlar!$B$12+($Q233/60*Ayarlar!$B$9),0)</x:f>
        <x:v>0</x:v>
      </x:c>
      <x:c r="W233" s="83" t="n">
        <x:f>IF($B233&lt;&gt;"",SUM($T233:$V233,$R233:$S233),0)</x:f>
        <x:v>0</x:v>
      </x:c>
      <x:c r="X233" s="83" t="n">
        <x:f>IF($B233&lt;&gt;"",$W233*Ayarlar!$B$15,0)</x:f>
        <x:v>0</x:v>
      </x:c>
      <x:c r="Y233" s="83" t="n">
        <x:f>IF($B233&lt;&gt;"",($W233+$X233)*Ayarlar!$B$13,0)</x:f>
        <x:v>0</x:v>
      </x:c>
      <x:c r="Z233" s="83" t="n">
        <x:f>IF($B233&lt;&gt;"",($W233+$X233+$Y233)*Ayarlar!$B$14,0)</x:f>
        <x:v>0</x:v>
      </x:c>
      <x:c r="AA233" s="83" t="str">
        <x:f>IF($B233="","",IF(OR($K233="",$N233=""),"",CEILING($W233+$X233+$Y233+$Z233,Ayarlar!$B$16)))</x:f>
      </x:c>
      <x:c r="AB233" s="83" t="str">
        <x:f>IFERROR($AA233/$H233,"")</x:f>
      </x:c>
      <x:c r="AC233" s="75" t="str">
        <x:f>IF($B233="","",IF(OR($K233="",$N233=""),"Veri Eksik","Fiyat Hazır"))</x:f>
      </x:c>
      <x:c r="AD233" s="75" t="str">
        <x:f>IF($C233&lt;&gt;"","MW-"&amp;$C233,"")</x:f>
        <x:v>MW-80</x:v>
      </x:c>
      <x:c r="AE233" s="75" t="str">
        <x:f>IF($G233&lt;&gt;"","3D Baskı / "&amp;$G233,"3D Baskı")</x:f>
        <x:v>3D Baskı</x:v>
      </x:c>
      <x:c r="AF233" s="75" t="str">
        <x:f>IF($D233&lt;&gt;"",$D233&amp;" - "&amp;$G233,$AD233&amp;" - "&amp;$G233)</x:f>
        <x:v>MW-80 - </x:v>
      </x:c>
      <x:c r="AG233" s="75" t="str"/>
    </x:row>
    <x:row r="234">
      <x:c r="A234" s="75" t="str">
        <x:f>IF($B234&lt;&gt;"",ROW()-4,"")</x:f>
      </x:c>
      <x:c r="B234" s="75" t="str"/>
      <x:c r="C234" s="75" t="n">
        <x:f>IFERROR(LET(x,MID($B234,FIND("/models/",$B234)+8,80),y,LEFT(x,FIND("-",x&amp;"-")-1),LEFT(y,FIND("?",y&amp;"?")-1)),"")</x:f>
        <x:v>80</x:v>
      </x:c>
      <x:c r="D234" s="75" t="str">
        <x:f>IF($B234="","",IFERROR(XLOOKUP($C234,MakerWorld_Verileri!$A:$A,MakerWorld_Verileri!$B:$B,""),""))</x:f>
      </x:c>
      <x:c r="E234" s="75" t="str">
        <x:f>IF($B234="","",IFERROR(XLOOKUP($C234,MakerWorld_Verileri!$A:$A,MakerWorld_Verileri!$C:$C,""),""))</x:f>
      </x:c>
      <x:c r="F234" s="75" t="str"/>
      <x:c r="G234" s="75" t="str">
        <x:f>IF($B234&lt;&gt;"",Ayarlar!$B$7,"")</x:f>
      </x:c>
      <x:c r="H234" s="82" t="str">
        <x:f>IF($B234&lt;&gt;"",1,"")</x:f>
      </x:c>
      <x:c r="I234" s="82" t="str">
        <x:f>IF($B234="","",IFERROR(XLOOKUP($C234,MakerWorld_Verileri!$A:$A,MakerWorld_Verileri!$D:$D,""),""))</x:f>
      </x:c>
      <x:c r="J234" s="82" t="str"/>
      <x:c r="K234" s="82" t="str">
        <x:f>IF($I234&lt;&gt;"",$I234,$J234)</x:f>
      </x:c>
      <x:c r="L234" s="82" t="str">
        <x:f>IF($B234="","",IFERROR(XLOOKUP($C234,MakerWorld_Verileri!$A:$A,MakerWorld_Verileri!$E:$E,""),""))</x:f>
      </x:c>
      <x:c r="M234" s="82" t="str"/>
      <x:c r="N234" s="82" t="str">
        <x:f>IF($L234&lt;&gt;"",$L234,$M234)</x:f>
      </x:c>
      <x:c r="O234" s="82" t="str">
        <x:f>IF($B234&lt;&gt;"",0,"")</x:f>
      </x:c>
      <x:c r="P234" s="75" t="str">
        <x:f>IF($B234&lt;&gt;"","Orta","")</x:f>
      </x:c>
      <x:c r="Q234" s="82" t="str">
        <x:f>IF($B234&lt;&gt;"",10,"")</x:f>
      </x:c>
      <x:c r="R234" s="83" t="str">
        <x:f>IF($B234&lt;&gt;"",Ayarlar!$B$10,"")</x:f>
      </x:c>
      <x:c r="S234" s="83" t="str">
        <x:f>IF($B234&lt;&gt;"",0,"")</x:f>
      </x:c>
      <x:c r="T234" s="83" t="n">
        <x:f>IFERROR(($K234+$O234)*XLOOKUP($G234,Ayarlar!$A$19:$A$28,Ayarlar!$C$19:$C$28,0)*(1+Ayarlar!$B$11),0)</x:f>
        <x:v>0</x:v>
      </x:c>
      <x:c r="U234" s="83" t="n">
        <x:f>IFERROR($N234/60*Ayarlar!$B$8,0)</x:f>
        <x:v>0</x:v>
      </x:c>
      <x:c r="V234" s="83" t="n">
        <x:f>IF($B234&lt;&gt;"",Ayarlar!$B$12+($Q234/60*Ayarlar!$B$9),0)</x:f>
        <x:v>0</x:v>
      </x:c>
      <x:c r="W234" s="83" t="n">
        <x:f>IF($B234&lt;&gt;"",SUM($T234:$V234,$R234:$S234),0)</x:f>
        <x:v>0</x:v>
      </x:c>
      <x:c r="X234" s="83" t="n">
        <x:f>IF($B234&lt;&gt;"",$W234*Ayarlar!$B$15,0)</x:f>
        <x:v>0</x:v>
      </x:c>
      <x:c r="Y234" s="83" t="n">
        <x:f>IF($B234&lt;&gt;"",($W234+$X234)*Ayarlar!$B$13,0)</x:f>
        <x:v>0</x:v>
      </x:c>
      <x:c r="Z234" s="83" t="n">
        <x:f>IF($B234&lt;&gt;"",($W234+$X234+$Y234)*Ayarlar!$B$14,0)</x:f>
        <x:v>0</x:v>
      </x:c>
      <x:c r="AA234" s="83" t="str">
        <x:f>IF($B234="","",IF(OR($K234="",$N234=""),"",CEILING($W234+$X234+$Y234+$Z234,Ayarlar!$B$16)))</x:f>
      </x:c>
      <x:c r="AB234" s="83" t="str">
        <x:f>IFERROR($AA234/$H234,"")</x:f>
      </x:c>
      <x:c r="AC234" s="75" t="str">
        <x:f>IF($B234="","",IF(OR($K234="",$N234=""),"Veri Eksik","Fiyat Hazır"))</x:f>
      </x:c>
      <x:c r="AD234" s="75" t="str">
        <x:f>IF($C234&lt;&gt;"","MW-"&amp;$C234,"")</x:f>
        <x:v>MW-80</x:v>
      </x:c>
      <x:c r="AE234" s="75" t="str">
        <x:f>IF($G234&lt;&gt;"","3D Baskı / "&amp;$G234,"3D Baskı")</x:f>
        <x:v>3D Baskı</x:v>
      </x:c>
      <x:c r="AF234" s="75" t="str">
        <x:f>IF($D234&lt;&gt;"",$D234&amp;" - "&amp;$G234,$AD234&amp;" - "&amp;$G234)</x:f>
        <x:v>MW-80 - </x:v>
      </x:c>
      <x:c r="AG234" s="75" t="str"/>
    </x:row>
    <x:row r="235">
      <x:c r="A235" s="75" t="str">
        <x:f>IF($B235&lt;&gt;"",ROW()-4,"")</x:f>
      </x:c>
      <x:c r="B235" s="75" t="str"/>
      <x:c r="C235" s="75" t="n">
        <x:f>IFERROR(LET(x,MID($B235,FIND("/models/",$B235)+8,80),y,LEFT(x,FIND("-",x&amp;"-")-1),LEFT(y,FIND("?",y&amp;"?")-1)),"")</x:f>
        <x:v>80</x:v>
      </x:c>
      <x:c r="D235" s="75" t="str">
        <x:f>IF($B235="","",IFERROR(XLOOKUP($C235,MakerWorld_Verileri!$A:$A,MakerWorld_Verileri!$B:$B,""),""))</x:f>
      </x:c>
      <x:c r="E235" s="75" t="str">
        <x:f>IF($B235="","",IFERROR(XLOOKUP($C235,MakerWorld_Verileri!$A:$A,MakerWorld_Verileri!$C:$C,""),""))</x:f>
      </x:c>
      <x:c r="F235" s="75" t="str"/>
      <x:c r="G235" s="75" t="str">
        <x:f>IF($B235&lt;&gt;"",Ayarlar!$B$7,"")</x:f>
      </x:c>
      <x:c r="H235" s="82" t="str">
        <x:f>IF($B235&lt;&gt;"",1,"")</x:f>
      </x:c>
      <x:c r="I235" s="82" t="str">
        <x:f>IF($B235="","",IFERROR(XLOOKUP($C235,MakerWorld_Verileri!$A:$A,MakerWorld_Verileri!$D:$D,""),""))</x:f>
      </x:c>
      <x:c r="J235" s="82" t="str"/>
      <x:c r="K235" s="82" t="str">
        <x:f>IF($I235&lt;&gt;"",$I235,$J235)</x:f>
      </x:c>
      <x:c r="L235" s="82" t="str">
        <x:f>IF($B235="","",IFERROR(XLOOKUP($C235,MakerWorld_Verileri!$A:$A,MakerWorld_Verileri!$E:$E,""),""))</x:f>
      </x:c>
      <x:c r="M235" s="82" t="str"/>
      <x:c r="N235" s="82" t="str">
        <x:f>IF($L235&lt;&gt;"",$L235,$M235)</x:f>
      </x:c>
      <x:c r="O235" s="82" t="str">
        <x:f>IF($B235&lt;&gt;"",0,"")</x:f>
      </x:c>
      <x:c r="P235" s="75" t="str">
        <x:f>IF($B235&lt;&gt;"","Orta","")</x:f>
      </x:c>
      <x:c r="Q235" s="82" t="str">
        <x:f>IF($B235&lt;&gt;"",10,"")</x:f>
      </x:c>
      <x:c r="R235" s="83" t="str">
        <x:f>IF($B235&lt;&gt;"",Ayarlar!$B$10,"")</x:f>
      </x:c>
      <x:c r="S235" s="83" t="str">
        <x:f>IF($B235&lt;&gt;"",0,"")</x:f>
      </x:c>
      <x:c r="T235" s="83" t="n">
        <x:f>IFERROR(($K235+$O235)*XLOOKUP($G235,Ayarlar!$A$19:$A$28,Ayarlar!$C$19:$C$28,0)*(1+Ayarlar!$B$11),0)</x:f>
        <x:v>0</x:v>
      </x:c>
      <x:c r="U235" s="83" t="n">
        <x:f>IFERROR($N235/60*Ayarlar!$B$8,0)</x:f>
        <x:v>0</x:v>
      </x:c>
      <x:c r="V235" s="83" t="n">
        <x:f>IF($B235&lt;&gt;"",Ayarlar!$B$12+($Q235/60*Ayarlar!$B$9),0)</x:f>
        <x:v>0</x:v>
      </x:c>
      <x:c r="W235" s="83" t="n">
        <x:f>IF($B235&lt;&gt;"",SUM($T235:$V235,$R235:$S235),0)</x:f>
        <x:v>0</x:v>
      </x:c>
      <x:c r="X235" s="83" t="n">
        <x:f>IF($B235&lt;&gt;"",$W235*Ayarlar!$B$15,0)</x:f>
        <x:v>0</x:v>
      </x:c>
      <x:c r="Y235" s="83" t="n">
        <x:f>IF($B235&lt;&gt;"",($W235+$X235)*Ayarlar!$B$13,0)</x:f>
        <x:v>0</x:v>
      </x:c>
      <x:c r="Z235" s="83" t="n">
        <x:f>IF($B235&lt;&gt;"",($W235+$X235+$Y235)*Ayarlar!$B$14,0)</x:f>
        <x:v>0</x:v>
      </x:c>
      <x:c r="AA235" s="83" t="str">
        <x:f>IF($B235="","",IF(OR($K235="",$N235=""),"",CEILING($W235+$X235+$Y235+$Z235,Ayarlar!$B$16)))</x:f>
      </x:c>
      <x:c r="AB235" s="83" t="str">
        <x:f>IFERROR($AA235/$H235,"")</x:f>
      </x:c>
      <x:c r="AC235" s="75" t="str">
        <x:f>IF($B235="","",IF(OR($K235="",$N235=""),"Veri Eksik","Fiyat Hazır"))</x:f>
      </x:c>
      <x:c r="AD235" s="75" t="str">
        <x:f>IF($C235&lt;&gt;"","MW-"&amp;$C235,"")</x:f>
        <x:v>MW-80</x:v>
      </x:c>
      <x:c r="AE235" s="75" t="str">
        <x:f>IF($G235&lt;&gt;"","3D Baskı / "&amp;$G235,"3D Baskı")</x:f>
        <x:v>3D Baskı</x:v>
      </x:c>
      <x:c r="AF235" s="75" t="str">
        <x:f>IF($D235&lt;&gt;"",$D235&amp;" - "&amp;$G235,$AD235&amp;" - "&amp;$G235)</x:f>
        <x:v>MW-80 - </x:v>
      </x:c>
      <x:c r="AG235" s="75" t="str"/>
    </x:row>
    <x:row r="236">
      <x:c r="A236" s="75" t="str">
        <x:f>IF($B236&lt;&gt;"",ROW()-4,"")</x:f>
      </x:c>
      <x:c r="B236" s="75" t="str"/>
      <x:c r="C236" s="75" t="n">
        <x:f>IFERROR(LET(x,MID($B236,FIND("/models/",$B236)+8,80),y,LEFT(x,FIND("-",x&amp;"-")-1),LEFT(y,FIND("?",y&amp;"?")-1)),"")</x:f>
        <x:v>80</x:v>
      </x:c>
      <x:c r="D236" s="75" t="str">
        <x:f>IF($B236="","",IFERROR(XLOOKUP($C236,MakerWorld_Verileri!$A:$A,MakerWorld_Verileri!$B:$B,""),""))</x:f>
      </x:c>
      <x:c r="E236" s="75" t="str">
        <x:f>IF($B236="","",IFERROR(XLOOKUP($C236,MakerWorld_Verileri!$A:$A,MakerWorld_Verileri!$C:$C,""),""))</x:f>
      </x:c>
      <x:c r="F236" s="75" t="str"/>
      <x:c r="G236" s="75" t="str">
        <x:f>IF($B236&lt;&gt;"",Ayarlar!$B$7,"")</x:f>
      </x:c>
      <x:c r="H236" s="82" t="str">
        <x:f>IF($B236&lt;&gt;"",1,"")</x:f>
      </x:c>
      <x:c r="I236" s="82" t="str">
        <x:f>IF($B236="","",IFERROR(XLOOKUP($C236,MakerWorld_Verileri!$A:$A,MakerWorld_Verileri!$D:$D,""),""))</x:f>
      </x:c>
      <x:c r="J236" s="82" t="str"/>
      <x:c r="K236" s="82" t="str">
        <x:f>IF($I236&lt;&gt;"",$I236,$J236)</x:f>
      </x:c>
      <x:c r="L236" s="82" t="str">
        <x:f>IF($B236="","",IFERROR(XLOOKUP($C236,MakerWorld_Verileri!$A:$A,MakerWorld_Verileri!$E:$E,""),""))</x:f>
      </x:c>
      <x:c r="M236" s="82" t="str"/>
      <x:c r="N236" s="82" t="str">
        <x:f>IF($L236&lt;&gt;"",$L236,$M236)</x:f>
      </x:c>
      <x:c r="O236" s="82" t="str">
        <x:f>IF($B236&lt;&gt;"",0,"")</x:f>
      </x:c>
      <x:c r="P236" s="75" t="str">
        <x:f>IF($B236&lt;&gt;"","Orta","")</x:f>
      </x:c>
      <x:c r="Q236" s="82" t="str">
        <x:f>IF($B236&lt;&gt;"",10,"")</x:f>
      </x:c>
      <x:c r="R236" s="83" t="str">
        <x:f>IF($B236&lt;&gt;"",Ayarlar!$B$10,"")</x:f>
      </x:c>
      <x:c r="S236" s="83" t="str">
        <x:f>IF($B236&lt;&gt;"",0,"")</x:f>
      </x:c>
      <x:c r="T236" s="83" t="n">
        <x:f>IFERROR(($K236+$O236)*XLOOKUP($G236,Ayarlar!$A$19:$A$28,Ayarlar!$C$19:$C$28,0)*(1+Ayarlar!$B$11),0)</x:f>
        <x:v>0</x:v>
      </x:c>
      <x:c r="U236" s="83" t="n">
        <x:f>IFERROR($N236/60*Ayarlar!$B$8,0)</x:f>
        <x:v>0</x:v>
      </x:c>
      <x:c r="V236" s="83" t="n">
        <x:f>IF($B236&lt;&gt;"",Ayarlar!$B$12+($Q236/60*Ayarlar!$B$9),0)</x:f>
        <x:v>0</x:v>
      </x:c>
      <x:c r="W236" s="83" t="n">
        <x:f>IF($B236&lt;&gt;"",SUM($T236:$V236,$R236:$S236),0)</x:f>
        <x:v>0</x:v>
      </x:c>
      <x:c r="X236" s="83" t="n">
        <x:f>IF($B236&lt;&gt;"",$W236*Ayarlar!$B$15,0)</x:f>
        <x:v>0</x:v>
      </x:c>
      <x:c r="Y236" s="83" t="n">
        <x:f>IF($B236&lt;&gt;"",($W236+$X236)*Ayarlar!$B$13,0)</x:f>
        <x:v>0</x:v>
      </x:c>
      <x:c r="Z236" s="83" t="n">
        <x:f>IF($B236&lt;&gt;"",($W236+$X236+$Y236)*Ayarlar!$B$14,0)</x:f>
        <x:v>0</x:v>
      </x:c>
      <x:c r="AA236" s="83" t="str">
        <x:f>IF($B236="","",IF(OR($K236="",$N236=""),"",CEILING($W236+$X236+$Y236+$Z236,Ayarlar!$B$16)))</x:f>
      </x:c>
      <x:c r="AB236" s="83" t="str">
        <x:f>IFERROR($AA236/$H236,"")</x:f>
      </x:c>
      <x:c r="AC236" s="75" t="str">
        <x:f>IF($B236="","",IF(OR($K236="",$N236=""),"Veri Eksik","Fiyat Hazır"))</x:f>
      </x:c>
      <x:c r="AD236" s="75" t="str">
        <x:f>IF($C236&lt;&gt;"","MW-"&amp;$C236,"")</x:f>
        <x:v>MW-80</x:v>
      </x:c>
      <x:c r="AE236" s="75" t="str">
        <x:f>IF($G236&lt;&gt;"","3D Baskı / "&amp;$G236,"3D Baskı")</x:f>
        <x:v>3D Baskı</x:v>
      </x:c>
      <x:c r="AF236" s="75" t="str">
        <x:f>IF($D236&lt;&gt;"",$D236&amp;" - "&amp;$G236,$AD236&amp;" - "&amp;$G236)</x:f>
        <x:v>MW-80 - </x:v>
      </x:c>
      <x:c r="AG236" s="75" t="str"/>
    </x:row>
    <x:row r="237">
      <x:c r="A237" s="75" t="str">
        <x:f>IF($B237&lt;&gt;"",ROW()-4,"")</x:f>
      </x:c>
      <x:c r="B237" s="75" t="str"/>
      <x:c r="C237" s="75" t="n">
        <x:f>IFERROR(LET(x,MID($B237,FIND("/models/",$B237)+8,80),y,LEFT(x,FIND("-",x&amp;"-")-1),LEFT(y,FIND("?",y&amp;"?")-1)),"")</x:f>
        <x:v>80</x:v>
      </x:c>
      <x:c r="D237" s="75" t="str">
        <x:f>IF($B237="","",IFERROR(XLOOKUP($C237,MakerWorld_Verileri!$A:$A,MakerWorld_Verileri!$B:$B,""),""))</x:f>
      </x:c>
      <x:c r="E237" s="75" t="str">
        <x:f>IF($B237="","",IFERROR(XLOOKUP($C237,MakerWorld_Verileri!$A:$A,MakerWorld_Verileri!$C:$C,""),""))</x:f>
      </x:c>
      <x:c r="F237" s="75" t="str"/>
      <x:c r="G237" s="75" t="str">
        <x:f>IF($B237&lt;&gt;"",Ayarlar!$B$7,"")</x:f>
      </x:c>
      <x:c r="H237" s="82" t="str">
        <x:f>IF($B237&lt;&gt;"",1,"")</x:f>
      </x:c>
      <x:c r="I237" s="82" t="str">
        <x:f>IF($B237="","",IFERROR(XLOOKUP($C237,MakerWorld_Verileri!$A:$A,MakerWorld_Verileri!$D:$D,""),""))</x:f>
      </x:c>
      <x:c r="J237" s="82" t="str"/>
      <x:c r="K237" s="82" t="str">
        <x:f>IF($I237&lt;&gt;"",$I237,$J237)</x:f>
      </x:c>
      <x:c r="L237" s="82" t="str">
        <x:f>IF($B237="","",IFERROR(XLOOKUP($C237,MakerWorld_Verileri!$A:$A,MakerWorld_Verileri!$E:$E,""),""))</x:f>
      </x:c>
      <x:c r="M237" s="82" t="str"/>
      <x:c r="N237" s="82" t="str">
        <x:f>IF($L237&lt;&gt;"",$L237,$M237)</x:f>
      </x:c>
      <x:c r="O237" s="82" t="str">
        <x:f>IF($B237&lt;&gt;"",0,"")</x:f>
      </x:c>
      <x:c r="P237" s="75" t="str">
        <x:f>IF($B237&lt;&gt;"","Orta","")</x:f>
      </x:c>
      <x:c r="Q237" s="82" t="str">
        <x:f>IF($B237&lt;&gt;"",10,"")</x:f>
      </x:c>
      <x:c r="R237" s="83" t="str">
        <x:f>IF($B237&lt;&gt;"",Ayarlar!$B$10,"")</x:f>
      </x:c>
      <x:c r="S237" s="83" t="str">
        <x:f>IF($B237&lt;&gt;"",0,"")</x:f>
      </x:c>
      <x:c r="T237" s="83" t="n">
        <x:f>IFERROR(($K237+$O237)*XLOOKUP($G237,Ayarlar!$A$19:$A$28,Ayarlar!$C$19:$C$28,0)*(1+Ayarlar!$B$11),0)</x:f>
        <x:v>0</x:v>
      </x:c>
      <x:c r="U237" s="83" t="n">
        <x:f>IFERROR($N237/60*Ayarlar!$B$8,0)</x:f>
        <x:v>0</x:v>
      </x:c>
      <x:c r="V237" s="83" t="n">
        <x:f>IF($B237&lt;&gt;"",Ayarlar!$B$12+($Q237/60*Ayarlar!$B$9),0)</x:f>
        <x:v>0</x:v>
      </x:c>
      <x:c r="W237" s="83" t="n">
        <x:f>IF($B237&lt;&gt;"",SUM($T237:$V237,$R237:$S237),0)</x:f>
        <x:v>0</x:v>
      </x:c>
      <x:c r="X237" s="83" t="n">
        <x:f>IF($B237&lt;&gt;"",$W237*Ayarlar!$B$15,0)</x:f>
        <x:v>0</x:v>
      </x:c>
      <x:c r="Y237" s="83" t="n">
        <x:f>IF($B237&lt;&gt;"",($W237+$X237)*Ayarlar!$B$13,0)</x:f>
        <x:v>0</x:v>
      </x:c>
      <x:c r="Z237" s="83" t="n">
        <x:f>IF($B237&lt;&gt;"",($W237+$X237+$Y237)*Ayarlar!$B$14,0)</x:f>
        <x:v>0</x:v>
      </x:c>
      <x:c r="AA237" s="83" t="str">
        <x:f>IF($B237="","",IF(OR($K237="",$N237=""),"",CEILING($W237+$X237+$Y237+$Z237,Ayarlar!$B$16)))</x:f>
      </x:c>
      <x:c r="AB237" s="83" t="str">
        <x:f>IFERROR($AA237/$H237,"")</x:f>
      </x:c>
      <x:c r="AC237" s="75" t="str">
        <x:f>IF($B237="","",IF(OR($K237="",$N237=""),"Veri Eksik","Fiyat Hazır"))</x:f>
      </x:c>
      <x:c r="AD237" s="75" t="str">
        <x:f>IF($C237&lt;&gt;"","MW-"&amp;$C237,"")</x:f>
        <x:v>MW-80</x:v>
      </x:c>
      <x:c r="AE237" s="75" t="str">
        <x:f>IF($G237&lt;&gt;"","3D Baskı / "&amp;$G237,"3D Baskı")</x:f>
        <x:v>3D Baskı</x:v>
      </x:c>
      <x:c r="AF237" s="75" t="str">
        <x:f>IF($D237&lt;&gt;"",$D237&amp;" - "&amp;$G237,$AD237&amp;" - "&amp;$G237)</x:f>
        <x:v>MW-80 - </x:v>
      </x:c>
      <x:c r="AG237" s="75" t="str"/>
    </x:row>
    <x:row r="238">
      <x:c r="A238" s="75" t="str">
        <x:f>IF($B238&lt;&gt;"",ROW()-4,"")</x:f>
      </x:c>
      <x:c r="B238" s="75" t="str"/>
      <x:c r="C238" s="75" t="n">
        <x:f>IFERROR(LET(x,MID($B238,FIND("/models/",$B238)+8,80),y,LEFT(x,FIND("-",x&amp;"-")-1),LEFT(y,FIND("?",y&amp;"?")-1)),"")</x:f>
        <x:v>80</x:v>
      </x:c>
      <x:c r="D238" s="75" t="str">
        <x:f>IF($B238="","",IFERROR(XLOOKUP($C238,MakerWorld_Verileri!$A:$A,MakerWorld_Verileri!$B:$B,""),""))</x:f>
      </x:c>
      <x:c r="E238" s="75" t="str">
        <x:f>IF($B238="","",IFERROR(XLOOKUP($C238,MakerWorld_Verileri!$A:$A,MakerWorld_Verileri!$C:$C,""),""))</x:f>
      </x:c>
      <x:c r="F238" s="75" t="str"/>
      <x:c r="G238" s="75" t="str">
        <x:f>IF($B238&lt;&gt;"",Ayarlar!$B$7,"")</x:f>
      </x:c>
      <x:c r="H238" s="82" t="str">
        <x:f>IF($B238&lt;&gt;"",1,"")</x:f>
      </x:c>
      <x:c r="I238" s="82" t="str">
        <x:f>IF($B238="","",IFERROR(XLOOKUP($C238,MakerWorld_Verileri!$A:$A,MakerWorld_Verileri!$D:$D,""),""))</x:f>
      </x:c>
      <x:c r="J238" s="82" t="str"/>
      <x:c r="K238" s="82" t="str">
        <x:f>IF($I238&lt;&gt;"",$I238,$J238)</x:f>
      </x:c>
      <x:c r="L238" s="82" t="str">
        <x:f>IF($B238="","",IFERROR(XLOOKUP($C238,MakerWorld_Verileri!$A:$A,MakerWorld_Verileri!$E:$E,""),""))</x:f>
      </x:c>
      <x:c r="M238" s="82" t="str"/>
      <x:c r="N238" s="82" t="str">
        <x:f>IF($L238&lt;&gt;"",$L238,$M238)</x:f>
      </x:c>
      <x:c r="O238" s="82" t="str">
        <x:f>IF($B238&lt;&gt;"",0,"")</x:f>
      </x:c>
      <x:c r="P238" s="75" t="str">
        <x:f>IF($B238&lt;&gt;"","Orta","")</x:f>
      </x:c>
      <x:c r="Q238" s="82" t="str">
        <x:f>IF($B238&lt;&gt;"",10,"")</x:f>
      </x:c>
      <x:c r="R238" s="83" t="str">
        <x:f>IF($B238&lt;&gt;"",Ayarlar!$B$10,"")</x:f>
      </x:c>
      <x:c r="S238" s="83" t="str">
        <x:f>IF($B238&lt;&gt;"",0,"")</x:f>
      </x:c>
      <x:c r="T238" s="83" t="n">
        <x:f>IFERROR(($K238+$O238)*XLOOKUP($G238,Ayarlar!$A$19:$A$28,Ayarlar!$C$19:$C$28,0)*(1+Ayarlar!$B$11),0)</x:f>
        <x:v>0</x:v>
      </x:c>
      <x:c r="U238" s="83" t="n">
        <x:f>IFERROR($N238/60*Ayarlar!$B$8,0)</x:f>
        <x:v>0</x:v>
      </x:c>
      <x:c r="V238" s="83" t="n">
        <x:f>IF($B238&lt;&gt;"",Ayarlar!$B$12+($Q238/60*Ayarlar!$B$9),0)</x:f>
        <x:v>0</x:v>
      </x:c>
      <x:c r="W238" s="83" t="n">
        <x:f>IF($B238&lt;&gt;"",SUM($T238:$V238,$R238:$S238),0)</x:f>
        <x:v>0</x:v>
      </x:c>
      <x:c r="X238" s="83" t="n">
        <x:f>IF($B238&lt;&gt;"",$W238*Ayarlar!$B$15,0)</x:f>
        <x:v>0</x:v>
      </x:c>
      <x:c r="Y238" s="83" t="n">
        <x:f>IF($B238&lt;&gt;"",($W238+$X238)*Ayarlar!$B$13,0)</x:f>
        <x:v>0</x:v>
      </x:c>
      <x:c r="Z238" s="83" t="n">
        <x:f>IF($B238&lt;&gt;"",($W238+$X238+$Y238)*Ayarlar!$B$14,0)</x:f>
        <x:v>0</x:v>
      </x:c>
      <x:c r="AA238" s="83" t="str">
        <x:f>IF($B238="","",IF(OR($K238="",$N238=""),"",CEILING($W238+$X238+$Y238+$Z238,Ayarlar!$B$16)))</x:f>
      </x:c>
      <x:c r="AB238" s="83" t="str">
        <x:f>IFERROR($AA238/$H238,"")</x:f>
      </x:c>
      <x:c r="AC238" s="75" t="str">
        <x:f>IF($B238="","",IF(OR($K238="",$N238=""),"Veri Eksik","Fiyat Hazır"))</x:f>
      </x:c>
      <x:c r="AD238" s="75" t="str">
        <x:f>IF($C238&lt;&gt;"","MW-"&amp;$C238,"")</x:f>
        <x:v>MW-80</x:v>
      </x:c>
      <x:c r="AE238" s="75" t="str">
        <x:f>IF($G238&lt;&gt;"","3D Baskı / "&amp;$G238,"3D Baskı")</x:f>
        <x:v>3D Baskı</x:v>
      </x:c>
      <x:c r="AF238" s="75" t="str">
        <x:f>IF($D238&lt;&gt;"",$D238&amp;" - "&amp;$G238,$AD238&amp;" - "&amp;$G238)</x:f>
        <x:v>MW-80 - </x:v>
      </x:c>
      <x:c r="AG238" s="75" t="str"/>
    </x:row>
    <x:row r="239">
      <x:c r="A239" s="75" t="str">
        <x:f>IF($B239&lt;&gt;"",ROW()-4,"")</x:f>
      </x:c>
      <x:c r="B239" s="75" t="str"/>
      <x:c r="C239" s="75" t="n">
        <x:f>IFERROR(LET(x,MID($B239,FIND("/models/",$B239)+8,80),y,LEFT(x,FIND("-",x&amp;"-")-1),LEFT(y,FIND("?",y&amp;"?")-1)),"")</x:f>
        <x:v>80</x:v>
      </x:c>
      <x:c r="D239" s="75" t="str">
        <x:f>IF($B239="","",IFERROR(XLOOKUP($C239,MakerWorld_Verileri!$A:$A,MakerWorld_Verileri!$B:$B,""),""))</x:f>
      </x:c>
      <x:c r="E239" s="75" t="str">
        <x:f>IF($B239="","",IFERROR(XLOOKUP($C239,MakerWorld_Verileri!$A:$A,MakerWorld_Verileri!$C:$C,""),""))</x:f>
      </x:c>
      <x:c r="F239" s="75" t="str"/>
      <x:c r="G239" s="75" t="str">
        <x:f>IF($B239&lt;&gt;"",Ayarlar!$B$7,"")</x:f>
      </x:c>
      <x:c r="H239" s="82" t="str">
        <x:f>IF($B239&lt;&gt;"",1,"")</x:f>
      </x:c>
      <x:c r="I239" s="82" t="str">
        <x:f>IF($B239="","",IFERROR(XLOOKUP($C239,MakerWorld_Verileri!$A:$A,MakerWorld_Verileri!$D:$D,""),""))</x:f>
      </x:c>
      <x:c r="J239" s="82" t="str"/>
      <x:c r="K239" s="82" t="str">
        <x:f>IF($I239&lt;&gt;"",$I239,$J239)</x:f>
      </x:c>
      <x:c r="L239" s="82" t="str">
        <x:f>IF($B239="","",IFERROR(XLOOKUP($C239,MakerWorld_Verileri!$A:$A,MakerWorld_Verileri!$E:$E,""),""))</x:f>
      </x:c>
      <x:c r="M239" s="82" t="str"/>
      <x:c r="N239" s="82" t="str">
        <x:f>IF($L239&lt;&gt;"",$L239,$M239)</x:f>
      </x:c>
      <x:c r="O239" s="82" t="str">
        <x:f>IF($B239&lt;&gt;"",0,"")</x:f>
      </x:c>
      <x:c r="P239" s="75" t="str">
        <x:f>IF($B239&lt;&gt;"","Orta","")</x:f>
      </x:c>
      <x:c r="Q239" s="82" t="str">
        <x:f>IF($B239&lt;&gt;"",10,"")</x:f>
      </x:c>
      <x:c r="R239" s="83" t="str">
        <x:f>IF($B239&lt;&gt;"",Ayarlar!$B$10,"")</x:f>
      </x:c>
      <x:c r="S239" s="83" t="str">
        <x:f>IF($B239&lt;&gt;"",0,"")</x:f>
      </x:c>
      <x:c r="T239" s="83" t="n">
        <x:f>IFERROR(($K239+$O239)*XLOOKUP($G239,Ayarlar!$A$19:$A$28,Ayarlar!$C$19:$C$28,0)*(1+Ayarlar!$B$11),0)</x:f>
        <x:v>0</x:v>
      </x:c>
      <x:c r="U239" s="83" t="n">
        <x:f>IFERROR($N239/60*Ayarlar!$B$8,0)</x:f>
        <x:v>0</x:v>
      </x:c>
      <x:c r="V239" s="83" t="n">
        <x:f>IF($B239&lt;&gt;"",Ayarlar!$B$12+($Q239/60*Ayarlar!$B$9),0)</x:f>
        <x:v>0</x:v>
      </x:c>
      <x:c r="W239" s="83" t="n">
        <x:f>IF($B239&lt;&gt;"",SUM($T239:$V239,$R239:$S239),0)</x:f>
        <x:v>0</x:v>
      </x:c>
      <x:c r="X239" s="83" t="n">
        <x:f>IF($B239&lt;&gt;"",$W239*Ayarlar!$B$15,0)</x:f>
        <x:v>0</x:v>
      </x:c>
      <x:c r="Y239" s="83" t="n">
        <x:f>IF($B239&lt;&gt;"",($W239+$X239)*Ayarlar!$B$13,0)</x:f>
        <x:v>0</x:v>
      </x:c>
      <x:c r="Z239" s="83" t="n">
        <x:f>IF($B239&lt;&gt;"",($W239+$X239+$Y239)*Ayarlar!$B$14,0)</x:f>
        <x:v>0</x:v>
      </x:c>
      <x:c r="AA239" s="83" t="str">
        <x:f>IF($B239="","",IF(OR($K239="",$N239=""),"",CEILING($W239+$X239+$Y239+$Z239,Ayarlar!$B$16)))</x:f>
      </x:c>
      <x:c r="AB239" s="83" t="str">
        <x:f>IFERROR($AA239/$H239,"")</x:f>
      </x:c>
      <x:c r="AC239" s="75" t="str">
        <x:f>IF($B239="","",IF(OR($K239="",$N239=""),"Veri Eksik","Fiyat Hazır"))</x:f>
      </x:c>
      <x:c r="AD239" s="75" t="str">
        <x:f>IF($C239&lt;&gt;"","MW-"&amp;$C239,"")</x:f>
        <x:v>MW-80</x:v>
      </x:c>
      <x:c r="AE239" s="75" t="str">
        <x:f>IF($G239&lt;&gt;"","3D Baskı / "&amp;$G239,"3D Baskı")</x:f>
        <x:v>3D Baskı</x:v>
      </x:c>
      <x:c r="AF239" s="75" t="str">
        <x:f>IF($D239&lt;&gt;"",$D239&amp;" - "&amp;$G239,$AD239&amp;" - "&amp;$G239)</x:f>
        <x:v>MW-80 - </x:v>
      </x:c>
      <x:c r="AG239" s="75" t="str"/>
    </x:row>
    <x:row r="240">
      <x:c r="A240" s="75" t="str">
        <x:f>IF($B240&lt;&gt;"",ROW()-4,"")</x:f>
      </x:c>
      <x:c r="B240" s="75" t="str"/>
      <x:c r="C240" s="75" t="n">
        <x:f>IFERROR(LET(x,MID($B240,FIND("/models/",$B240)+8,80),y,LEFT(x,FIND("-",x&amp;"-")-1),LEFT(y,FIND("?",y&amp;"?")-1)),"")</x:f>
        <x:v>80</x:v>
      </x:c>
      <x:c r="D240" s="75" t="str">
        <x:f>IF($B240="","",IFERROR(XLOOKUP($C240,MakerWorld_Verileri!$A:$A,MakerWorld_Verileri!$B:$B,""),""))</x:f>
      </x:c>
      <x:c r="E240" s="75" t="str">
        <x:f>IF($B240="","",IFERROR(XLOOKUP($C240,MakerWorld_Verileri!$A:$A,MakerWorld_Verileri!$C:$C,""),""))</x:f>
      </x:c>
      <x:c r="F240" s="75" t="str"/>
      <x:c r="G240" s="75" t="str">
        <x:f>IF($B240&lt;&gt;"",Ayarlar!$B$7,"")</x:f>
      </x:c>
      <x:c r="H240" s="82" t="str">
        <x:f>IF($B240&lt;&gt;"",1,"")</x:f>
      </x:c>
      <x:c r="I240" s="82" t="str">
        <x:f>IF($B240="","",IFERROR(XLOOKUP($C240,MakerWorld_Verileri!$A:$A,MakerWorld_Verileri!$D:$D,""),""))</x:f>
      </x:c>
      <x:c r="J240" s="82" t="str"/>
      <x:c r="K240" s="82" t="str">
        <x:f>IF($I240&lt;&gt;"",$I240,$J240)</x:f>
      </x:c>
      <x:c r="L240" s="82" t="str">
        <x:f>IF($B240="","",IFERROR(XLOOKUP($C240,MakerWorld_Verileri!$A:$A,MakerWorld_Verileri!$E:$E,""),""))</x:f>
      </x:c>
      <x:c r="M240" s="82" t="str"/>
      <x:c r="N240" s="82" t="str">
        <x:f>IF($L240&lt;&gt;"",$L240,$M240)</x:f>
      </x:c>
      <x:c r="O240" s="82" t="str">
        <x:f>IF($B240&lt;&gt;"",0,"")</x:f>
      </x:c>
      <x:c r="P240" s="75" t="str">
        <x:f>IF($B240&lt;&gt;"","Orta","")</x:f>
      </x:c>
      <x:c r="Q240" s="82" t="str">
        <x:f>IF($B240&lt;&gt;"",10,"")</x:f>
      </x:c>
      <x:c r="R240" s="83" t="str">
        <x:f>IF($B240&lt;&gt;"",Ayarlar!$B$10,"")</x:f>
      </x:c>
      <x:c r="S240" s="83" t="str">
        <x:f>IF($B240&lt;&gt;"",0,"")</x:f>
      </x:c>
      <x:c r="T240" s="83" t="n">
        <x:f>IFERROR(($K240+$O240)*XLOOKUP($G240,Ayarlar!$A$19:$A$28,Ayarlar!$C$19:$C$28,0)*(1+Ayarlar!$B$11),0)</x:f>
        <x:v>0</x:v>
      </x:c>
      <x:c r="U240" s="83" t="n">
        <x:f>IFERROR($N240/60*Ayarlar!$B$8,0)</x:f>
        <x:v>0</x:v>
      </x:c>
      <x:c r="V240" s="83" t="n">
        <x:f>IF($B240&lt;&gt;"",Ayarlar!$B$12+($Q240/60*Ayarlar!$B$9),0)</x:f>
        <x:v>0</x:v>
      </x:c>
      <x:c r="W240" s="83" t="n">
        <x:f>IF($B240&lt;&gt;"",SUM($T240:$V240,$R240:$S240),0)</x:f>
        <x:v>0</x:v>
      </x:c>
      <x:c r="X240" s="83" t="n">
        <x:f>IF($B240&lt;&gt;"",$W240*Ayarlar!$B$15,0)</x:f>
        <x:v>0</x:v>
      </x:c>
      <x:c r="Y240" s="83" t="n">
        <x:f>IF($B240&lt;&gt;"",($W240+$X240)*Ayarlar!$B$13,0)</x:f>
        <x:v>0</x:v>
      </x:c>
      <x:c r="Z240" s="83" t="n">
        <x:f>IF($B240&lt;&gt;"",($W240+$X240+$Y240)*Ayarlar!$B$14,0)</x:f>
        <x:v>0</x:v>
      </x:c>
      <x:c r="AA240" s="83" t="str">
        <x:f>IF($B240="","",IF(OR($K240="",$N240=""),"",CEILING($W240+$X240+$Y240+$Z240,Ayarlar!$B$16)))</x:f>
      </x:c>
      <x:c r="AB240" s="83" t="str">
        <x:f>IFERROR($AA240/$H240,"")</x:f>
      </x:c>
      <x:c r="AC240" s="75" t="str">
        <x:f>IF($B240="","",IF(OR($K240="",$N240=""),"Veri Eksik","Fiyat Hazır"))</x:f>
      </x:c>
      <x:c r="AD240" s="75" t="str">
        <x:f>IF($C240&lt;&gt;"","MW-"&amp;$C240,"")</x:f>
        <x:v>MW-80</x:v>
      </x:c>
      <x:c r="AE240" s="75" t="str">
        <x:f>IF($G240&lt;&gt;"","3D Baskı / "&amp;$G240,"3D Baskı")</x:f>
        <x:v>3D Baskı</x:v>
      </x:c>
      <x:c r="AF240" s="75" t="str">
        <x:f>IF($D240&lt;&gt;"",$D240&amp;" - "&amp;$G240,$AD240&amp;" - "&amp;$G240)</x:f>
        <x:v>MW-80 - </x:v>
      </x:c>
      <x:c r="AG240" s="75" t="str"/>
    </x:row>
    <x:row r="241">
      <x:c r="A241" s="75" t="str">
        <x:f>IF($B241&lt;&gt;"",ROW()-4,"")</x:f>
      </x:c>
      <x:c r="B241" s="75" t="str"/>
      <x:c r="C241" s="75" t="n">
        <x:f>IFERROR(LET(x,MID($B241,FIND("/models/",$B241)+8,80),y,LEFT(x,FIND("-",x&amp;"-")-1),LEFT(y,FIND("?",y&amp;"?")-1)),"")</x:f>
        <x:v>80</x:v>
      </x:c>
      <x:c r="D241" s="75" t="str">
        <x:f>IF($B241="","",IFERROR(XLOOKUP($C241,MakerWorld_Verileri!$A:$A,MakerWorld_Verileri!$B:$B,""),""))</x:f>
      </x:c>
      <x:c r="E241" s="75" t="str">
        <x:f>IF($B241="","",IFERROR(XLOOKUP($C241,MakerWorld_Verileri!$A:$A,MakerWorld_Verileri!$C:$C,""),""))</x:f>
      </x:c>
      <x:c r="F241" s="75" t="str"/>
      <x:c r="G241" s="75" t="str">
        <x:f>IF($B241&lt;&gt;"",Ayarlar!$B$7,"")</x:f>
      </x:c>
      <x:c r="H241" s="82" t="str">
        <x:f>IF($B241&lt;&gt;"",1,"")</x:f>
      </x:c>
      <x:c r="I241" s="82" t="str">
        <x:f>IF($B241="","",IFERROR(XLOOKUP($C241,MakerWorld_Verileri!$A:$A,MakerWorld_Verileri!$D:$D,""),""))</x:f>
      </x:c>
      <x:c r="J241" s="82" t="str"/>
      <x:c r="K241" s="82" t="str">
        <x:f>IF($I241&lt;&gt;"",$I241,$J241)</x:f>
      </x:c>
      <x:c r="L241" s="82" t="str">
        <x:f>IF($B241="","",IFERROR(XLOOKUP($C241,MakerWorld_Verileri!$A:$A,MakerWorld_Verileri!$E:$E,""),""))</x:f>
      </x:c>
      <x:c r="M241" s="82" t="str"/>
      <x:c r="N241" s="82" t="str">
        <x:f>IF($L241&lt;&gt;"",$L241,$M241)</x:f>
      </x:c>
      <x:c r="O241" s="82" t="str">
        <x:f>IF($B241&lt;&gt;"",0,"")</x:f>
      </x:c>
      <x:c r="P241" s="75" t="str">
        <x:f>IF($B241&lt;&gt;"","Orta","")</x:f>
      </x:c>
      <x:c r="Q241" s="82" t="str">
        <x:f>IF($B241&lt;&gt;"",10,"")</x:f>
      </x:c>
      <x:c r="R241" s="83" t="str">
        <x:f>IF($B241&lt;&gt;"",Ayarlar!$B$10,"")</x:f>
      </x:c>
      <x:c r="S241" s="83" t="str">
        <x:f>IF($B241&lt;&gt;"",0,"")</x:f>
      </x:c>
      <x:c r="T241" s="83" t="n">
        <x:f>IFERROR(($K241+$O241)*XLOOKUP($G241,Ayarlar!$A$19:$A$28,Ayarlar!$C$19:$C$28,0)*(1+Ayarlar!$B$11),0)</x:f>
        <x:v>0</x:v>
      </x:c>
      <x:c r="U241" s="83" t="n">
        <x:f>IFERROR($N241/60*Ayarlar!$B$8,0)</x:f>
        <x:v>0</x:v>
      </x:c>
      <x:c r="V241" s="83" t="n">
        <x:f>IF($B241&lt;&gt;"",Ayarlar!$B$12+($Q241/60*Ayarlar!$B$9),0)</x:f>
        <x:v>0</x:v>
      </x:c>
      <x:c r="W241" s="83" t="n">
        <x:f>IF($B241&lt;&gt;"",SUM($T241:$V241,$R241:$S241),0)</x:f>
        <x:v>0</x:v>
      </x:c>
      <x:c r="X241" s="83" t="n">
        <x:f>IF($B241&lt;&gt;"",$W241*Ayarlar!$B$15,0)</x:f>
        <x:v>0</x:v>
      </x:c>
      <x:c r="Y241" s="83" t="n">
        <x:f>IF($B241&lt;&gt;"",($W241+$X241)*Ayarlar!$B$13,0)</x:f>
        <x:v>0</x:v>
      </x:c>
      <x:c r="Z241" s="83" t="n">
        <x:f>IF($B241&lt;&gt;"",($W241+$X241+$Y241)*Ayarlar!$B$14,0)</x:f>
        <x:v>0</x:v>
      </x:c>
      <x:c r="AA241" s="83" t="str">
        <x:f>IF($B241="","",IF(OR($K241="",$N241=""),"",CEILING($W241+$X241+$Y241+$Z241,Ayarlar!$B$16)))</x:f>
      </x:c>
      <x:c r="AB241" s="83" t="str">
        <x:f>IFERROR($AA241/$H241,"")</x:f>
      </x:c>
      <x:c r="AC241" s="75" t="str">
        <x:f>IF($B241="","",IF(OR($K241="",$N241=""),"Veri Eksik","Fiyat Hazır"))</x:f>
      </x:c>
      <x:c r="AD241" s="75" t="str">
        <x:f>IF($C241&lt;&gt;"","MW-"&amp;$C241,"")</x:f>
        <x:v>MW-80</x:v>
      </x:c>
      <x:c r="AE241" s="75" t="str">
        <x:f>IF($G241&lt;&gt;"","3D Baskı / "&amp;$G241,"3D Baskı")</x:f>
        <x:v>3D Baskı</x:v>
      </x:c>
      <x:c r="AF241" s="75" t="str">
        <x:f>IF($D241&lt;&gt;"",$D241&amp;" - "&amp;$G241,$AD241&amp;" - "&amp;$G241)</x:f>
        <x:v>MW-80 - </x:v>
      </x:c>
      <x:c r="AG241" s="75" t="str"/>
    </x:row>
    <x:row r="242">
      <x:c r="A242" s="75" t="str">
        <x:f>IF($B242&lt;&gt;"",ROW()-4,"")</x:f>
      </x:c>
      <x:c r="B242" s="75" t="str"/>
      <x:c r="C242" s="75" t="n">
        <x:f>IFERROR(LET(x,MID($B242,FIND("/models/",$B242)+8,80),y,LEFT(x,FIND("-",x&amp;"-")-1),LEFT(y,FIND("?",y&amp;"?")-1)),"")</x:f>
        <x:v>80</x:v>
      </x:c>
      <x:c r="D242" s="75" t="str">
        <x:f>IF($B242="","",IFERROR(XLOOKUP($C242,MakerWorld_Verileri!$A:$A,MakerWorld_Verileri!$B:$B,""),""))</x:f>
      </x:c>
      <x:c r="E242" s="75" t="str">
        <x:f>IF($B242="","",IFERROR(XLOOKUP($C242,MakerWorld_Verileri!$A:$A,MakerWorld_Verileri!$C:$C,""),""))</x:f>
      </x:c>
      <x:c r="F242" s="75" t="str"/>
      <x:c r="G242" s="75" t="str">
        <x:f>IF($B242&lt;&gt;"",Ayarlar!$B$7,"")</x:f>
      </x:c>
      <x:c r="H242" s="82" t="str">
        <x:f>IF($B242&lt;&gt;"",1,"")</x:f>
      </x:c>
      <x:c r="I242" s="82" t="str">
        <x:f>IF($B242="","",IFERROR(XLOOKUP($C242,MakerWorld_Verileri!$A:$A,MakerWorld_Verileri!$D:$D,""),""))</x:f>
      </x:c>
      <x:c r="J242" s="82" t="str"/>
      <x:c r="K242" s="82" t="str">
        <x:f>IF($I242&lt;&gt;"",$I242,$J242)</x:f>
      </x:c>
      <x:c r="L242" s="82" t="str">
        <x:f>IF($B242="","",IFERROR(XLOOKUP($C242,MakerWorld_Verileri!$A:$A,MakerWorld_Verileri!$E:$E,""),""))</x:f>
      </x:c>
      <x:c r="M242" s="82" t="str"/>
      <x:c r="N242" s="82" t="str">
        <x:f>IF($L242&lt;&gt;"",$L242,$M242)</x:f>
      </x:c>
      <x:c r="O242" s="82" t="str">
        <x:f>IF($B242&lt;&gt;"",0,"")</x:f>
      </x:c>
      <x:c r="P242" s="75" t="str">
        <x:f>IF($B242&lt;&gt;"","Orta","")</x:f>
      </x:c>
      <x:c r="Q242" s="82" t="str">
        <x:f>IF($B242&lt;&gt;"",10,"")</x:f>
      </x:c>
      <x:c r="R242" s="83" t="str">
        <x:f>IF($B242&lt;&gt;"",Ayarlar!$B$10,"")</x:f>
      </x:c>
      <x:c r="S242" s="83" t="str">
        <x:f>IF($B242&lt;&gt;"",0,"")</x:f>
      </x:c>
      <x:c r="T242" s="83" t="n">
        <x:f>IFERROR(($K242+$O242)*XLOOKUP($G242,Ayarlar!$A$19:$A$28,Ayarlar!$C$19:$C$28,0)*(1+Ayarlar!$B$11),0)</x:f>
        <x:v>0</x:v>
      </x:c>
      <x:c r="U242" s="83" t="n">
        <x:f>IFERROR($N242/60*Ayarlar!$B$8,0)</x:f>
        <x:v>0</x:v>
      </x:c>
      <x:c r="V242" s="83" t="n">
        <x:f>IF($B242&lt;&gt;"",Ayarlar!$B$12+($Q242/60*Ayarlar!$B$9),0)</x:f>
        <x:v>0</x:v>
      </x:c>
      <x:c r="W242" s="83" t="n">
        <x:f>IF($B242&lt;&gt;"",SUM($T242:$V242,$R242:$S242),0)</x:f>
        <x:v>0</x:v>
      </x:c>
      <x:c r="X242" s="83" t="n">
        <x:f>IF($B242&lt;&gt;"",$W242*Ayarlar!$B$15,0)</x:f>
        <x:v>0</x:v>
      </x:c>
      <x:c r="Y242" s="83" t="n">
        <x:f>IF($B242&lt;&gt;"",($W242+$X242)*Ayarlar!$B$13,0)</x:f>
        <x:v>0</x:v>
      </x:c>
      <x:c r="Z242" s="83" t="n">
        <x:f>IF($B242&lt;&gt;"",($W242+$X242+$Y242)*Ayarlar!$B$14,0)</x:f>
        <x:v>0</x:v>
      </x:c>
      <x:c r="AA242" s="83" t="str">
        <x:f>IF($B242="","",IF(OR($K242="",$N242=""),"",CEILING($W242+$X242+$Y242+$Z242,Ayarlar!$B$16)))</x:f>
      </x:c>
      <x:c r="AB242" s="83" t="str">
        <x:f>IFERROR($AA242/$H242,"")</x:f>
      </x:c>
      <x:c r="AC242" s="75" t="str">
        <x:f>IF($B242="","",IF(OR($K242="",$N242=""),"Veri Eksik","Fiyat Hazır"))</x:f>
      </x:c>
      <x:c r="AD242" s="75" t="str">
        <x:f>IF($C242&lt;&gt;"","MW-"&amp;$C242,"")</x:f>
        <x:v>MW-80</x:v>
      </x:c>
      <x:c r="AE242" s="75" t="str">
        <x:f>IF($G242&lt;&gt;"","3D Baskı / "&amp;$G242,"3D Baskı")</x:f>
        <x:v>3D Baskı</x:v>
      </x:c>
      <x:c r="AF242" s="75" t="str">
        <x:f>IF($D242&lt;&gt;"",$D242&amp;" - "&amp;$G242,$AD242&amp;" - "&amp;$G242)</x:f>
        <x:v>MW-80 - </x:v>
      </x:c>
      <x:c r="AG242" s="75" t="str"/>
    </x:row>
    <x:row r="243">
      <x:c r="A243" s="75" t="str">
        <x:f>IF($B243&lt;&gt;"",ROW()-4,"")</x:f>
      </x:c>
      <x:c r="B243" s="75" t="str"/>
      <x:c r="C243" s="75" t="n">
        <x:f>IFERROR(LET(x,MID($B243,FIND("/models/",$B243)+8,80),y,LEFT(x,FIND("-",x&amp;"-")-1),LEFT(y,FIND("?",y&amp;"?")-1)),"")</x:f>
        <x:v>80</x:v>
      </x:c>
      <x:c r="D243" s="75" t="str">
        <x:f>IF($B243="","",IFERROR(XLOOKUP($C243,MakerWorld_Verileri!$A:$A,MakerWorld_Verileri!$B:$B,""),""))</x:f>
      </x:c>
      <x:c r="E243" s="75" t="str">
        <x:f>IF($B243="","",IFERROR(XLOOKUP($C243,MakerWorld_Verileri!$A:$A,MakerWorld_Verileri!$C:$C,""),""))</x:f>
      </x:c>
      <x:c r="F243" s="75" t="str"/>
      <x:c r="G243" s="75" t="str">
        <x:f>IF($B243&lt;&gt;"",Ayarlar!$B$7,"")</x:f>
      </x:c>
      <x:c r="H243" s="82" t="str">
        <x:f>IF($B243&lt;&gt;"",1,"")</x:f>
      </x:c>
      <x:c r="I243" s="82" t="str">
        <x:f>IF($B243="","",IFERROR(XLOOKUP($C243,MakerWorld_Verileri!$A:$A,MakerWorld_Verileri!$D:$D,""),""))</x:f>
      </x:c>
      <x:c r="J243" s="82" t="str"/>
      <x:c r="K243" s="82" t="str">
        <x:f>IF($I243&lt;&gt;"",$I243,$J243)</x:f>
      </x:c>
      <x:c r="L243" s="82" t="str">
        <x:f>IF($B243="","",IFERROR(XLOOKUP($C243,MakerWorld_Verileri!$A:$A,MakerWorld_Verileri!$E:$E,""),""))</x:f>
      </x:c>
      <x:c r="M243" s="82" t="str"/>
      <x:c r="N243" s="82" t="str">
        <x:f>IF($L243&lt;&gt;"",$L243,$M243)</x:f>
      </x:c>
      <x:c r="O243" s="82" t="str">
        <x:f>IF($B243&lt;&gt;"",0,"")</x:f>
      </x:c>
      <x:c r="P243" s="75" t="str">
        <x:f>IF($B243&lt;&gt;"","Orta","")</x:f>
      </x:c>
      <x:c r="Q243" s="82" t="str">
        <x:f>IF($B243&lt;&gt;"",10,"")</x:f>
      </x:c>
      <x:c r="R243" s="83" t="str">
        <x:f>IF($B243&lt;&gt;"",Ayarlar!$B$10,"")</x:f>
      </x:c>
      <x:c r="S243" s="83" t="str">
        <x:f>IF($B243&lt;&gt;"",0,"")</x:f>
      </x:c>
      <x:c r="T243" s="83" t="n">
        <x:f>IFERROR(($K243+$O243)*XLOOKUP($G243,Ayarlar!$A$19:$A$28,Ayarlar!$C$19:$C$28,0)*(1+Ayarlar!$B$11),0)</x:f>
        <x:v>0</x:v>
      </x:c>
      <x:c r="U243" s="83" t="n">
        <x:f>IFERROR($N243/60*Ayarlar!$B$8,0)</x:f>
        <x:v>0</x:v>
      </x:c>
      <x:c r="V243" s="83" t="n">
        <x:f>IF($B243&lt;&gt;"",Ayarlar!$B$12+($Q243/60*Ayarlar!$B$9),0)</x:f>
        <x:v>0</x:v>
      </x:c>
      <x:c r="W243" s="83" t="n">
        <x:f>IF($B243&lt;&gt;"",SUM($T243:$V243,$R243:$S243),0)</x:f>
        <x:v>0</x:v>
      </x:c>
      <x:c r="X243" s="83" t="n">
        <x:f>IF($B243&lt;&gt;"",$W243*Ayarlar!$B$15,0)</x:f>
        <x:v>0</x:v>
      </x:c>
      <x:c r="Y243" s="83" t="n">
        <x:f>IF($B243&lt;&gt;"",($W243+$X243)*Ayarlar!$B$13,0)</x:f>
        <x:v>0</x:v>
      </x:c>
      <x:c r="Z243" s="83" t="n">
        <x:f>IF($B243&lt;&gt;"",($W243+$X243+$Y243)*Ayarlar!$B$14,0)</x:f>
        <x:v>0</x:v>
      </x:c>
      <x:c r="AA243" s="83" t="str">
        <x:f>IF($B243="","",IF(OR($K243="",$N243=""),"",CEILING($W243+$X243+$Y243+$Z243,Ayarlar!$B$16)))</x:f>
      </x:c>
      <x:c r="AB243" s="83" t="str">
        <x:f>IFERROR($AA243/$H243,"")</x:f>
      </x:c>
      <x:c r="AC243" s="75" t="str">
        <x:f>IF($B243="","",IF(OR($K243="",$N243=""),"Veri Eksik","Fiyat Hazır"))</x:f>
      </x:c>
      <x:c r="AD243" s="75" t="str">
        <x:f>IF($C243&lt;&gt;"","MW-"&amp;$C243,"")</x:f>
        <x:v>MW-80</x:v>
      </x:c>
      <x:c r="AE243" s="75" t="str">
        <x:f>IF($G243&lt;&gt;"","3D Baskı / "&amp;$G243,"3D Baskı")</x:f>
        <x:v>3D Baskı</x:v>
      </x:c>
      <x:c r="AF243" s="75" t="str">
        <x:f>IF($D243&lt;&gt;"",$D243&amp;" - "&amp;$G243,$AD243&amp;" - "&amp;$G243)</x:f>
        <x:v>MW-80 - </x:v>
      </x:c>
      <x:c r="AG243" s="75" t="str"/>
    </x:row>
    <x:row r="244">
      <x:c r="A244" s="75" t="str">
        <x:f>IF($B244&lt;&gt;"",ROW()-4,"")</x:f>
      </x:c>
      <x:c r="B244" s="75" t="str"/>
      <x:c r="C244" s="75" t="n">
        <x:f>IFERROR(LET(x,MID($B244,FIND("/models/",$B244)+8,80),y,LEFT(x,FIND("-",x&amp;"-")-1),LEFT(y,FIND("?",y&amp;"?")-1)),"")</x:f>
        <x:v>80</x:v>
      </x:c>
      <x:c r="D244" s="75" t="str">
        <x:f>IF($B244="","",IFERROR(XLOOKUP($C244,MakerWorld_Verileri!$A:$A,MakerWorld_Verileri!$B:$B,""),""))</x:f>
      </x:c>
      <x:c r="E244" s="75" t="str">
        <x:f>IF($B244="","",IFERROR(XLOOKUP($C244,MakerWorld_Verileri!$A:$A,MakerWorld_Verileri!$C:$C,""),""))</x:f>
      </x:c>
      <x:c r="F244" s="75" t="str"/>
      <x:c r="G244" s="75" t="str">
        <x:f>IF($B244&lt;&gt;"",Ayarlar!$B$7,"")</x:f>
      </x:c>
      <x:c r="H244" s="82" t="str">
        <x:f>IF($B244&lt;&gt;"",1,"")</x:f>
      </x:c>
      <x:c r="I244" s="82" t="str">
        <x:f>IF($B244="","",IFERROR(XLOOKUP($C244,MakerWorld_Verileri!$A:$A,MakerWorld_Verileri!$D:$D,""),""))</x:f>
      </x:c>
      <x:c r="J244" s="82" t="str"/>
      <x:c r="K244" s="82" t="str">
        <x:f>IF($I244&lt;&gt;"",$I244,$J244)</x:f>
      </x:c>
      <x:c r="L244" s="82" t="str">
        <x:f>IF($B244="","",IFERROR(XLOOKUP($C244,MakerWorld_Verileri!$A:$A,MakerWorld_Verileri!$E:$E,""),""))</x:f>
      </x:c>
      <x:c r="M244" s="82" t="str"/>
      <x:c r="N244" s="82" t="str">
        <x:f>IF($L244&lt;&gt;"",$L244,$M244)</x:f>
      </x:c>
      <x:c r="O244" s="82" t="str">
        <x:f>IF($B244&lt;&gt;"",0,"")</x:f>
      </x:c>
      <x:c r="P244" s="75" t="str">
        <x:f>IF($B244&lt;&gt;"","Orta","")</x:f>
      </x:c>
      <x:c r="Q244" s="82" t="str">
        <x:f>IF($B244&lt;&gt;"",10,"")</x:f>
      </x:c>
      <x:c r="R244" s="83" t="str">
        <x:f>IF($B244&lt;&gt;"",Ayarlar!$B$10,"")</x:f>
      </x:c>
      <x:c r="S244" s="83" t="str">
        <x:f>IF($B244&lt;&gt;"",0,"")</x:f>
      </x:c>
      <x:c r="T244" s="83" t="n">
        <x:f>IFERROR(($K244+$O244)*XLOOKUP($G244,Ayarlar!$A$19:$A$28,Ayarlar!$C$19:$C$28,0)*(1+Ayarlar!$B$11),0)</x:f>
        <x:v>0</x:v>
      </x:c>
      <x:c r="U244" s="83" t="n">
        <x:f>IFERROR($N244/60*Ayarlar!$B$8,0)</x:f>
        <x:v>0</x:v>
      </x:c>
      <x:c r="V244" s="83" t="n">
        <x:f>IF($B244&lt;&gt;"",Ayarlar!$B$12+($Q244/60*Ayarlar!$B$9),0)</x:f>
        <x:v>0</x:v>
      </x:c>
      <x:c r="W244" s="83" t="n">
        <x:f>IF($B244&lt;&gt;"",SUM($T244:$V244,$R244:$S244),0)</x:f>
        <x:v>0</x:v>
      </x:c>
      <x:c r="X244" s="83" t="n">
        <x:f>IF($B244&lt;&gt;"",$W244*Ayarlar!$B$15,0)</x:f>
        <x:v>0</x:v>
      </x:c>
      <x:c r="Y244" s="83" t="n">
        <x:f>IF($B244&lt;&gt;"",($W244+$X244)*Ayarlar!$B$13,0)</x:f>
        <x:v>0</x:v>
      </x:c>
      <x:c r="Z244" s="83" t="n">
        <x:f>IF($B244&lt;&gt;"",($W244+$X244+$Y244)*Ayarlar!$B$14,0)</x:f>
        <x:v>0</x:v>
      </x:c>
      <x:c r="AA244" s="83" t="str">
        <x:f>IF($B244="","",IF(OR($K244="",$N244=""),"",CEILING($W244+$X244+$Y244+$Z244,Ayarlar!$B$16)))</x:f>
      </x:c>
      <x:c r="AB244" s="83" t="str">
        <x:f>IFERROR($AA244/$H244,"")</x:f>
      </x:c>
      <x:c r="AC244" s="75" t="str">
        <x:f>IF($B244="","",IF(OR($K244="",$N244=""),"Veri Eksik","Fiyat Hazır"))</x:f>
      </x:c>
      <x:c r="AD244" s="75" t="str">
        <x:f>IF($C244&lt;&gt;"","MW-"&amp;$C244,"")</x:f>
        <x:v>MW-80</x:v>
      </x:c>
      <x:c r="AE244" s="75" t="str">
        <x:f>IF($G244&lt;&gt;"","3D Baskı / "&amp;$G244,"3D Baskı")</x:f>
        <x:v>3D Baskı</x:v>
      </x:c>
      <x:c r="AF244" s="75" t="str">
        <x:f>IF($D244&lt;&gt;"",$D244&amp;" - "&amp;$G244,$AD244&amp;" - "&amp;$G244)</x:f>
        <x:v>MW-80 - </x:v>
      </x:c>
      <x:c r="AG244" s="75" t="str"/>
    </x:row>
    <x:row r="245">
      <x:c r="A245" s="75" t="str">
        <x:f>IF($B245&lt;&gt;"",ROW()-4,"")</x:f>
      </x:c>
      <x:c r="B245" s="75" t="str"/>
      <x:c r="C245" s="75" t="n">
        <x:f>IFERROR(LET(x,MID($B245,FIND("/models/",$B245)+8,80),y,LEFT(x,FIND("-",x&amp;"-")-1),LEFT(y,FIND("?",y&amp;"?")-1)),"")</x:f>
        <x:v>80</x:v>
      </x:c>
      <x:c r="D245" s="75" t="str">
        <x:f>IF($B245="","",IFERROR(XLOOKUP($C245,MakerWorld_Verileri!$A:$A,MakerWorld_Verileri!$B:$B,""),""))</x:f>
      </x:c>
      <x:c r="E245" s="75" t="str">
        <x:f>IF($B245="","",IFERROR(XLOOKUP($C245,MakerWorld_Verileri!$A:$A,MakerWorld_Verileri!$C:$C,""),""))</x:f>
      </x:c>
      <x:c r="F245" s="75" t="str"/>
      <x:c r="G245" s="75" t="str">
        <x:f>IF($B245&lt;&gt;"",Ayarlar!$B$7,"")</x:f>
      </x:c>
      <x:c r="H245" s="82" t="str">
        <x:f>IF($B245&lt;&gt;"",1,"")</x:f>
      </x:c>
      <x:c r="I245" s="82" t="str">
        <x:f>IF($B245="","",IFERROR(XLOOKUP($C245,MakerWorld_Verileri!$A:$A,MakerWorld_Verileri!$D:$D,""),""))</x:f>
      </x:c>
      <x:c r="J245" s="82" t="str"/>
      <x:c r="K245" s="82" t="str">
        <x:f>IF($I245&lt;&gt;"",$I245,$J245)</x:f>
      </x:c>
      <x:c r="L245" s="82" t="str">
        <x:f>IF($B245="","",IFERROR(XLOOKUP($C245,MakerWorld_Verileri!$A:$A,MakerWorld_Verileri!$E:$E,""),""))</x:f>
      </x:c>
      <x:c r="M245" s="82" t="str"/>
      <x:c r="N245" s="82" t="str">
        <x:f>IF($L245&lt;&gt;"",$L245,$M245)</x:f>
      </x:c>
      <x:c r="O245" s="82" t="str">
        <x:f>IF($B245&lt;&gt;"",0,"")</x:f>
      </x:c>
      <x:c r="P245" s="75" t="str">
        <x:f>IF($B245&lt;&gt;"","Orta","")</x:f>
      </x:c>
      <x:c r="Q245" s="82" t="str">
        <x:f>IF($B245&lt;&gt;"",10,"")</x:f>
      </x:c>
      <x:c r="R245" s="83" t="str">
        <x:f>IF($B245&lt;&gt;"",Ayarlar!$B$10,"")</x:f>
      </x:c>
      <x:c r="S245" s="83" t="str">
        <x:f>IF($B245&lt;&gt;"",0,"")</x:f>
      </x:c>
      <x:c r="T245" s="83" t="n">
        <x:f>IFERROR(($K245+$O245)*XLOOKUP($G245,Ayarlar!$A$19:$A$28,Ayarlar!$C$19:$C$28,0)*(1+Ayarlar!$B$11),0)</x:f>
        <x:v>0</x:v>
      </x:c>
      <x:c r="U245" s="83" t="n">
        <x:f>IFERROR($N245/60*Ayarlar!$B$8,0)</x:f>
        <x:v>0</x:v>
      </x:c>
      <x:c r="V245" s="83" t="n">
        <x:f>IF($B245&lt;&gt;"",Ayarlar!$B$12+($Q245/60*Ayarlar!$B$9),0)</x:f>
        <x:v>0</x:v>
      </x:c>
      <x:c r="W245" s="83" t="n">
        <x:f>IF($B245&lt;&gt;"",SUM($T245:$V245,$R245:$S245),0)</x:f>
        <x:v>0</x:v>
      </x:c>
      <x:c r="X245" s="83" t="n">
        <x:f>IF($B245&lt;&gt;"",$W245*Ayarlar!$B$15,0)</x:f>
        <x:v>0</x:v>
      </x:c>
      <x:c r="Y245" s="83" t="n">
        <x:f>IF($B245&lt;&gt;"",($W245+$X245)*Ayarlar!$B$13,0)</x:f>
        <x:v>0</x:v>
      </x:c>
      <x:c r="Z245" s="83" t="n">
        <x:f>IF($B245&lt;&gt;"",($W245+$X245+$Y245)*Ayarlar!$B$14,0)</x:f>
        <x:v>0</x:v>
      </x:c>
      <x:c r="AA245" s="83" t="str">
        <x:f>IF($B245="","",IF(OR($K245="",$N245=""),"",CEILING($W245+$X245+$Y245+$Z245,Ayarlar!$B$16)))</x:f>
      </x:c>
      <x:c r="AB245" s="83" t="str">
        <x:f>IFERROR($AA245/$H245,"")</x:f>
      </x:c>
      <x:c r="AC245" s="75" t="str">
        <x:f>IF($B245="","",IF(OR($K245="",$N245=""),"Veri Eksik","Fiyat Hazır"))</x:f>
      </x:c>
      <x:c r="AD245" s="75" t="str">
        <x:f>IF($C245&lt;&gt;"","MW-"&amp;$C245,"")</x:f>
        <x:v>MW-80</x:v>
      </x:c>
      <x:c r="AE245" s="75" t="str">
        <x:f>IF($G245&lt;&gt;"","3D Baskı / "&amp;$G245,"3D Baskı")</x:f>
        <x:v>3D Baskı</x:v>
      </x:c>
      <x:c r="AF245" s="75" t="str">
        <x:f>IF($D245&lt;&gt;"",$D245&amp;" - "&amp;$G245,$AD245&amp;" - "&amp;$G245)</x:f>
        <x:v>MW-80 - </x:v>
      </x:c>
      <x:c r="AG245" s="75" t="str"/>
    </x:row>
    <x:row r="246">
      <x:c r="A246" s="75" t="str">
        <x:f>IF($B246&lt;&gt;"",ROW()-4,"")</x:f>
      </x:c>
      <x:c r="B246" s="75" t="str"/>
      <x:c r="C246" s="75" t="n">
        <x:f>IFERROR(LET(x,MID($B246,FIND("/models/",$B246)+8,80),y,LEFT(x,FIND("-",x&amp;"-")-1),LEFT(y,FIND("?",y&amp;"?")-1)),"")</x:f>
        <x:v>80</x:v>
      </x:c>
      <x:c r="D246" s="75" t="str">
        <x:f>IF($B246="","",IFERROR(XLOOKUP($C246,MakerWorld_Verileri!$A:$A,MakerWorld_Verileri!$B:$B,""),""))</x:f>
      </x:c>
      <x:c r="E246" s="75" t="str">
        <x:f>IF($B246="","",IFERROR(XLOOKUP($C246,MakerWorld_Verileri!$A:$A,MakerWorld_Verileri!$C:$C,""),""))</x:f>
      </x:c>
      <x:c r="F246" s="75" t="str"/>
      <x:c r="G246" s="75" t="str">
        <x:f>IF($B246&lt;&gt;"",Ayarlar!$B$7,"")</x:f>
      </x:c>
      <x:c r="H246" s="82" t="str">
        <x:f>IF($B246&lt;&gt;"",1,"")</x:f>
      </x:c>
      <x:c r="I246" s="82" t="str">
        <x:f>IF($B246="","",IFERROR(XLOOKUP($C246,MakerWorld_Verileri!$A:$A,MakerWorld_Verileri!$D:$D,""),""))</x:f>
      </x:c>
      <x:c r="J246" s="82" t="str"/>
      <x:c r="K246" s="82" t="str">
        <x:f>IF($I246&lt;&gt;"",$I246,$J246)</x:f>
      </x:c>
      <x:c r="L246" s="82" t="str">
        <x:f>IF($B246="","",IFERROR(XLOOKUP($C246,MakerWorld_Verileri!$A:$A,MakerWorld_Verileri!$E:$E,""),""))</x:f>
      </x:c>
      <x:c r="M246" s="82" t="str"/>
      <x:c r="N246" s="82" t="str">
        <x:f>IF($L246&lt;&gt;"",$L246,$M246)</x:f>
      </x:c>
      <x:c r="O246" s="82" t="str">
        <x:f>IF($B246&lt;&gt;"",0,"")</x:f>
      </x:c>
      <x:c r="P246" s="75" t="str">
        <x:f>IF($B246&lt;&gt;"","Orta","")</x:f>
      </x:c>
      <x:c r="Q246" s="82" t="str">
        <x:f>IF($B246&lt;&gt;"",10,"")</x:f>
      </x:c>
      <x:c r="R246" s="83" t="str">
        <x:f>IF($B246&lt;&gt;"",Ayarlar!$B$10,"")</x:f>
      </x:c>
      <x:c r="S246" s="83" t="str">
        <x:f>IF($B246&lt;&gt;"",0,"")</x:f>
      </x:c>
      <x:c r="T246" s="83" t="n">
        <x:f>IFERROR(($K246+$O246)*XLOOKUP($G246,Ayarlar!$A$19:$A$28,Ayarlar!$C$19:$C$28,0)*(1+Ayarlar!$B$11),0)</x:f>
        <x:v>0</x:v>
      </x:c>
      <x:c r="U246" s="83" t="n">
        <x:f>IFERROR($N246/60*Ayarlar!$B$8,0)</x:f>
        <x:v>0</x:v>
      </x:c>
      <x:c r="V246" s="83" t="n">
        <x:f>IF($B246&lt;&gt;"",Ayarlar!$B$12+($Q246/60*Ayarlar!$B$9),0)</x:f>
        <x:v>0</x:v>
      </x:c>
      <x:c r="W246" s="83" t="n">
        <x:f>IF($B246&lt;&gt;"",SUM($T246:$V246,$R246:$S246),0)</x:f>
        <x:v>0</x:v>
      </x:c>
      <x:c r="X246" s="83" t="n">
        <x:f>IF($B246&lt;&gt;"",$W246*Ayarlar!$B$15,0)</x:f>
        <x:v>0</x:v>
      </x:c>
      <x:c r="Y246" s="83" t="n">
        <x:f>IF($B246&lt;&gt;"",($W246+$X246)*Ayarlar!$B$13,0)</x:f>
        <x:v>0</x:v>
      </x:c>
      <x:c r="Z246" s="83" t="n">
        <x:f>IF($B246&lt;&gt;"",($W246+$X246+$Y246)*Ayarlar!$B$14,0)</x:f>
        <x:v>0</x:v>
      </x:c>
      <x:c r="AA246" s="83" t="str">
        <x:f>IF($B246="","",IF(OR($K246="",$N246=""),"",CEILING($W246+$X246+$Y246+$Z246,Ayarlar!$B$16)))</x:f>
      </x:c>
      <x:c r="AB246" s="83" t="str">
        <x:f>IFERROR($AA246/$H246,"")</x:f>
      </x:c>
      <x:c r="AC246" s="75" t="str">
        <x:f>IF($B246="","",IF(OR($K246="",$N246=""),"Veri Eksik","Fiyat Hazır"))</x:f>
      </x:c>
      <x:c r="AD246" s="75" t="str">
        <x:f>IF($C246&lt;&gt;"","MW-"&amp;$C246,"")</x:f>
        <x:v>MW-80</x:v>
      </x:c>
      <x:c r="AE246" s="75" t="str">
        <x:f>IF($G246&lt;&gt;"","3D Baskı / "&amp;$G246,"3D Baskı")</x:f>
        <x:v>3D Baskı</x:v>
      </x:c>
      <x:c r="AF246" s="75" t="str">
        <x:f>IF($D246&lt;&gt;"",$D246&amp;" - "&amp;$G246,$AD246&amp;" - "&amp;$G246)</x:f>
        <x:v>MW-80 - </x:v>
      </x:c>
      <x:c r="AG246" s="75" t="str"/>
    </x:row>
    <x:row r="247">
      <x:c r="A247" s="75" t="str">
        <x:f>IF($B247&lt;&gt;"",ROW()-4,"")</x:f>
      </x:c>
      <x:c r="B247" s="75" t="str"/>
      <x:c r="C247" s="75" t="n">
        <x:f>IFERROR(LET(x,MID($B247,FIND("/models/",$B247)+8,80),y,LEFT(x,FIND("-",x&amp;"-")-1),LEFT(y,FIND("?",y&amp;"?")-1)),"")</x:f>
        <x:v>80</x:v>
      </x:c>
      <x:c r="D247" s="75" t="str">
        <x:f>IF($B247="","",IFERROR(XLOOKUP($C247,MakerWorld_Verileri!$A:$A,MakerWorld_Verileri!$B:$B,""),""))</x:f>
      </x:c>
      <x:c r="E247" s="75" t="str">
        <x:f>IF($B247="","",IFERROR(XLOOKUP($C247,MakerWorld_Verileri!$A:$A,MakerWorld_Verileri!$C:$C,""),""))</x:f>
      </x:c>
      <x:c r="F247" s="75" t="str"/>
      <x:c r="G247" s="75" t="str">
        <x:f>IF($B247&lt;&gt;"",Ayarlar!$B$7,"")</x:f>
      </x:c>
      <x:c r="H247" s="82" t="str">
        <x:f>IF($B247&lt;&gt;"",1,"")</x:f>
      </x:c>
      <x:c r="I247" s="82" t="str">
        <x:f>IF($B247="","",IFERROR(XLOOKUP($C247,MakerWorld_Verileri!$A:$A,MakerWorld_Verileri!$D:$D,""),""))</x:f>
      </x:c>
      <x:c r="J247" s="82" t="str"/>
      <x:c r="K247" s="82" t="str">
        <x:f>IF($I247&lt;&gt;"",$I247,$J247)</x:f>
      </x:c>
      <x:c r="L247" s="82" t="str">
        <x:f>IF($B247="","",IFERROR(XLOOKUP($C247,MakerWorld_Verileri!$A:$A,MakerWorld_Verileri!$E:$E,""),""))</x:f>
      </x:c>
      <x:c r="M247" s="82" t="str"/>
      <x:c r="N247" s="82" t="str">
        <x:f>IF($L247&lt;&gt;"",$L247,$M247)</x:f>
      </x:c>
      <x:c r="O247" s="82" t="str">
        <x:f>IF($B247&lt;&gt;"",0,"")</x:f>
      </x:c>
      <x:c r="P247" s="75" t="str">
        <x:f>IF($B247&lt;&gt;"","Orta","")</x:f>
      </x:c>
      <x:c r="Q247" s="82" t="str">
        <x:f>IF($B247&lt;&gt;"",10,"")</x:f>
      </x:c>
      <x:c r="R247" s="83" t="str">
        <x:f>IF($B247&lt;&gt;"",Ayarlar!$B$10,"")</x:f>
      </x:c>
      <x:c r="S247" s="83" t="str">
        <x:f>IF($B247&lt;&gt;"",0,"")</x:f>
      </x:c>
      <x:c r="T247" s="83" t="n">
        <x:f>IFERROR(($K247+$O247)*XLOOKUP($G247,Ayarlar!$A$19:$A$28,Ayarlar!$C$19:$C$28,0)*(1+Ayarlar!$B$11),0)</x:f>
        <x:v>0</x:v>
      </x:c>
      <x:c r="U247" s="83" t="n">
        <x:f>IFERROR($N247/60*Ayarlar!$B$8,0)</x:f>
        <x:v>0</x:v>
      </x:c>
      <x:c r="V247" s="83" t="n">
        <x:f>IF($B247&lt;&gt;"",Ayarlar!$B$12+($Q247/60*Ayarlar!$B$9),0)</x:f>
        <x:v>0</x:v>
      </x:c>
      <x:c r="W247" s="83" t="n">
        <x:f>IF($B247&lt;&gt;"",SUM($T247:$V247,$R247:$S247),0)</x:f>
        <x:v>0</x:v>
      </x:c>
      <x:c r="X247" s="83" t="n">
        <x:f>IF($B247&lt;&gt;"",$W247*Ayarlar!$B$15,0)</x:f>
        <x:v>0</x:v>
      </x:c>
      <x:c r="Y247" s="83" t="n">
        <x:f>IF($B247&lt;&gt;"",($W247+$X247)*Ayarlar!$B$13,0)</x:f>
        <x:v>0</x:v>
      </x:c>
      <x:c r="Z247" s="83" t="n">
        <x:f>IF($B247&lt;&gt;"",($W247+$X247+$Y247)*Ayarlar!$B$14,0)</x:f>
        <x:v>0</x:v>
      </x:c>
      <x:c r="AA247" s="83" t="str">
        <x:f>IF($B247="","",IF(OR($K247="",$N247=""),"",CEILING($W247+$X247+$Y247+$Z247,Ayarlar!$B$16)))</x:f>
      </x:c>
      <x:c r="AB247" s="83" t="str">
        <x:f>IFERROR($AA247/$H247,"")</x:f>
      </x:c>
      <x:c r="AC247" s="75" t="str">
        <x:f>IF($B247="","",IF(OR($K247="",$N247=""),"Veri Eksik","Fiyat Hazır"))</x:f>
      </x:c>
      <x:c r="AD247" s="75" t="str">
        <x:f>IF($C247&lt;&gt;"","MW-"&amp;$C247,"")</x:f>
        <x:v>MW-80</x:v>
      </x:c>
      <x:c r="AE247" s="75" t="str">
        <x:f>IF($G247&lt;&gt;"","3D Baskı / "&amp;$G247,"3D Baskı")</x:f>
        <x:v>3D Baskı</x:v>
      </x:c>
      <x:c r="AF247" s="75" t="str">
        <x:f>IF($D247&lt;&gt;"",$D247&amp;" - "&amp;$G247,$AD247&amp;" - "&amp;$G247)</x:f>
        <x:v>MW-80 - </x:v>
      </x:c>
      <x:c r="AG247" s="75" t="str"/>
    </x:row>
    <x:row r="248">
      <x:c r="A248" s="75" t="str">
        <x:f>IF($B248&lt;&gt;"",ROW()-4,"")</x:f>
      </x:c>
      <x:c r="B248" s="75" t="str"/>
      <x:c r="C248" s="75" t="n">
        <x:f>IFERROR(LET(x,MID($B248,FIND("/models/",$B248)+8,80),y,LEFT(x,FIND("-",x&amp;"-")-1),LEFT(y,FIND("?",y&amp;"?")-1)),"")</x:f>
        <x:v>80</x:v>
      </x:c>
      <x:c r="D248" s="75" t="str">
        <x:f>IF($B248="","",IFERROR(XLOOKUP($C248,MakerWorld_Verileri!$A:$A,MakerWorld_Verileri!$B:$B,""),""))</x:f>
      </x:c>
      <x:c r="E248" s="75" t="str">
        <x:f>IF($B248="","",IFERROR(XLOOKUP($C248,MakerWorld_Verileri!$A:$A,MakerWorld_Verileri!$C:$C,""),""))</x:f>
      </x:c>
      <x:c r="F248" s="75" t="str"/>
      <x:c r="G248" s="75" t="str">
        <x:f>IF($B248&lt;&gt;"",Ayarlar!$B$7,"")</x:f>
      </x:c>
      <x:c r="H248" s="82" t="str">
        <x:f>IF($B248&lt;&gt;"",1,"")</x:f>
      </x:c>
      <x:c r="I248" s="82" t="str">
        <x:f>IF($B248="","",IFERROR(XLOOKUP($C248,MakerWorld_Verileri!$A:$A,MakerWorld_Verileri!$D:$D,""),""))</x:f>
      </x:c>
      <x:c r="J248" s="82" t="str"/>
      <x:c r="K248" s="82" t="str">
        <x:f>IF($I248&lt;&gt;"",$I248,$J248)</x:f>
      </x:c>
      <x:c r="L248" s="82" t="str">
        <x:f>IF($B248="","",IFERROR(XLOOKUP($C248,MakerWorld_Verileri!$A:$A,MakerWorld_Verileri!$E:$E,""),""))</x:f>
      </x:c>
      <x:c r="M248" s="82" t="str"/>
      <x:c r="N248" s="82" t="str">
        <x:f>IF($L248&lt;&gt;"",$L248,$M248)</x:f>
      </x:c>
      <x:c r="O248" s="82" t="str">
        <x:f>IF($B248&lt;&gt;"",0,"")</x:f>
      </x:c>
      <x:c r="P248" s="75" t="str">
        <x:f>IF($B248&lt;&gt;"","Orta","")</x:f>
      </x:c>
      <x:c r="Q248" s="82" t="str">
        <x:f>IF($B248&lt;&gt;"",10,"")</x:f>
      </x:c>
      <x:c r="R248" s="83" t="str">
        <x:f>IF($B248&lt;&gt;"",Ayarlar!$B$10,"")</x:f>
      </x:c>
      <x:c r="S248" s="83" t="str">
        <x:f>IF($B248&lt;&gt;"",0,"")</x:f>
      </x:c>
      <x:c r="T248" s="83" t="n">
        <x:f>IFERROR(($K248+$O248)*XLOOKUP($G248,Ayarlar!$A$19:$A$28,Ayarlar!$C$19:$C$28,0)*(1+Ayarlar!$B$11),0)</x:f>
        <x:v>0</x:v>
      </x:c>
      <x:c r="U248" s="83" t="n">
        <x:f>IFERROR($N248/60*Ayarlar!$B$8,0)</x:f>
        <x:v>0</x:v>
      </x:c>
      <x:c r="V248" s="83" t="n">
        <x:f>IF($B248&lt;&gt;"",Ayarlar!$B$12+($Q248/60*Ayarlar!$B$9),0)</x:f>
        <x:v>0</x:v>
      </x:c>
      <x:c r="W248" s="83" t="n">
        <x:f>IF($B248&lt;&gt;"",SUM($T248:$V248,$R248:$S248),0)</x:f>
        <x:v>0</x:v>
      </x:c>
      <x:c r="X248" s="83" t="n">
        <x:f>IF($B248&lt;&gt;"",$W248*Ayarlar!$B$15,0)</x:f>
        <x:v>0</x:v>
      </x:c>
      <x:c r="Y248" s="83" t="n">
        <x:f>IF($B248&lt;&gt;"",($W248+$X248)*Ayarlar!$B$13,0)</x:f>
        <x:v>0</x:v>
      </x:c>
      <x:c r="Z248" s="83" t="n">
        <x:f>IF($B248&lt;&gt;"",($W248+$X248+$Y248)*Ayarlar!$B$14,0)</x:f>
        <x:v>0</x:v>
      </x:c>
      <x:c r="AA248" s="83" t="str">
        <x:f>IF($B248="","",IF(OR($K248="",$N248=""),"",CEILING($W248+$X248+$Y248+$Z248,Ayarlar!$B$16)))</x:f>
      </x:c>
      <x:c r="AB248" s="83" t="str">
        <x:f>IFERROR($AA248/$H248,"")</x:f>
      </x:c>
      <x:c r="AC248" s="75" t="str">
        <x:f>IF($B248="","",IF(OR($K248="",$N248=""),"Veri Eksik","Fiyat Hazır"))</x:f>
      </x:c>
      <x:c r="AD248" s="75" t="str">
        <x:f>IF($C248&lt;&gt;"","MW-"&amp;$C248,"")</x:f>
        <x:v>MW-80</x:v>
      </x:c>
      <x:c r="AE248" s="75" t="str">
        <x:f>IF($G248&lt;&gt;"","3D Baskı / "&amp;$G248,"3D Baskı")</x:f>
        <x:v>3D Baskı</x:v>
      </x:c>
      <x:c r="AF248" s="75" t="str">
        <x:f>IF($D248&lt;&gt;"",$D248&amp;" - "&amp;$G248,$AD248&amp;" - "&amp;$G248)</x:f>
        <x:v>MW-80 - </x:v>
      </x:c>
      <x:c r="AG248" s="75" t="str"/>
    </x:row>
    <x:row r="249">
      <x:c r="A249" s="75" t="str">
        <x:f>IF($B249&lt;&gt;"",ROW()-4,"")</x:f>
      </x:c>
      <x:c r="B249" s="75" t="str"/>
      <x:c r="C249" s="75" t="n">
        <x:f>IFERROR(LET(x,MID($B249,FIND("/models/",$B249)+8,80),y,LEFT(x,FIND("-",x&amp;"-")-1),LEFT(y,FIND("?",y&amp;"?")-1)),"")</x:f>
        <x:v>80</x:v>
      </x:c>
      <x:c r="D249" s="75" t="str">
        <x:f>IF($B249="","",IFERROR(XLOOKUP($C249,MakerWorld_Verileri!$A:$A,MakerWorld_Verileri!$B:$B,""),""))</x:f>
      </x:c>
      <x:c r="E249" s="75" t="str">
        <x:f>IF($B249="","",IFERROR(XLOOKUP($C249,MakerWorld_Verileri!$A:$A,MakerWorld_Verileri!$C:$C,""),""))</x:f>
      </x:c>
      <x:c r="F249" s="75" t="str"/>
      <x:c r="G249" s="75" t="str">
        <x:f>IF($B249&lt;&gt;"",Ayarlar!$B$7,"")</x:f>
      </x:c>
      <x:c r="H249" s="82" t="str">
        <x:f>IF($B249&lt;&gt;"",1,"")</x:f>
      </x:c>
      <x:c r="I249" s="82" t="str">
        <x:f>IF($B249="","",IFERROR(XLOOKUP($C249,MakerWorld_Verileri!$A:$A,MakerWorld_Verileri!$D:$D,""),""))</x:f>
      </x:c>
      <x:c r="J249" s="82" t="str"/>
      <x:c r="K249" s="82" t="str">
        <x:f>IF($I249&lt;&gt;"",$I249,$J249)</x:f>
      </x:c>
      <x:c r="L249" s="82" t="str">
        <x:f>IF($B249="","",IFERROR(XLOOKUP($C249,MakerWorld_Verileri!$A:$A,MakerWorld_Verileri!$E:$E,""),""))</x:f>
      </x:c>
      <x:c r="M249" s="82" t="str"/>
      <x:c r="N249" s="82" t="str">
        <x:f>IF($L249&lt;&gt;"",$L249,$M249)</x:f>
      </x:c>
      <x:c r="O249" s="82" t="str">
        <x:f>IF($B249&lt;&gt;"",0,"")</x:f>
      </x:c>
      <x:c r="P249" s="75" t="str">
        <x:f>IF($B249&lt;&gt;"","Orta","")</x:f>
      </x:c>
      <x:c r="Q249" s="82" t="str">
        <x:f>IF($B249&lt;&gt;"",10,"")</x:f>
      </x:c>
      <x:c r="R249" s="83" t="str">
        <x:f>IF($B249&lt;&gt;"",Ayarlar!$B$10,"")</x:f>
      </x:c>
      <x:c r="S249" s="83" t="str">
        <x:f>IF($B249&lt;&gt;"",0,"")</x:f>
      </x:c>
      <x:c r="T249" s="83" t="n">
        <x:f>IFERROR(($K249+$O249)*XLOOKUP($G249,Ayarlar!$A$19:$A$28,Ayarlar!$C$19:$C$28,0)*(1+Ayarlar!$B$11),0)</x:f>
        <x:v>0</x:v>
      </x:c>
      <x:c r="U249" s="83" t="n">
        <x:f>IFERROR($N249/60*Ayarlar!$B$8,0)</x:f>
        <x:v>0</x:v>
      </x:c>
      <x:c r="V249" s="83" t="n">
        <x:f>IF($B249&lt;&gt;"",Ayarlar!$B$12+($Q249/60*Ayarlar!$B$9),0)</x:f>
        <x:v>0</x:v>
      </x:c>
      <x:c r="W249" s="83" t="n">
        <x:f>IF($B249&lt;&gt;"",SUM($T249:$V249,$R249:$S249),0)</x:f>
        <x:v>0</x:v>
      </x:c>
      <x:c r="X249" s="83" t="n">
        <x:f>IF($B249&lt;&gt;"",$W249*Ayarlar!$B$15,0)</x:f>
        <x:v>0</x:v>
      </x:c>
      <x:c r="Y249" s="83" t="n">
        <x:f>IF($B249&lt;&gt;"",($W249+$X249)*Ayarlar!$B$13,0)</x:f>
        <x:v>0</x:v>
      </x:c>
      <x:c r="Z249" s="83" t="n">
        <x:f>IF($B249&lt;&gt;"",($W249+$X249+$Y249)*Ayarlar!$B$14,0)</x:f>
        <x:v>0</x:v>
      </x:c>
      <x:c r="AA249" s="83" t="str">
        <x:f>IF($B249="","",IF(OR($K249="",$N249=""),"",CEILING($W249+$X249+$Y249+$Z249,Ayarlar!$B$16)))</x:f>
      </x:c>
      <x:c r="AB249" s="83" t="str">
        <x:f>IFERROR($AA249/$H249,"")</x:f>
      </x:c>
      <x:c r="AC249" s="75" t="str">
        <x:f>IF($B249="","",IF(OR($K249="",$N249=""),"Veri Eksik","Fiyat Hazır"))</x:f>
      </x:c>
      <x:c r="AD249" s="75" t="str">
        <x:f>IF($C249&lt;&gt;"","MW-"&amp;$C249,"")</x:f>
        <x:v>MW-80</x:v>
      </x:c>
      <x:c r="AE249" s="75" t="str">
        <x:f>IF($G249&lt;&gt;"","3D Baskı / "&amp;$G249,"3D Baskı")</x:f>
        <x:v>3D Baskı</x:v>
      </x:c>
      <x:c r="AF249" s="75" t="str">
        <x:f>IF($D249&lt;&gt;"",$D249&amp;" - "&amp;$G249,$AD249&amp;" - "&amp;$G249)</x:f>
        <x:v>MW-80 - </x:v>
      </x:c>
      <x:c r="AG249" s="75" t="str"/>
    </x:row>
    <x:row r="250">
      <x:c r="A250" s="75" t="str">
        <x:f>IF($B250&lt;&gt;"",ROW()-4,"")</x:f>
      </x:c>
      <x:c r="B250" s="75" t="str"/>
      <x:c r="C250" s="75" t="n">
        <x:f>IFERROR(LET(x,MID($B250,FIND("/models/",$B250)+8,80),y,LEFT(x,FIND("-",x&amp;"-")-1),LEFT(y,FIND("?",y&amp;"?")-1)),"")</x:f>
        <x:v>80</x:v>
      </x:c>
      <x:c r="D250" s="75" t="str">
        <x:f>IF($B250="","",IFERROR(XLOOKUP($C250,MakerWorld_Verileri!$A:$A,MakerWorld_Verileri!$B:$B,""),""))</x:f>
      </x:c>
      <x:c r="E250" s="75" t="str">
        <x:f>IF($B250="","",IFERROR(XLOOKUP($C250,MakerWorld_Verileri!$A:$A,MakerWorld_Verileri!$C:$C,""),""))</x:f>
      </x:c>
      <x:c r="F250" s="75" t="str"/>
      <x:c r="G250" s="75" t="str">
        <x:f>IF($B250&lt;&gt;"",Ayarlar!$B$7,"")</x:f>
      </x:c>
      <x:c r="H250" s="82" t="str">
        <x:f>IF($B250&lt;&gt;"",1,"")</x:f>
      </x:c>
      <x:c r="I250" s="82" t="str">
        <x:f>IF($B250="","",IFERROR(XLOOKUP($C250,MakerWorld_Verileri!$A:$A,MakerWorld_Verileri!$D:$D,""),""))</x:f>
      </x:c>
      <x:c r="J250" s="82" t="str"/>
      <x:c r="K250" s="82" t="str">
        <x:f>IF($I250&lt;&gt;"",$I250,$J250)</x:f>
      </x:c>
      <x:c r="L250" s="82" t="str">
        <x:f>IF($B250="","",IFERROR(XLOOKUP($C250,MakerWorld_Verileri!$A:$A,MakerWorld_Verileri!$E:$E,""),""))</x:f>
      </x:c>
      <x:c r="M250" s="82" t="str"/>
      <x:c r="N250" s="82" t="str">
        <x:f>IF($L250&lt;&gt;"",$L250,$M250)</x:f>
      </x:c>
      <x:c r="O250" s="82" t="str">
        <x:f>IF($B250&lt;&gt;"",0,"")</x:f>
      </x:c>
      <x:c r="P250" s="75" t="str">
        <x:f>IF($B250&lt;&gt;"","Orta","")</x:f>
      </x:c>
      <x:c r="Q250" s="82" t="str">
        <x:f>IF($B250&lt;&gt;"",10,"")</x:f>
      </x:c>
      <x:c r="R250" s="83" t="str">
        <x:f>IF($B250&lt;&gt;"",Ayarlar!$B$10,"")</x:f>
      </x:c>
      <x:c r="S250" s="83" t="str">
        <x:f>IF($B250&lt;&gt;"",0,"")</x:f>
      </x:c>
      <x:c r="T250" s="83" t="n">
        <x:f>IFERROR(($K250+$O250)*XLOOKUP($G250,Ayarlar!$A$19:$A$28,Ayarlar!$C$19:$C$28,0)*(1+Ayarlar!$B$11),0)</x:f>
        <x:v>0</x:v>
      </x:c>
      <x:c r="U250" s="83" t="n">
        <x:f>IFERROR($N250/60*Ayarlar!$B$8,0)</x:f>
        <x:v>0</x:v>
      </x:c>
      <x:c r="V250" s="83" t="n">
        <x:f>IF($B250&lt;&gt;"",Ayarlar!$B$12+($Q250/60*Ayarlar!$B$9),0)</x:f>
        <x:v>0</x:v>
      </x:c>
      <x:c r="W250" s="83" t="n">
        <x:f>IF($B250&lt;&gt;"",SUM($T250:$V250,$R250:$S250),0)</x:f>
        <x:v>0</x:v>
      </x:c>
      <x:c r="X250" s="83" t="n">
        <x:f>IF($B250&lt;&gt;"",$W250*Ayarlar!$B$15,0)</x:f>
        <x:v>0</x:v>
      </x:c>
      <x:c r="Y250" s="83" t="n">
        <x:f>IF($B250&lt;&gt;"",($W250+$X250)*Ayarlar!$B$13,0)</x:f>
        <x:v>0</x:v>
      </x:c>
      <x:c r="Z250" s="83" t="n">
        <x:f>IF($B250&lt;&gt;"",($W250+$X250+$Y250)*Ayarlar!$B$14,0)</x:f>
        <x:v>0</x:v>
      </x:c>
      <x:c r="AA250" s="83" t="str">
        <x:f>IF($B250="","",IF(OR($K250="",$N250=""),"",CEILING($W250+$X250+$Y250+$Z250,Ayarlar!$B$16)))</x:f>
      </x:c>
      <x:c r="AB250" s="83" t="str">
        <x:f>IFERROR($AA250/$H250,"")</x:f>
      </x:c>
      <x:c r="AC250" s="75" t="str">
        <x:f>IF($B250="","",IF(OR($K250="",$N250=""),"Veri Eksik","Fiyat Hazır"))</x:f>
      </x:c>
      <x:c r="AD250" s="75" t="str">
        <x:f>IF($C250&lt;&gt;"","MW-"&amp;$C250,"")</x:f>
        <x:v>MW-80</x:v>
      </x:c>
      <x:c r="AE250" s="75" t="str">
        <x:f>IF($G250&lt;&gt;"","3D Baskı / "&amp;$G250,"3D Baskı")</x:f>
        <x:v>3D Baskı</x:v>
      </x:c>
      <x:c r="AF250" s="75" t="str">
        <x:f>IF($D250&lt;&gt;"",$D250&amp;" - "&amp;$G250,$AD250&amp;" - "&amp;$G250)</x:f>
        <x:v>MW-80 - </x:v>
      </x:c>
      <x:c r="AG250" s="75" t="str"/>
    </x:row>
    <x:row r="251">
      <x:c r="A251" s="75" t="str">
        <x:f>IF($B251&lt;&gt;"",ROW()-4,"")</x:f>
      </x:c>
      <x:c r="B251" s="75" t="str"/>
      <x:c r="C251" s="75" t="n">
        <x:f>IFERROR(LET(x,MID($B251,FIND("/models/",$B251)+8,80),y,LEFT(x,FIND("-",x&amp;"-")-1),LEFT(y,FIND("?",y&amp;"?")-1)),"")</x:f>
        <x:v>80</x:v>
      </x:c>
      <x:c r="D251" s="75" t="str">
        <x:f>IF($B251="","",IFERROR(XLOOKUP($C251,MakerWorld_Verileri!$A:$A,MakerWorld_Verileri!$B:$B,""),""))</x:f>
      </x:c>
      <x:c r="E251" s="75" t="str">
        <x:f>IF($B251="","",IFERROR(XLOOKUP($C251,MakerWorld_Verileri!$A:$A,MakerWorld_Verileri!$C:$C,""),""))</x:f>
      </x:c>
      <x:c r="F251" s="75" t="str"/>
      <x:c r="G251" s="75" t="str">
        <x:f>IF($B251&lt;&gt;"",Ayarlar!$B$7,"")</x:f>
      </x:c>
      <x:c r="H251" s="82" t="str">
        <x:f>IF($B251&lt;&gt;"",1,"")</x:f>
      </x:c>
      <x:c r="I251" s="82" t="str">
        <x:f>IF($B251="","",IFERROR(XLOOKUP($C251,MakerWorld_Verileri!$A:$A,MakerWorld_Verileri!$D:$D,""),""))</x:f>
      </x:c>
      <x:c r="J251" s="82" t="str"/>
      <x:c r="K251" s="82" t="str">
        <x:f>IF($I251&lt;&gt;"",$I251,$J251)</x:f>
      </x:c>
      <x:c r="L251" s="82" t="str">
        <x:f>IF($B251="","",IFERROR(XLOOKUP($C251,MakerWorld_Verileri!$A:$A,MakerWorld_Verileri!$E:$E,""),""))</x:f>
      </x:c>
      <x:c r="M251" s="82" t="str"/>
      <x:c r="N251" s="82" t="str">
        <x:f>IF($L251&lt;&gt;"",$L251,$M251)</x:f>
      </x:c>
      <x:c r="O251" s="82" t="str">
        <x:f>IF($B251&lt;&gt;"",0,"")</x:f>
      </x:c>
      <x:c r="P251" s="75" t="str">
        <x:f>IF($B251&lt;&gt;"","Orta","")</x:f>
      </x:c>
      <x:c r="Q251" s="82" t="str">
        <x:f>IF($B251&lt;&gt;"",10,"")</x:f>
      </x:c>
      <x:c r="R251" s="83" t="str">
        <x:f>IF($B251&lt;&gt;"",Ayarlar!$B$10,"")</x:f>
      </x:c>
      <x:c r="S251" s="83" t="str">
        <x:f>IF($B251&lt;&gt;"",0,"")</x:f>
      </x:c>
      <x:c r="T251" s="83" t="n">
        <x:f>IFERROR(($K251+$O251)*XLOOKUP($G251,Ayarlar!$A$19:$A$28,Ayarlar!$C$19:$C$28,0)*(1+Ayarlar!$B$11),0)</x:f>
        <x:v>0</x:v>
      </x:c>
      <x:c r="U251" s="83" t="n">
        <x:f>IFERROR($N251/60*Ayarlar!$B$8,0)</x:f>
        <x:v>0</x:v>
      </x:c>
      <x:c r="V251" s="83" t="n">
        <x:f>IF($B251&lt;&gt;"",Ayarlar!$B$12+($Q251/60*Ayarlar!$B$9),0)</x:f>
        <x:v>0</x:v>
      </x:c>
      <x:c r="W251" s="83" t="n">
        <x:f>IF($B251&lt;&gt;"",SUM($T251:$V251,$R251:$S251),0)</x:f>
        <x:v>0</x:v>
      </x:c>
      <x:c r="X251" s="83" t="n">
        <x:f>IF($B251&lt;&gt;"",$W251*Ayarlar!$B$15,0)</x:f>
        <x:v>0</x:v>
      </x:c>
      <x:c r="Y251" s="83" t="n">
        <x:f>IF($B251&lt;&gt;"",($W251+$X251)*Ayarlar!$B$13,0)</x:f>
        <x:v>0</x:v>
      </x:c>
      <x:c r="Z251" s="83" t="n">
        <x:f>IF($B251&lt;&gt;"",($W251+$X251+$Y251)*Ayarlar!$B$14,0)</x:f>
        <x:v>0</x:v>
      </x:c>
      <x:c r="AA251" s="83" t="str">
        <x:f>IF($B251="","",IF(OR($K251="",$N251=""),"",CEILING($W251+$X251+$Y251+$Z251,Ayarlar!$B$16)))</x:f>
      </x:c>
      <x:c r="AB251" s="83" t="str">
        <x:f>IFERROR($AA251/$H251,"")</x:f>
      </x:c>
      <x:c r="AC251" s="75" t="str">
        <x:f>IF($B251="","",IF(OR($K251="",$N251=""),"Veri Eksik","Fiyat Hazır"))</x:f>
      </x:c>
      <x:c r="AD251" s="75" t="str">
        <x:f>IF($C251&lt;&gt;"","MW-"&amp;$C251,"")</x:f>
        <x:v>MW-80</x:v>
      </x:c>
      <x:c r="AE251" s="75" t="str">
        <x:f>IF($G251&lt;&gt;"","3D Baskı / "&amp;$G251,"3D Baskı")</x:f>
        <x:v>3D Baskı</x:v>
      </x:c>
      <x:c r="AF251" s="75" t="str">
        <x:f>IF($D251&lt;&gt;"",$D251&amp;" - "&amp;$G251,$AD251&amp;" - "&amp;$G251)</x:f>
        <x:v>MW-80 - </x:v>
      </x:c>
      <x:c r="AG251" s="75" t="str"/>
    </x:row>
    <x:row r="252">
      <x:c r="A252" s="75" t="str">
        <x:f>IF($B252&lt;&gt;"",ROW()-4,"")</x:f>
      </x:c>
      <x:c r="B252" s="75" t="str"/>
      <x:c r="C252" s="75" t="n">
        <x:f>IFERROR(LET(x,MID($B252,FIND("/models/",$B252)+8,80),y,LEFT(x,FIND("-",x&amp;"-")-1),LEFT(y,FIND("?",y&amp;"?")-1)),"")</x:f>
        <x:v>80</x:v>
      </x:c>
      <x:c r="D252" s="75" t="str">
        <x:f>IF($B252="","",IFERROR(XLOOKUP($C252,MakerWorld_Verileri!$A:$A,MakerWorld_Verileri!$B:$B,""),""))</x:f>
      </x:c>
      <x:c r="E252" s="75" t="str">
        <x:f>IF($B252="","",IFERROR(XLOOKUP($C252,MakerWorld_Verileri!$A:$A,MakerWorld_Verileri!$C:$C,""),""))</x:f>
      </x:c>
      <x:c r="F252" s="75" t="str"/>
      <x:c r="G252" s="75" t="str">
        <x:f>IF($B252&lt;&gt;"",Ayarlar!$B$7,"")</x:f>
      </x:c>
      <x:c r="H252" s="82" t="str">
        <x:f>IF($B252&lt;&gt;"",1,"")</x:f>
      </x:c>
      <x:c r="I252" s="82" t="str">
        <x:f>IF($B252="","",IFERROR(XLOOKUP($C252,MakerWorld_Verileri!$A:$A,MakerWorld_Verileri!$D:$D,""),""))</x:f>
      </x:c>
      <x:c r="J252" s="82" t="str"/>
      <x:c r="K252" s="82" t="str">
        <x:f>IF($I252&lt;&gt;"",$I252,$J252)</x:f>
      </x:c>
      <x:c r="L252" s="82" t="str">
        <x:f>IF($B252="","",IFERROR(XLOOKUP($C252,MakerWorld_Verileri!$A:$A,MakerWorld_Verileri!$E:$E,""),""))</x:f>
      </x:c>
      <x:c r="M252" s="82" t="str"/>
      <x:c r="N252" s="82" t="str">
        <x:f>IF($L252&lt;&gt;"",$L252,$M252)</x:f>
      </x:c>
      <x:c r="O252" s="82" t="str">
        <x:f>IF($B252&lt;&gt;"",0,"")</x:f>
      </x:c>
      <x:c r="P252" s="75" t="str">
        <x:f>IF($B252&lt;&gt;"","Orta","")</x:f>
      </x:c>
      <x:c r="Q252" s="82" t="str">
        <x:f>IF($B252&lt;&gt;"",10,"")</x:f>
      </x:c>
      <x:c r="R252" s="83" t="str">
        <x:f>IF($B252&lt;&gt;"",Ayarlar!$B$10,"")</x:f>
      </x:c>
      <x:c r="S252" s="83" t="str">
        <x:f>IF($B252&lt;&gt;"",0,"")</x:f>
      </x:c>
      <x:c r="T252" s="83" t="n">
        <x:f>IFERROR(($K252+$O252)*XLOOKUP($G252,Ayarlar!$A$19:$A$28,Ayarlar!$C$19:$C$28,0)*(1+Ayarlar!$B$11),0)</x:f>
        <x:v>0</x:v>
      </x:c>
      <x:c r="U252" s="83" t="n">
        <x:f>IFERROR($N252/60*Ayarlar!$B$8,0)</x:f>
        <x:v>0</x:v>
      </x:c>
      <x:c r="V252" s="83" t="n">
        <x:f>IF($B252&lt;&gt;"",Ayarlar!$B$12+($Q252/60*Ayarlar!$B$9),0)</x:f>
        <x:v>0</x:v>
      </x:c>
      <x:c r="W252" s="83" t="n">
        <x:f>IF($B252&lt;&gt;"",SUM($T252:$V252,$R252:$S252),0)</x:f>
        <x:v>0</x:v>
      </x:c>
      <x:c r="X252" s="83" t="n">
        <x:f>IF($B252&lt;&gt;"",$W252*Ayarlar!$B$15,0)</x:f>
        <x:v>0</x:v>
      </x:c>
      <x:c r="Y252" s="83" t="n">
        <x:f>IF($B252&lt;&gt;"",($W252+$X252)*Ayarlar!$B$13,0)</x:f>
        <x:v>0</x:v>
      </x:c>
      <x:c r="Z252" s="83" t="n">
        <x:f>IF($B252&lt;&gt;"",($W252+$X252+$Y252)*Ayarlar!$B$14,0)</x:f>
        <x:v>0</x:v>
      </x:c>
      <x:c r="AA252" s="83" t="str">
        <x:f>IF($B252="","",IF(OR($K252="",$N252=""),"",CEILING($W252+$X252+$Y252+$Z252,Ayarlar!$B$16)))</x:f>
      </x:c>
      <x:c r="AB252" s="83" t="str">
        <x:f>IFERROR($AA252/$H252,"")</x:f>
      </x:c>
      <x:c r="AC252" s="75" t="str">
        <x:f>IF($B252="","",IF(OR($K252="",$N252=""),"Veri Eksik","Fiyat Hazır"))</x:f>
      </x:c>
      <x:c r="AD252" s="75" t="str">
        <x:f>IF($C252&lt;&gt;"","MW-"&amp;$C252,"")</x:f>
        <x:v>MW-80</x:v>
      </x:c>
      <x:c r="AE252" s="75" t="str">
        <x:f>IF($G252&lt;&gt;"","3D Baskı / "&amp;$G252,"3D Baskı")</x:f>
        <x:v>3D Baskı</x:v>
      </x:c>
      <x:c r="AF252" s="75" t="str">
        <x:f>IF($D252&lt;&gt;"",$D252&amp;" - "&amp;$G252,$AD252&amp;" - "&amp;$G252)</x:f>
        <x:v>MW-80 - </x:v>
      </x:c>
      <x:c r="AG252" s="75" t="str"/>
    </x:row>
    <x:row r="253">
      <x:c r="A253" s="75" t="str">
        <x:f>IF($B253&lt;&gt;"",ROW()-4,"")</x:f>
      </x:c>
      <x:c r="B253" s="75" t="str"/>
      <x:c r="C253" s="75" t="n">
        <x:f>IFERROR(LET(x,MID($B253,FIND("/models/",$B253)+8,80),y,LEFT(x,FIND("-",x&amp;"-")-1),LEFT(y,FIND("?",y&amp;"?")-1)),"")</x:f>
        <x:v>80</x:v>
      </x:c>
      <x:c r="D253" s="75" t="str">
        <x:f>IF($B253="","",IFERROR(XLOOKUP($C253,MakerWorld_Verileri!$A:$A,MakerWorld_Verileri!$B:$B,""),""))</x:f>
      </x:c>
      <x:c r="E253" s="75" t="str">
        <x:f>IF($B253="","",IFERROR(XLOOKUP($C253,MakerWorld_Verileri!$A:$A,MakerWorld_Verileri!$C:$C,""),""))</x:f>
      </x:c>
      <x:c r="F253" s="75" t="str"/>
      <x:c r="G253" s="75" t="str">
        <x:f>IF($B253&lt;&gt;"",Ayarlar!$B$7,"")</x:f>
      </x:c>
      <x:c r="H253" s="82" t="str">
        <x:f>IF($B253&lt;&gt;"",1,"")</x:f>
      </x:c>
      <x:c r="I253" s="82" t="str">
        <x:f>IF($B253="","",IFERROR(XLOOKUP($C253,MakerWorld_Verileri!$A:$A,MakerWorld_Verileri!$D:$D,""),""))</x:f>
      </x:c>
      <x:c r="J253" s="82" t="str"/>
      <x:c r="K253" s="82" t="str">
        <x:f>IF($I253&lt;&gt;"",$I253,$J253)</x:f>
      </x:c>
      <x:c r="L253" s="82" t="str">
        <x:f>IF($B253="","",IFERROR(XLOOKUP($C253,MakerWorld_Verileri!$A:$A,MakerWorld_Verileri!$E:$E,""),""))</x:f>
      </x:c>
      <x:c r="M253" s="82" t="str"/>
      <x:c r="N253" s="82" t="str">
        <x:f>IF($L253&lt;&gt;"",$L253,$M253)</x:f>
      </x:c>
      <x:c r="O253" s="82" t="str">
        <x:f>IF($B253&lt;&gt;"",0,"")</x:f>
      </x:c>
      <x:c r="P253" s="75" t="str">
        <x:f>IF($B253&lt;&gt;"","Orta","")</x:f>
      </x:c>
      <x:c r="Q253" s="82" t="str">
        <x:f>IF($B253&lt;&gt;"",10,"")</x:f>
      </x:c>
      <x:c r="R253" s="83" t="str">
        <x:f>IF($B253&lt;&gt;"",Ayarlar!$B$10,"")</x:f>
      </x:c>
      <x:c r="S253" s="83" t="str">
        <x:f>IF($B253&lt;&gt;"",0,"")</x:f>
      </x:c>
      <x:c r="T253" s="83" t="n">
        <x:f>IFERROR(($K253+$O253)*XLOOKUP($G253,Ayarlar!$A$19:$A$28,Ayarlar!$C$19:$C$28,0)*(1+Ayarlar!$B$11),0)</x:f>
        <x:v>0</x:v>
      </x:c>
      <x:c r="U253" s="83" t="n">
        <x:f>IFERROR($N253/60*Ayarlar!$B$8,0)</x:f>
        <x:v>0</x:v>
      </x:c>
      <x:c r="V253" s="83" t="n">
        <x:f>IF($B253&lt;&gt;"",Ayarlar!$B$12+($Q253/60*Ayarlar!$B$9),0)</x:f>
        <x:v>0</x:v>
      </x:c>
      <x:c r="W253" s="83" t="n">
        <x:f>IF($B253&lt;&gt;"",SUM($T253:$V253,$R253:$S253),0)</x:f>
        <x:v>0</x:v>
      </x:c>
      <x:c r="X253" s="83" t="n">
        <x:f>IF($B253&lt;&gt;"",$W253*Ayarlar!$B$15,0)</x:f>
        <x:v>0</x:v>
      </x:c>
      <x:c r="Y253" s="83" t="n">
        <x:f>IF($B253&lt;&gt;"",($W253+$X253)*Ayarlar!$B$13,0)</x:f>
        <x:v>0</x:v>
      </x:c>
      <x:c r="Z253" s="83" t="n">
        <x:f>IF($B253&lt;&gt;"",($W253+$X253+$Y253)*Ayarlar!$B$14,0)</x:f>
        <x:v>0</x:v>
      </x:c>
      <x:c r="AA253" s="83" t="str">
        <x:f>IF($B253="","",IF(OR($K253="",$N253=""),"",CEILING($W253+$X253+$Y253+$Z253,Ayarlar!$B$16)))</x:f>
      </x:c>
      <x:c r="AB253" s="83" t="str">
        <x:f>IFERROR($AA253/$H253,"")</x:f>
      </x:c>
      <x:c r="AC253" s="75" t="str">
        <x:f>IF($B253="","",IF(OR($K253="",$N253=""),"Veri Eksik","Fiyat Hazır"))</x:f>
      </x:c>
      <x:c r="AD253" s="75" t="str">
        <x:f>IF($C253&lt;&gt;"","MW-"&amp;$C253,"")</x:f>
        <x:v>MW-80</x:v>
      </x:c>
      <x:c r="AE253" s="75" t="str">
        <x:f>IF($G253&lt;&gt;"","3D Baskı / "&amp;$G253,"3D Baskı")</x:f>
        <x:v>3D Baskı</x:v>
      </x:c>
      <x:c r="AF253" s="75" t="str">
        <x:f>IF($D253&lt;&gt;"",$D253&amp;" - "&amp;$G253,$AD253&amp;" - "&amp;$G253)</x:f>
        <x:v>MW-80 - </x:v>
      </x:c>
      <x:c r="AG253" s="75" t="str"/>
    </x:row>
    <x:row r="254">
      <x:c r="A254" s="75" t="str">
        <x:f>IF($B254&lt;&gt;"",ROW()-4,"")</x:f>
      </x:c>
      <x:c r="B254" s="75" t="str"/>
      <x:c r="C254" s="75" t="n">
        <x:f>IFERROR(LET(x,MID($B254,FIND("/models/",$B254)+8,80),y,LEFT(x,FIND("-",x&amp;"-")-1),LEFT(y,FIND("?",y&amp;"?")-1)),"")</x:f>
        <x:v>80</x:v>
      </x:c>
      <x:c r="D254" s="75" t="str">
        <x:f>IF($B254="","",IFERROR(XLOOKUP($C254,MakerWorld_Verileri!$A:$A,MakerWorld_Verileri!$B:$B,""),""))</x:f>
      </x:c>
      <x:c r="E254" s="75" t="str">
        <x:f>IF($B254="","",IFERROR(XLOOKUP($C254,MakerWorld_Verileri!$A:$A,MakerWorld_Verileri!$C:$C,""),""))</x:f>
      </x:c>
      <x:c r="F254" s="75" t="str"/>
      <x:c r="G254" s="75" t="str">
        <x:f>IF($B254&lt;&gt;"",Ayarlar!$B$7,"")</x:f>
      </x:c>
      <x:c r="H254" s="82" t="str">
        <x:f>IF($B254&lt;&gt;"",1,"")</x:f>
      </x:c>
      <x:c r="I254" s="82" t="str">
        <x:f>IF($B254="","",IFERROR(XLOOKUP($C254,MakerWorld_Verileri!$A:$A,MakerWorld_Verileri!$D:$D,""),""))</x:f>
      </x:c>
      <x:c r="J254" s="82" t="str"/>
      <x:c r="K254" s="82" t="str">
        <x:f>IF($I254&lt;&gt;"",$I254,$J254)</x:f>
      </x:c>
      <x:c r="L254" s="82" t="str">
        <x:f>IF($B254="","",IFERROR(XLOOKUP($C254,MakerWorld_Verileri!$A:$A,MakerWorld_Verileri!$E:$E,""),""))</x:f>
      </x:c>
      <x:c r="M254" s="82" t="str"/>
      <x:c r="N254" s="82" t="str">
        <x:f>IF($L254&lt;&gt;"",$L254,$M254)</x:f>
      </x:c>
      <x:c r="O254" s="82" t="str">
        <x:f>IF($B254&lt;&gt;"",0,"")</x:f>
      </x:c>
      <x:c r="P254" s="75" t="str">
        <x:f>IF($B254&lt;&gt;"","Orta","")</x:f>
      </x:c>
      <x:c r="Q254" s="82" t="str">
        <x:f>IF($B254&lt;&gt;"",10,"")</x:f>
      </x:c>
      <x:c r="R254" s="83" t="str">
        <x:f>IF($B254&lt;&gt;"",Ayarlar!$B$10,"")</x:f>
      </x:c>
      <x:c r="S254" s="83" t="str">
        <x:f>IF($B254&lt;&gt;"",0,"")</x:f>
      </x:c>
      <x:c r="T254" s="83" t="n">
        <x:f>IFERROR(($K254+$O254)*XLOOKUP($G254,Ayarlar!$A$19:$A$28,Ayarlar!$C$19:$C$28,0)*(1+Ayarlar!$B$11),0)</x:f>
        <x:v>0</x:v>
      </x:c>
      <x:c r="U254" s="83" t="n">
        <x:f>IFERROR($N254/60*Ayarlar!$B$8,0)</x:f>
        <x:v>0</x:v>
      </x:c>
      <x:c r="V254" s="83" t="n">
        <x:f>IF($B254&lt;&gt;"",Ayarlar!$B$12+($Q254/60*Ayarlar!$B$9),0)</x:f>
        <x:v>0</x:v>
      </x:c>
      <x:c r="W254" s="83" t="n">
        <x:f>IF($B254&lt;&gt;"",SUM($T254:$V254,$R254:$S254),0)</x:f>
        <x:v>0</x:v>
      </x:c>
      <x:c r="X254" s="83" t="n">
        <x:f>IF($B254&lt;&gt;"",$W254*Ayarlar!$B$15,0)</x:f>
        <x:v>0</x:v>
      </x:c>
      <x:c r="Y254" s="83" t="n">
        <x:f>IF($B254&lt;&gt;"",($W254+$X254)*Ayarlar!$B$13,0)</x:f>
        <x:v>0</x:v>
      </x:c>
      <x:c r="Z254" s="83" t="n">
        <x:f>IF($B254&lt;&gt;"",($W254+$X254+$Y254)*Ayarlar!$B$14,0)</x:f>
        <x:v>0</x:v>
      </x:c>
      <x:c r="AA254" s="83" t="str">
        <x:f>IF($B254="","",IF(OR($K254="",$N254=""),"",CEILING($W254+$X254+$Y254+$Z254,Ayarlar!$B$16)))</x:f>
      </x:c>
      <x:c r="AB254" s="83" t="str">
        <x:f>IFERROR($AA254/$H254,"")</x:f>
      </x:c>
      <x:c r="AC254" s="75" t="str">
        <x:f>IF($B254="","",IF(OR($K254="",$N254=""),"Veri Eksik","Fiyat Hazır"))</x:f>
      </x:c>
      <x:c r="AD254" s="75" t="str">
        <x:f>IF($C254&lt;&gt;"","MW-"&amp;$C254,"")</x:f>
        <x:v>MW-80</x:v>
      </x:c>
      <x:c r="AE254" s="75" t="str">
        <x:f>IF($G254&lt;&gt;"","3D Baskı / "&amp;$G254,"3D Baskı")</x:f>
        <x:v>3D Baskı</x:v>
      </x:c>
      <x:c r="AF254" s="75" t="str">
        <x:f>IF($D254&lt;&gt;"",$D254&amp;" - "&amp;$G254,$AD254&amp;" - "&amp;$G254)</x:f>
        <x:v>MW-80 - </x:v>
      </x:c>
      <x:c r="AG254" s="75" t="str"/>
    </x:row>
    <x:row r="255">
      <x:c r="A255" s="75" t="str">
        <x:f>IF($B255&lt;&gt;"",ROW()-4,"")</x:f>
      </x:c>
      <x:c r="B255" s="75" t="str"/>
      <x:c r="C255" s="75" t="n">
        <x:f>IFERROR(LET(x,MID($B255,FIND("/models/",$B255)+8,80),y,LEFT(x,FIND("-",x&amp;"-")-1),LEFT(y,FIND("?",y&amp;"?")-1)),"")</x:f>
        <x:v>80</x:v>
      </x:c>
      <x:c r="D255" s="75" t="str">
        <x:f>IF($B255="","",IFERROR(XLOOKUP($C255,MakerWorld_Verileri!$A:$A,MakerWorld_Verileri!$B:$B,""),""))</x:f>
      </x:c>
      <x:c r="E255" s="75" t="str">
        <x:f>IF($B255="","",IFERROR(XLOOKUP($C255,MakerWorld_Verileri!$A:$A,MakerWorld_Verileri!$C:$C,""),""))</x:f>
      </x:c>
      <x:c r="F255" s="75" t="str"/>
      <x:c r="G255" s="75" t="str">
        <x:f>IF($B255&lt;&gt;"",Ayarlar!$B$7,"")</x:f>
      </x:c>
      <x:c r="H255" s="82" t="str">
        <x:f>IF($B255&lt;&gt;"",1,"")</x:f>
      </x:c>
      <x:c r="I255" s="82" t="str">
        <x:f>IF($B255="","",IFERROR(XLOOKUP($C255,MakerWorld_Verileri!$A:$A,MakerWorld_Verileri!$D:$D,""),""))</x:f>
      </x:c>
      <x:c r="J255" s="82" t="str"/>
      <x:c r="K255" s="82" t="str">
        <x:f>IF($I255&lt;&gt;"",$I255,$J255)</x:f>
      </x:c>
      <x:c r="L255" s="82" t="str">
        <x:f>IF($B255="","",IFERROR(XLOOKUP($C255,MakerWorld_Verileri!$A:$A,MakerWorld_Verileri!$E:$E,""),""))</x:f>
      </x:c>
      <x:c r="M255" s="82" t="str"/>
      <x:c r="N255" s="82" t="str">
        <x:f>IF($L255&lt;&gt;"",$L255,$M255)</x:f>
      </x:c>
      <x:c r="O255" s="82" t="str">
        <x:f>IF($B255&lt;&gt;"",0,"")</x:f>
      </x:c>
      <x:c r="P255" s="75" t="str">
        <x:f>IF($B255&lt;&gt;"","Orta","")</x:f>
      </x:c>
      <x:c r="Q255" s="82" t="str">
        <x:f>IF($B255&lt;&gt;"",10,"")</x:f>
      </x:c>
      <x:c r="R255" s="83" t="str">
        <x:f>IF($B255&lt;&gt;"",Ayarlar!$B$10,"")</x:f>
      </x:c>
      <x:c r="S255" s="83" t="str">
        <x:f>IF($B255&lt;&gt;"",0,"")</x:f>
      </x:c>
      <x:c r="T255" s="83" t="n">
        <x:f>IFERROR(($K255+$O255)*XLOOKUP($G255,Ayarlar!$A$19:$A$28,Ayarlar!$C$19:$C$28,0)*(1+Ayarlar!$B$11),0)</x:f>
        <x:v>0</x:v>
      </x:c>
      <x:c r="U255" s="83" t="n">
        <x:f>IFERROR($N255/60*Ayarlar!$B$8,0)</x:f>
        <x:v>0</x:v>
      </x:c>
      <x:c r="V255" s="83" t="n">
        <x:f>IF($B255&lt;&gt;"",Ayarlar!$B$12+($Q255/60*Ayarlar!$B$9),0)</x:f>
        <x:v>0</x:v>
      </x:c>
      <x:c r="W255" s="83" t="n">
        <x:f>IF($B255&lt;&gt;"",SUM($T255:$V255,$R255:$S255),0)</x:f>
        <x:v>0</x:v>
      </x:c>
      <x:c r="X255" s="83" t="n">
        <x:f>IF($B255&lt;&gt;"",$W255*Ayarlar!$B$15,0)</x:f>
        <x:v>0</x:v>
      </x:c>
      <x:c r="Y255" s="83" t="n">
        <x:f>IF($B255&lt;&gt;"",($W255+$X255)*Ayarlar!$B$13,0)</x:f>
        <x:v>0</x:v>
      </x:c>
      <x:c r="Z255" s="83" t="n">
        <x:f>IF($B255&lt;&gt;"",($W255+$X255+$Y255)*Ayarlar!$B$14,0)</x:f>
        <x:v>0</x:v>
      </x:c>
      <x:c r="AA255" s="83" t="str">
        <x:f>IF($B255="","",IF(OR($K255="",$N255=""),"",CEILING($W255+$X255+$Y255+$Z255,Ayarlar!$B$16)))</x:f>
      </x:c>
      <x:c r="AB255" s="83" t="str">
        <x:f>IFERROR($AA255/$H255,"")</x:f>
      </x:c>
      <x:c r="AC255" s="75" t="str">
        <x:f>IF($B255="","",IF(OR($K255="",$N255=""),"Veri Eksik","Fiyat Hazır"))</x:f>
      </x:c>
      <x:c r="AD255" s="75" t="str">
        <x:f>IF($C255&lt;&gt;"","MW-"&amp;$C255,"")</x:f>
        <x:v>MW-80</x:v>
      </x:c>
      <x:c r="AE255" s="75" t="str">
        <x:f>IF($G255&lt;&gt;"","3D Baskı / "&amp;$G255,"3D Baskı")</x:f>
        <x:v>3D Baskı</x:v>
      </x:c>
      <x:c r="AF255" s="75" t="str">
        <x:f>IF($D255&lt;&gt;"",$D255&amp;" - "&amp;$G255,$AD255&amp;" - "&amp;$G255)</x:f>
        <x:v>MW-80 - </x:v>
      </x:c>
      <x:c r="AG255" s="75" t="str"/>
    </x:row>
    <x:row r="256">
      <x:c r="A256" s="75" t="str">
        <x:f>IF($B256&lt;&gt;"",ROW()-4,"")</x:f>
      </x:c>
      <x:c r="B256" s="75" t="str"/>
      <x:c r="C256" s="75" t="n">
        <x:f>IFERROR(LET(x,MID($B256,FIND("/models/",$B256)+8,80),y,LEFT(x,FIND("-",x&amp;"-")-1),LEFT(y,FIND("?",y&amp;"?")-1)),"")</x:f>
        <x:v>80</x:v>
      </x:c>
      <x:c r="D256" s="75" t="str">
        <x:f>IF($B256="","",IFERROR(XLOOKUP($C256,MakerWorld_Verileri!$A:$A,MakerWorld_Verileri!$B:$B,""),""))</x:f>
      </x:c>
      <x:c r="E256" s="75" t="str">
        <x:f>IF($B256="","",IFERROR(XLOOKUP($C256,MakerWorld_Verileri!$A:$A,MakerWorld_Verileri!$C:$C,""),""))</x:f>
      </x:c>
      <x:c r="F256" s="75" t="str"/>
      <x:c r="G256" s="75" t="str">
        <x:f>IF($B256&lt;&gt;"",Ayarlar!$B$7,"")</x:f>
      </x:c>
      <x:c r="H256" s="82" t="str">
        <x:f>IF($B256&lt;&gt;"",1,"")</x:f>
      </x:c>
      <x:c r="I256" s="82" t="str">
        <x:f>IF($B256="","",IFERROR(XLOOKUP($C256,MakerWorld_Verileri!$A:$A,MakerWorld_Verileri!$D:$D,""),""))</x:f>
      </x:c>
      <x:c r="J256" s="82" t="str"/>
      <x:c r="K256" s="82" t="str">
        <x:f>IF($I256&lt;&gt;"",$I256,$J256)</x:f>
      </x:c>
      <x:c r="L256" s="82" t="str">
        <x:f>IF($B256="","",IFERROR(XLOOKUP($C256,MakerWorld_Verileri!$A:$A,MakerWorld_Verileri!$E:$E,""),""))</x:f>
      </x:c>
      <x:c r="M256" s="82" t="str"/>
      <x:c r="N256" s="82" t="str">
        <x:f>IF($L256&lt;&gt;"",$L256,$M256)</x:f>
      </x:c>
      <x:c r="O256" s="82" t="str">
        <x:f>IF($B256&lt;&gt;"",0,"")</x:f>
      </x:c>
      <x:c r="P256" s="75" t="str">
        <x:f>IF($B256&lt;&gt;"","Orta","")</x:f>
      </x:c>
      <x:c r="Q256" s="82" t="str">
        <x:f>IF($B256&lt;&gt;"",10,"")</x:f>
      </x:c>
      <x:c r="R256" s="83" t="str">
        <x:f>IF($B256&lt;&gt;"",Ayarlar!$B$10,"")</x:f>
      </x:c>
      <x:c r="S256" s="83" t="str">
        <x:f>IF($B256&lt;&gt;"",0,"")</x:f>
      </x:c>
      <x:c r="T256" s="83" t="n">
        <x:f>IFERROR(($K256+$O256)*XLOOKUP($G256,Ayarlar!$A$19:$A$28,Ayarlar!$C$19:$C$28,0)*(1+Ayarlar!$B$11),0)</x:f>
        <x:v>0</x:v>
      </x:c>
      <x:c r="U256" s="83" t="n">
        <x:f>IFERROR($N256/60*Ayarlar!$B$8,0)</x:f>
        <x:v>0</x:v>
      </x:c>
      <x:c r="V256" s="83" t="n">
        <x:f>IF($B256&lt;&gt;"",Ayarlar!$B$12+($Q256/60*Ayarlar!$B$9),0)</x:f>
        <x:v>0</x:v>
      </x:c>
      <x:c r="W256" s="83" t="n">
        <x:f>IF($B256&lt;&gt;"",SUM($T256:$V256,$R256:$S256),0)</x:f>
        <x:v>0</x:v>
      </x:c>
      <x:c r="X256" s="83" t="n">
        <x:f>IF($B256&lt;&gt;"",$W256*Ayarlar!$B$15,0)</x:f>
        <x:v>0</x:v>
      </x:c>
      <x:c r="Y256" s="83" t="n">
        <x:f>IF($B256&lt;&gt;"",($W256+$X256)*Ayarlar!$B$13,0)</x:f>
        <x:v>0</x:v>
      </x:c>
      <x:c r="Z256" s="83" t="n">
        <x:f>IF($B256&lt;&gt;"",($W256+$X256+$Y256)*Ayarlar!$B$14,0)</x:f>
        <x:v>0</x:v>
      </x:c>
      <x:c r="AA256" s="83" t="str">
        <x:f>IF($B256="","",IF(OR($K256="",$N256=""),"",CEILING($W256+$X256+$Y256+$Z256,Ayarlar!$B$16)))</x:f>
      </x:c>
      <x:c r="AB256" s="83" t="str">
        <x:f>IFERROR($AA256/$H256,"")</x:f>
      </x:c>
      <x:c r="AC256" s="75" t="str">
        <x:f>IF($B256="","",IF(OR($K256="",$N256=""),"Veri Eksik","Fiyat Hazır"))</x:f>
      </x:c>
      <x:c r="AD256" s="75" t="str">
        <x:f>IF($C256&lt;&gt;"","MW-"&amp;$C256,"")</x:f>
        <x:v>MW-80</x:v>
      </x:c>
      <x:c r="AE256" s="75" t="str">
        <x:f>IF($G256&lt;&gt;"","3D Baskı / "&amp;$G256,"3D Baskı")</x:f>
        <x:v>3D Baskı</x:v>
      </x:c>
      <x:c r="AF256" s="75" t="str">
        <x:f>IF($D256&lt;&gt;"",$D256&amp;" - "&amp;$G256,$AD256&amp;" - "&amp;$G256)</x:f>
        <x:v>MW-80 - </x:v>
      </x:c>
      <x:c r="AG256" s="75" t="str"/>
    </x:row>
    <x:row r="257">
      <x:c r="A257" s="75" t="str">
        <x:f>IF($B257&lt;&gt;"",ROW()-4,"")</x:f>
      </x:c>
      <x:c r="B257" s="75" t="str"/>
      <x:c r="C257" s="75" t="n">
        <x:f>IFERROR(LET(x,MID($B257,FIND("/models/",$B257)+8,80),y,LEFT(x,FIND("-",x&amp;"-")-1),LEFT(y,FIND("?",y&amp;"?")-1)),"")</x:f>
        <x:v>80</x:v>
      </x:c>
      <x:c r="D257" s="75" t="str">
        <x:f>IF($B257="","",IFERROR(XLOOKUP($C257,MakerWorld_Verileri!$A:$A,MakerWorld_Verileri!$B:$B,""),""))</x:f>
      </x:c>
      <x:c r="E257" s="75" t="str">
        <x:f>IF($B257="","",IFERROR(XLOOKUP($C257,MakerWorld_Verileri!$A:$A,MakerWorld_Verileri!$C:$C,""),""))</x:f>
      </x:c>
      <x:c r="F257" s="75" t="str"/>
      <x:c r="G257" s="75" t="str">
        <x:f>IF($B257&lt;&gt;"",Ayarlar!$B$7,"")</x:f>
      </x:c>
      <x:c r="H257" s="82" t="str">
        <x:f>IF($B257&lt;&gt;"",1,"")</x:f>
      </x:c>
      <x:c r="I257" s="82" t="str">
        <x:f>IF($B257="","",IFERROR(XLOOKUP($C257,MakerWorld_Verileri!$A:$A,MakerWorld_Verileri!$D:$D,""),""))</x:f>
      </x:c>
      <x:c r="J257" s="82" t="str"/>
      <x:c r="K257" s="82" t="str">
        <x:f>IF($I257&lt;&gt;"",$I257,$J257)</x:f>
      </x:c>
      <x:c r="L257" s="82" t="str">
        <x:f>IF($B257="","",IFERROR(XLOOKUP($C257,MakerWorld_Verileri!$A:$A,MakerWorld_Verileri!$E:$E,""),""))</x:f>
      </x:c>
      <x:c r="M257" s="82" t="str"/>
      <x:c r="N257" s="82" t="str">
        <x:f>IF($L257&lt;&gt;"",$L257,$M257)</x:f>
      </x:c>
      <x:c r="O257" s="82" t="str">
        <x:f>IF($B257&lt;&gt;"",0,"")</x:f>
      </x:c>
      <x:c r="P257" s="75" t="str">
        <x:f>IF($B257&lt;&gt;"","Orta","")</x:f>
      </x:c>
      <x:c r="Q257" s="82" t="str">
        <x:f>IF($B257&lt;&gt;"",10,"")</x:f>
      </x:c>
      <x:c r="R257" s="83" t="str">
        <x:f>IF($B257&lt;&gt;"",Ayarlar!$B$10,"")</x:f>
      </x:c>
      <x:c r="S257" s="83" t="str">
        <x:f>IF($B257&lt;&gt;"",0,"")</x:f>
      </x:c>
      <x:c r="T257" s="83" t="n">
        <x:f>IFERROR(($K257+$O257)*XLOOKUP($G257,Ayarlar!$A$19:$A$28,Ayarlar!$C$19:$C$28,0)*(1+Ayarlar!$B$11),0)</x:f>
        <x:v>0</x:v>
      </x:c>
      <x:c r="U257" s="83" t="n">
        <x:f>IFERROR($N257/60*Ayarlar!$B$8,0)</x:f>
        <x:v>0</x:v>
      </x:c>
      <x:c r="V257" s="83" t="n">
        <x:f>IF($B257&lt;&gt;"",Ayarlar!$B$12+($Q257/60*Ayarlar!$B$9),0)</x:f>
        <x:v>0</x:v>
      </x:c>
      <x:c r="W257" s="83" t="n">
        <x:f>IF($B257&lt;&gt;"",SUM($T257:$V257,$R257:$S257),0)</x:f>
        <x:v>0</x:v>
      </x:c>
      <x:c r="X257" s="83" t="n">
        <x:f>IF($B257&lt;&gt;"",$W257*Ayarlar!$B$15,0)</x:f>
        <x:v>0</x:v>
      </x:c>
      <x:c r="Y257" s="83" t="n">
        <x:f>IF($B257&lt;&gt;"",($W257+$X257)*Ayarlar!$B$13,0)</x:f>
        <x:v>0</x:v>
      </x:c>
      <x:c r="Z257" s="83" t="n">
        <x:f>IF($B257&lt;&gt;"",($W257+$X257+$Y257)*Ayarlar!$B$14,0)</x:f>
        <x:v>0</x:v>
      </x:c>
      <x:c r="AA257" s="83" t="str">
        <x:f>IF($B257="","",IF(OR($K257="",$N257=""),"",CEILING($W257+$X257+$Y257+$Z257,Ayarlar!$B$16)))</x:f>
      </x:c>
      <x:c r="AB257" s="83" t="str">
        <x:f>IFERROR($AA257/$H257,"")</x:f>
      </x:c>
      <x:c r="AC257" s="75" t="str">
        <x:f>IF($B257="","",IF(OR($K257="",$N257=""),"Veri Eksik","Fiyat Hazır"))</x:f>
      </x:c>
      <x:c r="AD257" s="75" t="str">
        <x:f>IF($C257&lt;&gt;"","MW-"&amp;$C257,"")</x:f>
        <x:v>MW-80</x:v>
      </x:c>
      <x:c r="AE257" s="75" t="str">
        <x:f>IF($G257&lt;&gt;"","3D Baskı / "&amp;$G257,"3D Baskı")</x:f>
        <x:v>3D Baskı</x:v>
      </x:c>
      <x:c r="AF257" s="75" t="str">
        <x:f>IF($D257&lt;&gt;"",$D257&amp;" - "&amp;$G257,$AD257&amp;" - "&amp;$G257)</x:f>
        <x:v>MW-80 - </x:v>
      </x:c>
      <x:c r="AG257" s="75" t="str"/>
    </x:row>
    <x:row r="258">
      <x:c r="A258" s="75" t="str">
        <x:f>IF($B258&lt;&gt;"",ROW()-4,"")</x:f>
      </x:c>
      <x:c r="B258" s="75" t="str"/>
      <x:c r="C258" s="75" t="n">
        <x:f>IFERROR(LET(x,MID($B258,FIND("/models/",$B258)+8,80),y,LEFT(x,FIND("-",x&amp;"-")-1),LEFT(y,FIND("?",y&amp;"?")-1)),"")</x:f>
        <x:v>80</x:v>
      </x:c>
      <x:c r="D258" s="75" t="str">
        <x:f>IF($B258="","",IFERROR(XLOOKUP($C258,MakerWorld_Verileri!$A:$A,MakerWorld_Verileri!$B:$B,""),""))</x:f>
      </x:c>
      <x:c r="E258" s="75" t="str">
        <x:f>IF($B258="","",IFERROR(XLOOKUP($C258,MakerWorld_Verileri!$A:$A,MakerWorld_Verileri!$C:$C,""),""))</x:f>
      </x:c>
      <x:c r="F258" s="75" t="str"/>
      <x:c r="G258" s="75" t="str">
        <x:f>IF($B258&lt;&gt;"",Ayarlar!$B$7,"")</x:f>
      </x:c>
      <x:c r="H258" s="82" t="str">
        <x:f>IF($B258&lt;&gt;"",1,"")</x:f>
      </x:c>
      <x:c r="I258" s="82" t="str">
        <x:f>IF($B258="","",IFERROR(XLOOKUP($C258,MakerWorld_Verileri!$A:$A,MakerWorld_Verileri!$D:$D,""),""))</x:f>
      </x:c>
      <x:c r="J258" s="82" t="str"/>
      <x:c r="K258" s="82" t="str">
        <x:f>IF($I258&lt;&gt;"",$I258,$J258)</x:f>
      </x:c>
      <x:c r="L258" s="82" t="str">
        <x:f>IF($B258="","",IFERROR(XLOOKUP($C258,MakerWorld_Verileri!$A:$A,MakerWorld_Verileri!$E:$E,""),""))</x:f>
      </x:c>
      <x:c r="M258" s="82" t="str"/>
      <x:c r="N258" s="82" t="str">
        <x:f>IF($L258&lt;&gt;"",$L258,$M258)</x:f>
      </x:c>
      <x:c r="O258" s="82" t="str">
        <x:f>IF($B258&lt;&gt;"",0,"")</x:f>
      </x:c>
      <x:c r="P258" s="75" t="str">
        <x:f>IF($B258&lt;&gt;"","Orta","")</x:f>
      </x:c>
      <x:c r="Q258" s="82" t="str">
        <x:f>IF($B258&lt;&gt;"",10,"")</x:f>
      </x:c>
      <x:c r="R258" s="83" t="str">
        <x:f>IF($B258&lt;&gt;"",Ayarlar!$B$10,"")</x:f>
      </x:c>
      <x:c r="S258" s="83" t="str">
        <x:f>IF($B258&lt;&gt;"",0,"")</x:f>
      </x:c>
      <x:c r="T258" s="83" t="n">
        <x:f>IFERROR(($K258+$O258)*XLOOKUP($G258,Ayarlar!$A$19:$A$28,Ayarlar!$C$19:$C$28,0)*(1+Ayarlar!$B$11),0)</x:f>
        <x:v>0</x:v>
      </x:c>
      <x:c r="U258" s="83" t="n">
        <x:f>IFERROR($N258/60*Ayarlar!$B$8,0)</x:f>
        <x:v>0</x:v>
      </x:c>
      <x:c r="V258" s="83" t="n">
        <x:f>IF($B258&lt;&gt;"",Ayarlar!$B$12+($Q258/60*Ayarlar!$B$9),0)</x:f>
        <x:v>0</x:v>
      </x:c>
      <x:c r="W258" s="83" t="n">
        <x:f>IF($B258&lt;&gt;"",SUM($T258:$V258,$R258:$S258),0)</x:f>
        <x:v>0</x:v>
      </x:c>
      <x:c r="X258" s="83" t="n">
        <x:f>IF($B258&lt;&gt;"",$W258*Ayarlar!$B$15,0)</x:f>
        <x:v>0</x:v>
      </x:c>
      <x:c r="Y258" s="83" t="n">
        <x:f>IF($B258&lt;&gt;"",($W258+$X258)*Ayarlar!$B$13,0)</x:f>
        <x:v>0</x:v>
      </x:c>
      <x:c r="Z258" s="83" t="n">
        <x:f>IF($B258&lt;&gt;"",($W258+$X258+$Y258)*Ayarlar!$B$14,0)</x:f>
        <x:v>0</x:v>
      </x:c>
      <x:c r="AA258" s="83" t="str">
        <x:f>IF($B258="","",IF(OR($K258="",$N258=""),"",CEILING($W258+$X258+$Y258+$Z258,Ayarlar!$B$16)))</x:f>
      </x:c>
      <x:c r="AB258" s="83" t="str">
        <x:f>IFERROR($AA258/$H258,"")</x:f>
      </x:c>
      <x:c r="AC258" s="75" t="str">
        <x:f>IF($B258="","",IF(OR($K258="",$N258=""),"Veri Eksik","Fiyat Hazır"))</x:f>
      </x:c>
      <x:c r="AD258" s="75" t="str">
        <x:f>IF($C258&lt;&gt;"","MW-"&amp;$C258,"")</x:f>
        <x:v>MW-80</x:v>
      </x:c>
      <x:c r="AE258" s="75" t="str">
        <x:f>IF($G258&lt;&gt;"","3D Baskı / "&amp;$G258,"3D Baskı")</x:f>
        <x:v>3D Baskı</x:v>
      </x:c>
      <x:c r="AF258" s="75" t="str">
        <x:f>IF($D258&lt;&gt;"",$D258&amp;" - "&amp;$G258,$AD258&amp;" - "&amp;$G258)</x:f>
        <x:v>MW-80 - </x:v>
      </x:c>
      <x:c r="AG258" s="75" t="str"/>
    </x:row>
    <x:row r="259">
      <x:c r="A259" s="75" t="str">
        <x:f>IF($B259&lt;&gt;"",ROW()-4,"")</x:f>
      </x:c>
      <x:c r="B259" s="75" t="str"/>
      <x:c r="C259" s="75" t="n">
        <x:f>IFERROR(LET(x,MID($B259,FIND("/models/",$B259)+8,80),y,LEFT(x,FIND("-",x&amp;"-")-1),LEFT(y,FIND("?",y&amp;"?")-1)),"")</x:f>
        <x:v>80</x:v>
      </x:c>
      <x:c r="D259" s="75" t="str">
        <x:f>IF($B259="","",IFERROR(XLOOKUP($C259,MakerWorld_Verileri!$A:$A,MakerWorld_Verileri!$B:$B,""),""))</x:f>
      </x:c>
      <x:c r="E259" s="75" t="str">
        <x:f>IF($B259="","",IFERROR(XLOOKUP($C259,MakerWorld_Verileri!$A:$A,MakerWorld_Verileri!$C:$C,""),""))</x:f>
      </x:c>
      <x:c r="F259" s="75" t="str"/>
      <x:c r="G259" s="75" t="str">
        <x:f>IF($B259&lt;&gt;"",Ayarlar!$B$7,"")</x:f>
      </x:c>
      <x:c r="H259" s="82" t="str">
        <x:f>IF($B259&lt;&gt;"",1,"")</x:f>
      </x:c>
      <x:c r="I259" s="82" t="str">
        <x:f>IF($B259="","",IFERROR(XLOOKUP($C259,MakerWorld_Verileri!$A:$A,MakerWorld_Verileri!$D:$D,""),""))</x:f>
      </x:c>
      <x:c r="J259" s="82" t="str"/>
      <x:c r="K259" s="82" t="str">
        <x:f>IF($I259&lt;&gt;"",$I259,$J259)</x:f>
      </x:c>
      <x:c r="L259" s="82" t="str">
        <x:f>IF($B259="","",IFERROR(XLOOKUP($C259,MakerWorld_Verileri!$A:$A,MakerWorld_Verileri!$E:$E,""),""))</x:f>
      </x:c>
      <x:c r="M259" s="82" t="str"/>
      <x:c r="N259" s="82" t="str">
        <x:f>IF($L259&lt;&gt;"",$L259,$M259)</x:f>
      </x:c>
      <x:c r="O259" s="82" t="str">
        <x:f>IF($B259&lt;&gt;"",0,"")</x:f>
      </x:c>
      <x:c r="P259" s="75" t="str">
        <x:f>IF($B259&lt;&gt;"","Orta","")</x:f>
      </x:c>
      <x:c r="Q259" s="82" t="str">
        <x:f>IF($B259&lt;&gt;"",10,"")</x:f>
      </x:c>
      <x:c r="R259" s="83" t="str">
        <x:f>IF($B259&lt;&gt;"",Ayarlar!$B$10,"")</x:f>
      </x:c>
      <x:c r="S259" s="83" t="str">
        <x:f>IF($B259&lt;&gt;"",0,"")</x:f>
      </x:c>
      <x:c r="T259" s="83" t="n">
        <x:f>IFERROR(($K259+$O259)*XLOOKUP($G259,Ayarlar!$A$19:$A$28,Ayarlar!$C$19:$C$28,0)*(1+Ayarlar!$B$11),0)</x:f>
        <x:v>0</x:v>
      </x:c>
      <x:c r="U259" s="83" t="n">
        <x:f>IFERROR($N259/60*Ayarlar!$B$8,0)</x:f>
        <x:v>0</x:v>
      </x:c>
      <x:c r="V259" s="83" t="n">
        <x:f>IF($B259&lt;&gt;"",Ayarlar!$B$12+($Q259/60*Ayarlar!$B$9),0)</x:f>
        <x:v>0</x:v>
      </x:c>
      <x:c r="W259" s="83" t="n">
        <x:f>IF($B259&lt;&gt;"",SUM($T259:$V259,$R259:$S259),0)</x:f>
        <x:v>0</x:v>
      </x:c>
      <x:c r="X259" s="83" t="n">
        <x:f>IF($B259&lt;&gt;"",$W259*Ayarlar!$B$15,0)</x:f>
        <x:v>0</x:v>
      </x:c>
      <x:c r="Y259" s="83" t="n">
        <x:f>IF($B259&lt;&gt;"",($W259+$X259)*Ayarlar!$B$13,0)</x:f>
        <x:v>0</x:v>
      </x:c>
      <x:c r="Z259" s="83" t="n">
        <x:f>IF($B259&lt;&gt;"",($W259+$X259+$Y259)*Ayarlar!$B$14,0)</x:f>
        <x:v>0</x:v>
      </x:c>
      <x:c r="AA259" s="83" t="str">
        <x:f>IF($B259="","",IF(OR($K259="",$N259=""),"",CEILING($W259+$X259+$Y259+$Z259,Ayarlar!$B$16)))</x:f>
      </x:c>
      <x:c r="AB259" s="83" t="str">
        <x:f>IFERROR($AA259/$H259,"")</x:f>
      </x:c>
      <x:c r="AC259" s="75" t="str">
        <x:f>IF($B259="","",IF(OR($K259="",$N259=""),"Veri Eksik","Fiyat Hazır"))</x:f>
      </x:c>
      <x:c r="AD259" s="75" t="str">
        <x:f>IF($C259&lt;&gt;"","MW-"&amp;$C259,"")</x:f>
        <x:v>MW-80</x:v>
      </x:c>
      <x:c r="AE259" s="75" t="str">
        <x:f>IF($G259&lt;&gt;"","3D Baskı / "&amp;$G259,"3D Baskı")</x:f>
        <x:v>3D Baskı</x:v>
      </x:c>
      <x:c r="AF259" s="75" t="str">
        <x:f>IF($D259&lt;&gt;"",$D259&amp;" - "&amp;$G259,$AD259&amp;" - "&amp;$G259)</x:f>
        <x:v>MW-80 - </x:v>
      </x:c>
      <x:c r="AG259" s="75" t="str"/>
    </x:row>
    <x:row r="260">
      <x:c r="A260" s="75" t="str">
        <x:f>IF($B260&lt;&gt;"",ROW()-4,"")</x:f>
      </x:c>
      <x:c r="B260" s="75" t="str"/>
      <x:c r="C260" s="75" t="n">
        <x:f>IFERROR(LET(x,MID($B260,FIND("/models/",$B260)+8,80),y,LEFT(x,FIND("-",x&amp;"-")-1),LEFT(y,FIND("?",y&amp;"?")-1)),"")</x:f>
        <x:v>80</x:v>
      </x:c>
      <x:c r="D260" s="75" t="str">
        <x:f>IF($B260="","",IFERROR(XLOOKUP($C260,MakerWorld_Verileri!$A:$A,MakerWorld_Verileri!$B:$B,""),""))</x:f>
      </x:c>
      <x:c r="E260" s="75" t="str">
        <x:f>IF($B260="","",IFERROR(XLOOKUP($C260,MakerWorld_Verileri!$A:$A,MakerWorld_Verileri!$C:$C,""),""))</x:f>
      </x:c>
      <x:c r="F260" s="75" t="str"/>
      <x:c r="G260" s="75" t="str">
        <x:f>IF($B260&lt;&gt;"",Ayarlar!$B$7,"")</x:f>
      </x:c>
      <x:c r="H260" s="82" t="str">
        <x:f>IF($B260&lt;&gt;"",1,"")</x:f>
      </x:c>
      <x:c r="I260" s="82" t="str">
        <x:f>IF($B260="","",IFERROR(XLOOKUP($C260,MakerWorld_Verileri!$A:$A,MakerWorld_Verileri!$D:$D,""),""))</x:f>
      </x:c>
      <x:c r="J260" s="82" t="str"/>
      <x:c r="K260" s="82" t="str">
        <x:f>IF($I260&lt;&gt;"",$I260,$J260)</x:f>
      </x:c>
      <x:c r="L260" s="82" t="str">
        <x:f>IF($B260="","",IFERROR(XLOOKUP($C260,MakerWorld_Verileri!$A:$A,MakerWorld_Verileri!$E:$E,""),""))</x:f>
      </x:c>
      <x:c r="M260" s="82" t="str"/>
      <x:c r="N260" s="82" t="str">
        <x:f>IF($L260&lt;&gt;"",$L260,$M260)</x:f>
      </x:c>
      <x:c r="O260" s="82" t="str">
        <x:f>IF($B260&lt;&gt;"",0,"")</x:f>
      </x:c>
      <x:c r="P260" s="75" t="str">
        <x:f>IF($B260&lt;&gt;"","Orta","")</x:f>
      </x:c>
      <x:c r="Q260" s="82" t="str">
        <x:f>IF($B260&lt;&gt;"",10,"")</x:f>
      </x:c>
      <x:c r="R260" s="83" t="str">
        <x:f>IF($B260&lt;&gt;"",Ayarlar!$B$10,"")</x:f>
      </x:c>
      <x:c r="S260" s="83" t="str">
        <x:f>IF($B260&lt;&gt;"",0,"")</x:f>
      </x:c>
      <x:c r="T260" s="83" t="n">
        <x:f>IFERROR(($K260+$O260)*XLOOKUP($G260,Ayarlar!$A$19:$A$28,Ayarlar!$C$19:$C$28,0)*(1+Ayarlar!$B$11),0)</x:f>
        <x:v>0</x:v>
      </x:c>
      <x:c r="U260" s="83" t="n">
        <x:f>IFERROR($N260/60*Ayarlar!$B$8,0)</x:f>
        <x:v>0</x:v>
      </x:c>
      <x:c r="V260" s="83" t="n">
        <x:f>IF($B260&lt;&gt;"",Ayarlar!$B$12+($Q260/60*Ayarlar!$B$9),0)</x:f>
        <x:v>0</x:v>
      </x:c>
      <x:c r="W260" s="83" t="n">
        <x:f>IF($B260&lt;&gt;"",SUM($T260:$V260,$R260:$S260),0)</x:f>
        <x:v>0</x:v>
      </x:c>
      <x:c r="X260" s="83" t="n">
        <x:f>IF($B260&lt;&gt;"",$W260*Ayarlar!$B$15,0)</x:f>
        <x:v>0</x:v>
      </x:c>
      <x:c r="Y260" s="83" t="n">
        <x:f>IF($B260&lt;&gt;"",($W260+$X260)*Ayarlar!$B$13,0)</x:f>
        <x:v>0</x:v>
      </x:c>
      <x:c r="Z260" s="83" t="n">
        <x:f>IF($B260&lt;&gt;"",($W260+$X260+$Y260)*Ayarlar!$B$14,0)</x:f>
        <x:v>0</x:v>
      </x:c>
      <x:c r="AA260" s="83" t="str">
        <x:f>IF($B260="","",IF(OR($K260="",$N260=""),"",CEILING($W260+$X260+$Y260+$Z260,Ayarlar!$B$16)))</x:f>
      </x:c>
      <x:c r="AB260" s="83" t="str">
        <x:f>IFERROR($AA260/$H260,"")</x:f>
      </x:c>
      <x:c r="AC260" s="75" t="str">
        <x:f>IF($B260="","",IF(OR($K260="",$N260=""),"Veri Eksik","Fiyat Hazır"))</x:f>
      </x:c>
      <x:c r="AD260" s="75" t="str">
        <x:f>IF($C260&lt;&gt;"","MW-"&amp;$C260,"")</x:f>
        <x:v>MW-80</x:v>
      </x:c>
      <x:c r="AE260" s="75" t="str">
        <x:f>IF($G260&lt;&gt;"","3D Baskı / "&amp;$G260,"3D Baskı")</x:f>
        <x:v>3D Baskı</x:v>
      </x:c>
      <x:c r="AF260" s="75" t="str">
        <x:f>IF($D260&lt;&gt;"",$D260&amp;" - "&amp;$G260,$AD260&amp;" - "&amp;$G260)</x:f>
        <x:v>MW-80 - </x:v>
      </x:c>
      <x:c r="AG260" s="75" t="str"/>
    </x:row>
    <x:row r="261">
      <x:c r="A261" s="75" t="str">
        <x:f>IF($B261&lt;&gt;"",ROW()-4,"")</x:f>
      </x:c>
      <x:c r="B261" s="75" t="str"/>
      <x:c r="C261" s="75" t="n">
        <x:f>IFERROR(LET(x,MID($B261,FIND("/models/",$B261)+8,80),y,LEFT(x,FIND("-",x&amp;"-")-1),LEFT(y,FIND("?",y&amp;"?")-1)),"")</x:f>
        <x:v>80</x:v>
      </x:c>
      <x:c r="D261" s="75" t="str">
        <x:f>IF($B261="","",IFERROR(XLOOKUP($C261,MakerWorld_Verileri!$A:$A,MakerWorld_Verileri!$B:$B,""),""))</x:f>
      </x:c>
      <x:c r="E261" s="75" t="str">
        <x:f>IF($B261="","",IFERROR(XLOOKUP($C261,MakerWorld_Verileri!$A:$A,MakerWorld_Verileri!$C:$C,""),""))</x:f>
      </x:c>
      <x:c r="F261" s="75" t="str"/>
      <x:c r="G261" s="75" t="str">
        <x:f>IF($B261&lt;&gt;"",Ayarlar!$B$7,"")</x:f>
      </x:c>
      <x:c r="H261" s="82" t="str">
        <x:f>IF($B261&lt;&gt;"",1,"")</x:f>
      </x:c>
      <x:c r="I261" s="82" t="str">
        <x:f>IF($B261="","",IFERROR(XLOOKUP($C261,MakerWorld_Verileri!$A:$A,MakerWorld_Verileri!$D:$D,""),""))</x:f>
      </x:c>
      <x:c r="J261" s="82" t="str"/>
      <x:c r="K261" s="82" t="str">
        <x:f>IF($I261&lt;&gt;"",$I261,$J261)</x:f>
      </x:c>
      <x:c r="L261" s="82" t="str">
        <x:f>IF($B261="","",IFERROR(XLOOKUP($C261,MakerWorld_Verileri!$A:$A,MakerWorld_Verileri!$E:$E,""),""))</x:f>
      </x:c>
      <x:c r="M261" s="82" t="str"/>
      <x:c r="N261" s="82" t="str">
        <x:f>IF($L261&lt;&gt;"",$L261,$M261)</x:f>
      </x:c>
      <x:c r="O261" s="82" t="str">
        <x:f>IF($B261&lt;&gt;"",0,"")</x:f>
      </x:c>
      <x:c r="P261" s="75" t="str">
        <x:f>IF($B261&lt;&gt;"","Orta","")</x:f>
      </x:c>
      <x:c r="Q261" s="82" t="str">
        <x:f>IF($B261&lt;&gt;"",10,"")</x:f>
      </x:c>
      <x:c r="R261" s="83" t="str">
        <x:f>IF($B261&lt;&gt;"",Ayarlar!$B$10,"")</x:f>
      </x:c>
      <x:c r="S261" s="83" t="str">
        <x:f>IF($B261&lt;&gt;"",0,"")</x:f>
      </x:c>
      <x:c r="T261" s="83" t="n">
        <x:f>IFERROR(($K261+$O261)*XLOOKUP($G261,Ayarlar!$A$19:$A$28,Ayarlar!$C$19:$C$28,0)*(1+Ayarlar!$B$11),0)</x:f>
        <x:v>0</x:v>
      </x:c>
      <x:c r="U261" s="83" t="n">
        <x:f>IFERROR($N261/60*Ayarlar!$B$8,0)</x:f>
        <x:v>0</x:v>
      </x:c>
      <x:c r="V261" s="83" t="n">
        <x:f>IF($B261&lt;&gt;"",Ayarlar!$B$12+($Q261/60*Ayarlar!$B$9),0)</x:f>
        <x:v>0</x:v>
      </x:c>
      <x:c r="W261" s="83" t="n">
        <x:f>IF($B261&lt;&gt;"",SUM($T261:$V261,$R261:$S261),0)</x:f>
        <x:v>0</x:v>
      </x:c>
      <x:c r="X261" s="83" t="n">
        <x:f>IF($B261&lt;&gt;"",$W261*Ayarlar!$B$15,0)</x:f>
        <x:v>0</x:v>
      </x:c>
      <x:c r="Y261" s="83" t="n">
        <x:f>IF($B261&lt;&gt;"",($W261+$X261)*Ayarlar!$B$13,0)</x:f>
        <x:v>0</x:v>
      </x:c>
      <x:c r="Z261" s="83" t="n">
        <x:f>IF($B261&lt;&gt;"",($W261+$X261+$Y261)*Ayarlar!$B$14,0)</x:f>
        <x:v>0</x:v>
      </x:c>
      <x:c r="AA261" s="83" t="str">
        <x:f>IF($B261="","",IF(OR($K261="",$N261=""),"",CEILING($W261+$X261+$Y261+$Z261,Ayarlar!$B$16)))</x:f>
      </x:c>
      <x:c r="AB261" s="83" t="str">
        <x:f>IFERROR($AA261/$H261,"")</x:f>
      </x:c>
      <x:c r="AC261" s="75" t="str">
        <x:f>IF($B261="","",IF(OR($K261="",$N261=""),"Veri Eksik","Fiyat Hazır"))</x:f>
      </x:c>
      <x:c r="AD261" s="75" t="str">
        <x:f>IF($C261&lt;&gt;"","MW-"&amp;$C261,"")</x:f>
        <x:v>MW-80</x:v>
      </x:c>
      <x:c r="AE261" s="75" t="str">
        <x:f>IF($G261&lt;&gt;"","3D Baskı / "&amp;$G261,"3D Baskı")</x:f>
        <x:v>3D Baskı</x:v>
      </x:c>
      <x:c r="AF261" s="75" t="str">
        <x:f>IF($D261&lt;&gt;"",$D261&amp;" - "&amp;$G261,$AD261&amp;" - "&amp;$G261)</x:f>
        <x:v>MW-80 - </x:v>
      </x:c>
      <x:c r="AG261" s="75" t="str"/>
    </x:row>
    <x:row r="262">
      <x:c r="A262" s="75" t="str">
        <x:f>IF($B262&lt;&gt;"",ROW()-4,"")</x:f>
      </x:c>
      <x:c r="B262" s="75" t="str"/>
      <x:c r="C262" s="75" t="n">
        <x:f>IFERROR(LET(x,MID($B262,FIND("/models/",$B262)+8,80),y,LEFT(x,FIND("-",x&amp;"-")-1),LEFT(y,FIND("?",y&amp;"?")-1)),"")</x:f>
        <x:v>80</x:v>
      </x:c>
      <x:c r="D262" s="75" t="str">
        <x:f>IF($B262="","",IFERROR(XLOOKUP($C262,MakerWorld_Verileri!$A:$A,MakerWorld_Verileri!$B:$B,""),""))</x:f>
      </x:c>
      <x:c r="E262" s="75" t="str">
        <x:f>IF($B262="","",IFERROR(XLOOKUP($C262,MakerWorld_Verileri!$A:$A,MakerWorld_Verileri!$C:$C,""),""))</x:f>
      </x:c>
      <x:c r="F262" s="75" t="str"/>
      <x:c r="G262" s="75" t="str">
        <x:f>IF($B262&lt;&gt;"",Ayarlar!$B$7,"")</x:f>
      </x:c>
      <x:c r="H262" s="82" t="str">
        <x:f>IF($B262&lt;&gt;"",1,"")</x:f>
      </x:c>
      <x:c r="I262" s="82" t="str">
        <x:f>IF($B262="","",IFERROR(XLOOKUP($C262,MakerWorld_Verileri!$A:$A,MakerWorld_Verileri!$D:$D,""),""))</x:f>
      </x:c>
      <x:c r="J262" s="82" t="str"/>
      <x:c r="K262" s="82" t="str">
        <x:f>IF($I262&lt;&gt;"",$I262,$J262)</x:f>
      </x:c>
      <x:c r="L262" s="82" t="str">
        <x:f>IF($B262="","",IFERROR(XLOOKUP($C262,MakerWorld_Verileri!$A:$A,MakerWorld_Verileri!$E:$E,""),""))</x:f>
      </x:c>
      <x:c r="M262" s="82" t="str"/>
      <x:c r="N262" s="82" t="str">
        <x:f>IF($L262&lt;&gt;"",$L262,$M262)</x:f>
      </x:c>
      <x:c r="O262" s="82" t="str">
        <x:f>IF($B262&lt;&gt;"",0,"")</x:f>
      </x:c>
      <x:c r="P262" s="75" t="str">
        <x:f>IF($B262&lt;&gt;"","Orta","")</x:f>
      </x:c>
      <x:c r="Q262" s="82" t="str">
        <x:f>IF($B262&lt;&gt;"",10,"")</x:f>
      </x:c>
      <x:c r="R262" s="83" t="str">
        <x:f>IF($B262&lt;&gt;"",Ayarlar!$B$10,"")</x:f>
      </x:c>
      <x:c r="S262" s="83" t="str">
        <x:f>IF($B262&lt;&gt;"",0,"")</x:f>
      </x:c>
      <x:c r="T262" s="83" t="n">
        <x:f>IFERROR(($K262+$O262)*XLOOKUP($G262,Ayarlar!$A$19:$A$28,Ayarlar!$C$19:$C$28,0)*(1+Ayarlar!$B$11),0)</x:f>
        <x:v>0</x:v>
      </x:c>
      <x:c r="U262" s="83" t="n">
        <x:f>IFERROR($N262/60*Ayarlar!$B$8,0)</x:f>
        <x:v>0</x:v>
      </x:c>
      <x:c r="V262" s="83" t="n">
        <x:f>IF($B262&lt;&gt;"",Ayarlar!$B$12+($Q262/60*Ayarlar!$B$9),0)</x:f>
        <x:v>0</x:v>
      </x:c>
      <x:c r="W262" s="83" t="n">
        <x:f>IF($B262&lt;&gt;"",SUM($T262:$V262,$R262:$S262),0)</x:f>
        <x:v>0</x:v>
      </x:c>
      <x:c r="X262" s="83" t="n">
        <x:f>IF($B262&lt;&gt;"",$W262*Ayarlar!$B$15,0)</x:f>
        <x:v>0</x:v>
      </x:c>
      <x:c r="Y262" s="83" t="n">
        <x:f>IF($B262&lt;&gt;"",($W262+$X262)*Ayarlar!$B$13,0)</x:f>
        <x:v>0</x:v>
      </x:c>
      <x:c r="Z262" s="83" t="n">
        <x:f>IF($B262&lt;&gt;"",($W262+$X262+$Y262)*Ayarlar!$B$14,0)</x:f>
        <x:v>0</x:v>
      </x:c>
      <x:c r="AA262" s="83" t="str">
        <x:f>IF($B262="","",IF(OR($K262="",$N262=""),"",CEILING($W262+$X262+$Y262+$Z262,Ayarlar!$B$16)))</x:f>
      </x:c>
      <x:c r="AB262" s="83" t="str">
        <x:f>IFERROR($AA262/$H262,"")</x:f>
      </x:c>
      <x:c r="AC262" s="75" t="str">
        <x:f>IF($B262="","",IF(OR($K262="",$N262=""),"Veri Eksik","Fiyat Hazır"))</x:f>
      </x:c>
      <x:c r="AD262" s="75" t="str">
        <x:f>IF($C262&lt;&gt;"","MW-"&amp;$C262,"")</x:f>
        <x:v>MW-80</x:v>
      </x:c>
      <x:c r="AE262" s="75" t="str">
        <x:f>IF($G262&lt;&gt;"","3D Baskı / "&amp;$G262,"3D Baskı")</x:f>
        <x:v>3D Baskı</x:v>
      </x:c>
      <x:c r="AF262" s="75" t="str">
        <x:f>IF($D262&lt;&gt;"",$D262&amp;" - "&amp;$G262,$AD262&amp;" - "&amp;$G262)</x:f>
        <x:v>MW-80 - </x:v>
      </x:c>
      <x:c r="AG262" s="75" t="str"/>
    </x:row>
    <x:row r="263">
      <x:c r="A263" s="75" t="str">
        <x:f>IF($B263&lt;&gt;"",ROW()-4,"")</x:f>
      </x:c>
      <x:c r="B263" s="75" t="str"/>
      <x:c r="C263" s="75" t="n">
        <x:f>IFERROR(LET(x,MID($B263,FIND("/models/",$B263)+8,80),y,LEFT(x,FIND("-",x&amp;"-")-1),LEFT(y,FIND("?",y&amp;"?")-1)),"")</x:f>
        <x:v>80</x:v>
      </x:c>
      <x:c r="D263" s="75" t="str">
        <x:f>IF($B263="","",IFERROR(XLOOKUP($C263,MakerWorld_Verileri!$A:$A,MakerWorld_Verileri!$B:$B,""),""))</x:f>
      </x:c>
      <x:c r="E263" s="75" t="str">
        <x:f>IF($B263="","",IFERROR(XLOOKUP($C263,MakerWorld_Verileri!$A:$A,MakerWorld_Verileri!$C:$C,""),""))</x:f>
      </x:c>
      <x:c r="F263" s="75" t="str"/>
      <x:c r="G263" s="75" t="str">
        <x:f>IF($B263&lt;&gt;"",Ayarlar!$B$7,"")</x:f>
      </x:c>
      <x:c r="H263" s="82" t="str">
        <x:f>IF($B263&lt;&gt;"",1,"")</x:f>
      </x:c>
      <x:c r="I263" s="82" t="str">
        <x:f>IF($B263="","",IFERROR(XLOOKUP($C263,MakerWorld_Verileri!$A:$A,MakerWorld_Verileri!$D:$D,""),""))</x:f>
      </x:c>
      <x:c r="J263" s="82" t="str"/>
      <x:c r="K263" s="82" t="str">
        <x:f>IF($I263&lt;&gt;"",$I263,$J263)</x:f>
      </x:c>
      <x:c r="L263" s="82" t="str">
        <x:f>IF($B263="","",IFERROR(XLOOKUP($C263,MakerWorld_Verileri!$A:$A,MakerWorld_Verileri!$E:$E,""),""))</x:f>
      </x:c>
      <x:c r="M263" s="82" t="str"/>
      <x:c r="N263" s="82" t="str">
        <x:f>IF($L263&lt;&gt;"",$L263,$M263)</x:f>
      </x:c>
      <x:c r="O263" s="82" t="str">
        <x:f>IF($B263&lt;&gt;"",0,"")</x:f>
      </x:c>
      <x:c r="P263" s="75" t="str">
        <x:f>IF($B263&lt;&gt;"","Orta","")</x:f>
      </x:c>
      <x:c r="Q263" s="82" t="str">
        <x:f>IF($B263&lt;&gt;"",10,"")</x:f>
      </x:c>
      <x:c r="R263" s="83" t="str">
        <x:f>IF($B263&lt;&gt;"",Ayarlar!$B$10,"")</x:f>
      </x:c>
      <x:c r="S263" s="83" t="str">
        <x:f>IF($B263&lt;&gt;"",0,"")</x:f>
      </x:c>
      <x:c r="T263" s="83" t="n">
        <x:f>IFERROR(($K263+$O263)*XLOOKUP($G263,Ayarlar!$A$19:$A$28,Ayarlar!$C$19:$C$28,0)*(1+Ayarlar!$B$11),0)</x:f>
        <x:v>0</x:v>
      </x:c>
      <x:c r="U263" s="83" t="n">
        <x:f>IFERROR($N263/60*Ayarlar!$B$8,0)</x:f>
        <x:v>0</x:v>
      </x:c>
      <x:c r="V263" s="83" t="n">
        <x:f>IF($B263&lt;&gt;"",Ayarlar!$B$12+($Q263/60*Ayarlar!$B$9),0)</x:f>
        <x:v>0</x:v>
      </x:c>
      <x:c r="W263" s="83" t="n">
        <x:f>IF($B263&lt;&gt;"",SUM($T263:$V263,$R263:$S263),0)</x:f>
        <x:v>0</x:v>
      </x:c>
      <x:c r="X263" s="83" t="n">
        <x:f>IF($B263&lt;&gt;"",$W263*Ayarlar!$B$15,0)</x:f>
        <x:v>0</x:v>
      </x:c>
      <x:c r="Y263" s="83" t="n">
        <x:f>IF($B263&lt;&gt;"",($W263+$X263)*Ayarlar!$B$13,0)</x:f>
        <x:v>0</x:v>
      </x:c>
      <x:c r="Z263" s="83" t="n">
        <x:f>IF($B263&lt;&gt;"",($W263+$X263+$Y263)*Ayarlar!$B$14,0)</x:f>
        <x:v>0</x:v>
      </x:c>
      <x:c r="AA263" s="83" t="str">
        <x:f>IF($B263="","",IF(OR($K263="",$N263=""),"",CEILING($W263+$X263+$Y263+$Z263,Ayarlar!$B$16)))</x:f>
      </x:c>
      <x:c r="AB263" s="83" t="str">
        <x:f>IFERROR($AA263/$H263,"")</x:f>
      </x:c>
      <x:c r="AC263" s="75" t="str">
        <x:f>IF($B263="","",IF(OR($K263="",$N263=""),"Veri Eksik","Fiyat Hazır"))</x:f>
      </x:c>
      <x:c r="AD263" s="75" t="str">
        <x:f>IF($C263&lt;&gt;"","MW-"&amp;$C263,"")</x:f>
        <x:v>MW-80</x:v>
      </x:c>
      <x:c r="AE263" s="75" t="str">
        <x:f>IF($G263&lt;&gt;"","3D Baskı / "&amp;$G263,"3D Baskı")</x:f>
        <x:v>3D Baskı</x:v>
      </x:c>
      <x:c r="AF263" s="75" t="str">
        <x:f>IF($D263&lt;&gt;"",$D263&amp;" - "&amp;$G263,$AD263&amp;" - "&amp;$G263)</x:f>
        <x:v>MW-80 - </x:v>
      </x:c>
      <x:c r="AG263" s="75" t="str"/>
    </x:row>
    <x:row r="264">
      <x:c r="A264" s="75" t="str">
        <x:f>IF($B264&lt;&gt;"",ROW()-4,"")</x:f>
      </x:c>
      <x:c r="B264" s="75" t="str"/>
      <x:c r="C264" s="75" t="n">
        <x:f>IFERROR(LET(x,MID($B264,FIND("/models/",$B264)+8,80),y,LEFT(x,FIND("-",x&amp;"-")-1),LEFT(y,FIND("?",y&amp;"?")-1)),"")</x:f>
        <x:v>80</x:v>
      </x:c>
      <x:c r="D264" s="75" t="str">
        <x:f>IF($B264="","",IFERROR(XLOOKUP($C264,MakerWorld_Verileri!$A:$A,MakerWorld_Verileri!$B:$B,""),""))</x:f>
      </x:c>
      <x:c r="E264" s="75" t="str">
        <x:f>IF($B264="","",IFERROR(XLOOKUP($C264,MakerWorld_Verileri!$A:$A,MakerWorld_Verileri!$C:$C,""),""))</x:f>
      </x:c>
      <x:c r="F264" s="75" t="str"/>
      <x:c r="G264" s="75" t="str">
        <x:f>IF($B264&lt;&gt;"",Ayarlar!$B$7,"")</x:f>
      </x:c>
      <x:c r="H264" s="82" t="str">
        <x:f>IF($B264&lt;&gt;"",1,"")</x:f>
      </x:c>
      <x:c r="I264" s="82" t="str">
        <x:f>IF($B264="","",IFERROR(XLOOKUP($C264,MakerWorld_Verileri!$A:$A,MakerWorld_Verileri!$D:$D,""),""))</x:f>
      </x:c>
      <x:c r="J264" s="82" t="str"/>
      <x:c r="K264" s="82" t="str">
        <x:f>IF($I264&lt;&gt;"",$I264,$J264)</x:f>
      </x:c>
      <x:c r="L264" s="82" t="str">
        <x:f>IF($B264="","",IFERROR(XLOOKUP($C264,MakerWorld_Verileri!$A:$A,MakerWorld_Verileri!$E:$E,""),""))</x:f>
      </x:c>
      <x:c r="M264" s="82" t="str"/>
      <x:c r="N264" s="82" t="str">
        <x:f>IF($L264&lt;&gt;"",$L264,$M264)</x:f>
      </x:c>
      <x:c r="O264" s="82" t="str">
        <x:f>IF($B264&lt;&gt;"",0,"")</x:f>
      </x:c>
      <x:c r="P264" s="75" t="str">
        <x:f>IF($B264&lt;&gt;"","Orta","")</x:f>
      </x:c>
      <x:c r="Q264" s="82" t="str">
        <x:f>IF($B264&lt;&gt;"",10,"")</x:f>
      </x:c>
      <x:c r="R264" s="83" t="str">
        <x:f>IF($B264&lt;&gt;"",Ayarlar!$B$10,"")</x:f>
      </x:c>
      <x:c r="S264" s="83" t="str">
        <x:f>IF($B264&lt;&gt;"",0,"")</x:f>
      </x:c>
      <x:c r="T264" s="83" t="n">
        <x:f>IFERROR(($K264+$O264)*XLOOKUP($G264,Ayarlar!$A$19:$A$28,Ayarlar!$C$19:$C$28,0)*(1+Ayarlar!$B$11),0)</x:f>
        <x:v>0</x:v>
      </x:c>
      <x:c r="U264" s="83" t="n">
        <x:f>IFERROR($N264/60*Ayarlar!$B$8,0)</x:f>
        <x:v>0</x:v>
      </x:c>
      <x:c r="V264" s="83" t="n">
        <x:f>IF($B264&lt;&gt;"",Ayarlar!$B$12+($Q264/60*Ayarlar!$B$9),0)</x:f>
        <x:v>0</x:v>
      </x:c>
      <x:c r="W264" s="83" t="n">
        <x:f>IF($B264&lt;&gt;"",SUM($T264:$V264,$R264:$S264),0)</x:f>
        <x:v>0</x:v>
      </x:c>
      <x:c r="X264" s="83" t="n">
        <x:f>IF($B264&lt;&gt;"",$W264*Ayarlar!$B$15,0)</x:f>
        <x:v>0</x:v>
      </x:c>
      <x:c r="Y264" s="83" t="n">
        <x:f>IF($B264&lt;&gt;"",($W264+$X264)*Ayarlar!$B$13,0)</x:f>
        <x:v>0</x:v>
      </x:c>
      <x:c r="Z264" s="83" t="n">
        <x:f>IF($B264&lt;&gt;"",($W264+$X264+$Y264)*Ayarlar!$B$14,0)</x:f>
        <x:v>0</x:v>
      </x:c>
      <x:c r="AA264" s="83" t="str">
        <x:f>IF($B264="","",IF(OR($K264="",$N264=""),"",CEILING($W264+$X264+$Y264+$Z264,Ayarlar!$B$16)))</x:f>
      </x:c>
      <x:c r="AB264" s="83" t="str">
        <x:f>IFERROR($AA264/$H264,"")</x:f>
      </x:c>
      <x:c r="AC264" s="75" t="str">
        <x:f>IF($B264="","",IF(OR($K264="",$N264=""),"Veri Eksik","Fiyat Hazır"))</x:f>
      </x:c>
      <x:c r="AD264" s="75" t="str">
        <x:f>IF($C264&lt;&gt;"","MW-"&amp;$C264,"")</x:f>
        <x:v>MW-80</x:v>
      </x:c>
      <x:c r="AE264" s="75" t="str">
        <x:f>IF($G264&lt;&gt;"","3D Baskı / "&amp;$G264,"3D Baskı")</x:f>
        <x:v>3D Baskı</x:v>
      </x:c>
      <x:c r="AF264" s="75" t="str">
        <x:f>IF($D264&lt;&gt;"",$D264&amp;" - "&amp;$G264,$AD264&amp;" - "&amp;$G264)</x:f>
        <x:v>MW-80 - </x:v>
      </x:c>
      <x:c r="AG264" s="75" t="str"/>
    </x:row>
    <x:row r="265">
      <x:c r="A265" s="75" t="str">
        <x:f>IF($B265&lt;&gt;"",ROW()-4,"")</x:f>
      </x:c>
      <x:c r="B265" s="75" t="str"/>
      <x:c r="C265" s="75" t="n">
        <x:f>IFERROR(LET(x,MID($B265,FIND("/models/",$B265)+8,80),y,LEFT(x,FIND("-",x&amp;"-")-1),LEFT(y,FIND("?",y&amp;"?")-1)),"")</x:f>
        <x:v>80</x:v>
      </x:c>
      <x:c r="D265" s="75" t="str">
        <x:f>IF($B265="","",IFERROR(XLOOKUP($C265,MakerWorld_Verileri!$A:$A,MakerWorld_Verileri!$B:$B,""),""))</x:f>
      </x:c>
      <x:c r="E265" s="75" t="str">
        <x:f>IF($B265="","",IFERROR(XLOOKUP($C265,MakerWorld_Verileri!$A:$A,MakerWorld_Verileri!$C:$C,""),""))</x:f>
      </x:c>
      <x:c r="F265" s="75" t="str"/>
      <x:c r="G265" s="75" t="str">
        <x:f>IF($B265&lt;&gt;"",Ayarlar!$B$7,"")</x:f>
      </x:c>
      <x:c r="H265" s="82" t="str">
        <x:f>IF($B265&lt;&gt;"",1,"")</x:f>
      </x:c>
      <x:c r="I265" s="82" t="str">
        <x:f>IF($B265="","",IFERROR(XLOOKUP($C265,MakerWorld_Verileri!$A:$A,MakerWorld_Verileri!$D:$D,""),""))</x:f>
      </x:c>
      <x:c r="J265" s="82" t="str"/>
      <x:c r="K265" s="82" t="str">
        <x:f>IF($I265&lt;&gt;"",$I265,$J265)</x:f>
      </x:c>
      <x:c r="L265" s="82" t="str">
        <x:f>IF($B265="","",IFERROR(XLOOKUP($C265,MakerWorld_Verileri!$A:$A,MakerWorld_Verileri!$E:$E,""),""))</x:f>
      </x:c>
      <x:c r="M265" s="82" t="str"/>
      <x:c r="N265" s="82" t="str">
        <x:f>IF($L265&lt;&gt;"",$L265,$M265)</x:f>
      </x:c>
      <x:c r="O265" s="82" t="str">
        <x:f>IF($B265&lt;&gt;"",0,"")</x:f>
      </x:c>
      <x:c r="P265" s="75" t="str">
        <x:f>IF($B265&lt;&gt;"","Orta","")</x:f>
      </x:c>
      <x:c r="Q265" s="82" t="str">
        <x:f>IF($B265&lt;&gt;"",10,"")</x:f>
      </x:c>
      <x:c r="R265" s="83" t="str">
        <x:f>IF($B265&lt;&gt;"",Ayarlar!$B$10,"")</x:f>
      </x:c>
      <x:c r="S265" s="83" t="str">
        <x:f>IF($B265&lt;&gt;"",0,"")</x:f>
      </x:c>
      <x:c r="T265" s="83" t="n">
        <x:f>IFERROR(($K265+$O265)*XLOOKUP($G265,Ayarlar!$A$19:$A$28,Ayarlar!$C$19:$C$28,0)*(1+Ayarlar!$B$11),0)</x:f>
        <x:v>0</x:v>
      </x:c>
      <x:c r="U265" s="83" t="n">
        <x:f>IFERROR($N265/60*Ayarlar!$B$8,0)</x:f>
        <x:v>0</x:v>
      </x:c>
      <x:c r="V265" s="83" t="n">
        <x:f>IF($B265&lt;&gt;"",Ayarlar!$B$12+($Q265/60*Ayarlar!$B$9),0)</x:f>
        <x:v>0</x:v>
      </x:c>
      <x:c r="W265" s="83" t="n">
        <x:f>IF($B265&lt;&gt;"",SUM($T265:$V265,$R265:$S265),0)</x:f>
        <x:v>0</x:v>
      </x:c>
      <x:c r="X265" s="83" t="n">
        <x:f>IF($B265&lt;&gt;"",$W265*Ayarlar!$B$15,0)</x:f>
        <x:v>0</x:v>
      </x:c>
      <x:c r="Y265" s="83" t="n">
        <x:f>IF($B265&lt;&gt;"",($W265+$X265)*Ayarlar!$B$13,0)</x:f>
        <x:v>0</x:v>
      </x:c>
      <x:c r="Z265" s="83" t="n">
        <x:f>IF($B265&lt;&gt;"",($W265+$X265+$Y265)*Ayarlar!$B$14,0)</x:f>
        <x:v>0</x:v>
      </x:c>
      <x:c r="AA265" s="83" t="str">
        <x:f>IF($B265="","",IF(OR($K265="",$N265=""),"",CEILING($W265+$X265+$Y265+$Z265,Ayarlar!$B$16)))</x:f>
      </x:c>
      <x:c r="AB265" s="83" t="str">
        <x:f>IFERROR($AA265/$H265,"")</x:f>
      </x:c>
      <x:c r="AC265" s="75" t="str">
        <x:f>IF($B265="","",IF(OR($K265="",$N265=""),"Veri Eksik","Fiyat Hazır"))</x:f>
      </x:c>
      <x:c r="AD265" s="75" t="str">
        <x:f>IF($C265&lt;&gt;"","MW-"&amp;$C265,"")</x:f>
        <x:v>MW-80</x:v>
      </x:c>
      <x:c r="AE265" s="75" t="str">
        <x:f>IF($G265&lt;&gt;"","3D Baskı / "&amp;$G265,"3D Baskı")</x:f>
        <x:v>3D Baskı</x:v>
      </x:c>
      <x:c r="AF265" s="75" t="str">
        <x:f>IF($D265&lt;&gt;"",$D265&amp;" - "&amp;$G265,$AD265&amp;" - "&amp;$G265)</x:f>
        <x:v>MW-80 - </x:v>
      </x:c>
      <x:c r="AG265" s="75" t="str"/>
    </x:row>
    <x:row r="266">
      <x:c r="A266" s="75" t="str">
        <x:f>IF($B266&lt;&gt;"",ROW()-4,"")</x:f>
      </x:c>
      <x:c r="B266" s="75" t="str"/>
      <x:c r="C266" s="75" t="n">
        <x:f>IFERROR(LET(x,MID($B266,FIND("/models/",$B266)+8,80),y,LEFT(x,FIND("-",x&amp;"-")-1),LEFT(y,FIND("?",y&amp;"?")-1)),"")</x:f>
        <x:v>80</x:v>
      </x:c>
      <x:c r="D266" s="75" t="str">
        <x:f>IF($B266="","",IFERROR(XLOOKUP($C266,MakerWorld_Verileri!$A:$A,MakerWorld_Verileri!$B:$B,""),""))</x:f>
      </x:c>
      <x:c r="E266" s="75" t="str">
        <x:f>IF($B266="","",IFERROR(XLOOKUP($C266,MakerWorld_Verileri!$A:$A,MakerWorld_Verileri!$C:$C,""),""))</x:f>
      </x:c>
      <x:c r="F266" s="75" t="str"/>
      <x:c r="G266" s="75" t="str">
        <x:f>IF($B266&lt;&gt;"",Ayarlar!$B$7,"")</x:f>
      </x:c>
      <x:c r="H266" s="82" t="str">
        <x:f>IF($B266&lt;&gt;"",1,"")</x:f>
      </x:c>
      <x:c r="I266" s="82" t="str">
        <x:f>IF($B266="","",IFERROR(XLOOKUP($C266,MakerWorld_Verileri!$A:$A,MakerWorld_Verileri!$D:$D,""),""))</x:f>
      </x:c>
      <x:c r="J266" s="82" t="str"/>
      <x:c r="K266" s="82" t="str">
        <x:f>IF($I266&lt;&gt;"",$I266,$J266)</x:f>
      </x:c>
      <x:c r="L266" s="82" t="str">
        <x:f>IF($B266="","",IFERROR(XLOOKUP($C266,MakerWorld_Verileri!$A:$A,MakerWorld_Verileri!$E:$E,""),""))</x:f>
      </x:c>
      <x:c r="M266" s="82" t="str"/>
      <x:c r="N266" s="82" t="str">
        <x:f>IF($L266&lt;&gt;"",$L266,$M266)</x:f>
      </x:c>
      <x:c r="O266" s="82" t="str">
        <x:f>IF($B266&lt;&gt;"",0,"")</x:f>
      </x:c>
      <x:c r="P266" s="75" t="str">
        <x:f>IF($B266&lt;&gt;"","Orta","")</x:f>
      </x:c>
      <x:c r="Q266" s="82" t="str">
        <x:f>IF($B266&lt;&gt;"",10,"")</x:f>
      </x:c>
      <x:c r="R266" s="83" t="str">
        <x:f>IF($B266&lt;&gt;"",Ayarlar!$B$10,"")</x:f>
      </x:c>
      <x:c r="S266" s="83" t="str">
        <x:f>IF($B266&lt;&gt;"",0,"")</x:f>
      </x:c>
      <x:c r="T266" s="83" t="n">
        <x:f>IFERROR(($K266+$O266)*XLOOKUP($G266,Ayarlar!$A$19:$A$28,Ayarlar!$C$19:$C$28,0)*(1+Ayarlar!$B$11),0)</x:f>
        <x:v>0</x:v>
      </x:c>
      <x:c r="U266" s="83" t="n">
        <x:f>IFERROR($N266/60*Ayarlar!$B$8,0)</x:f>
        <x:v>0</x:v>
      </x:c>
      <x:c r="V266" s="83" t="n">
        <x:f>IF($B266&lt;&gt;"",Ayarlar!$B$12+($Q266/60*Ayarlar!$B$9),0)</x:f>
        <x:v>0</x:v>
      </x:c>
      <x:c r="W266" s="83" t="n">
        <x:f>IF($B266&lt;&gt;"",SUM($T266:$V266,$R266:$S266),0)</x:f>
        <x:v>0</x:v>
      </x:c>
      <x:c r="X266" s="83" t="n">
        <x:f>IF($B266&lt;&gt;"",$W266*Ayarlar!$B$15,0)</x:f>
        <x:v>0</x:v>
      </x:c>
      <x:c r="Y266" s="83" t="n">
        <x:f>IF($B266&lt;&gt;"",($W266+$X266)*Ayarlar!$B$13,0)</x:f>
        <x:v>0</x:v>
      </x:c>
      <x:c r="Z266" s="83" t="n">
        <x:f>IF($B266&lt;&gt;"",($W266+$X266+$Y266)*Ayarlar!$B$14,0)</x:f>
        <x:v>0</x:v>
      </x:c>
      <x:c r="AA266" s="83" t="str">
        <x:f>IF($B266="","",IF(OR($K266="",$N266=""),"",CEILING($W266+$X266+$Y266+$Z266,Ayarlar!$B$16)))</x:f>
      </x:c>
      <x:c r="AB266" s="83" t="str">
        <x:f>IFERROR($AA266/$H266,"")</x:f>
      </x:c>
      <x:c r="AC266" s="75" t="str">
        <x:f>IF($B266="","",IF(OR($K266="",$N266=""),"Veri Eksik","Fiyat Hazır"))</x:f>
      </x:c>
      <x:c r="AD266" s="75" t="str">
        <x:f>IF($C266&lt;&gt;"","MW-"&amp;$C266,"")</x:f>
        <x:v>MW-80</x:v>
      </x:c>
      <x:c r="AE266" s="75" t="str">
        <x:f>IF($G266&lt;&gt;"","3D Baskı / "&amp;$G266,"3D Baskı")</x:f>
        <x:v>3D Baskı</x:v>
      </x:c>
      <x:c r="AF266" s="75" t="str">
        <x:f>IF($D266&lt;&gt;"",$D266&amp;" - "&amp;$G266,$AD266&amp;" - "&amp;$G266)</x:f>
        <x:v>MW-80 - </x:v>
      </x:c>
      <x:c r="AG266" s="75" t="str"/>
    </x:row>
    <x:row r="267">
      <x:c r="A267" s="75" t="str">
        <x:f>IF($B267&lt;&gt;"",ROW()-4,"")</x:f>
      </x:c>
      <x:c r="B267" s="75" t="str"/>
      <x:c r="C267" s="75" t="n">
        <x:f>IFERROR(LET(x,MID($B267,FIND("/models/",$B267)+8,80),y,LEFT(x,FIND("-",x&amp;"-")-1),LEFT(y,FIND("?",y&amp;"?")-1)),"")</x:f>
        <x:v>80</x:v>
      </x:c>
      <x:c r="D267" s="75" t="str">
        <x:f>IF($B267="","",IFERROR(XLOOKUP($C267,MakerWorld_Verileri!$A:$A,MakerWorld_Verileri!$B:$B,""),""))</x:f>
      </x:c>
      <x:c r="E267" s="75" t="str">
        <x:f>IF($B267="","",IFERROR(XLOOKUP($C267,MakerWorld_Verileri!$A:$A,MakerWorld_Verileri!$C:$C,""),""))</x:f>
      </x:c>
      <x:c r="F267" s="75" t="str"/>
      <x:c r="G267" s="75" t="str">
        <x:f>IF($B267&lt;&gt;"",Ayarlar!$B$7,"")</x:f>
      </x:c>
      <x:c r="H267" s="82" t="str">
        <x:f>IF($B267&lt;&gt;"",1,"")</x:f>
      </x:c>
      <x:c r="I267" s="82" t="str">
        <x:f>IF($B267="","",IFERROR(XLOOKUP($C267,MakerWorld_Verileri!$A:$A,MakerWorld_Verileri!$D:$D,""),""))</x:f>
      </x:c>
      <x:c r="J267" s="82" t="str"/>
      <x:c r="K267" s="82" t="str">
        <x:f>IF($I267&lt;&gt;"",$I267,$J267)</x:f>
      </x:c>
      <x:c r="L267" s="82" t="str">
        <x:f>IF($B267="","",IFERROR(XLOOKUP($C267,MakerWorld_Verileri!$A:$A,MakerWorld_Verileri!$E:$E,""),""))</x:f>
      </x:c>
      <x:c r="M267" s="82" t="str"/>
      <x:c r="N267" s="82" t="str">
        <x:f>IF($L267&lt;&gt;"",$L267,$M267)</x:f>
      </x:c>
      <x:c r="O267" s="82" t="str">
        <x:f>IF($B267&lt;&gt;"",0,"")</x:f>
      </x:c>
      <x:c r="P267" s="75" t="str">
        <x:f>IF($B267&lt;&gt;"","Orta","")</x:f>
      </x:c>
      <x:c r="Q267" s="82" t="str">
        <x:f>IF($B267&lt;&gt;"",10,"")</x:f>
      </x:c>
      <x:c r="R267" s="83" t="str">
        <x:f>IF($B267&lt;&gt;"",Ayarlar!$B$10,"")</x:f>
      </x:c>
      <x:c r="S267" s="83" t="str">
        <x:f>IF($B267&lt;&gt;"",0,"")</x:f>
      </x:c>
      <x:c r="T267" s="83" t="n">
        <x:f>IFERROR(($K267+$O267)*XLOOKUP($G267,Ayarlar!$A$19:$A$28,Ayarlar!$C$19:$C$28,0)*(1+Ayarlar!$B$11),0)</x:f>
        <x:v>0</x:v>
      </x:c>
      <x:c r="U267" s="83" t="n">
        <x:f>IFERROR($N267/60*Ayarlar!$B$8,0)</x:f>
        <x:v>0</x:v>
      </x:c>
      <x:c r="V267" s="83" t="n">
        <x:f>IF($B267&lt;&gt;"",Ayarlar!$B$12+($Q267/60*Ayarlar!$B$9),0)</x:f>
        <x:v>0</x:v>
      </x:c>
      <x:c r="W267" s="83" t="n">
        <x:f>IF($B267&lt;&gt;"",SUM($T267:$V267,$R267:$S267),0)</x:f>
        <x:v>0</x:v>
      </x:c>
      <x:c r="X267" s="83" t="n">
        <x:f>IF($B267&lt;&gt;"",$W267*Ayarlar!$B$15,0)</x:f>
        <x:v>0</x:v>
      </x:c>
      <x:c r="Y267" s="83" t="n">
        <x:f>IF($B267&lt;&gt;"",($W267+$X267)*Ayarlar!$B$13,0)</x:f>
        <x:v>0</x:v>
      </x:c>
      <x:c r="Z267" s="83" t="n">
        <x:f>IF($B267&lt;&gt;"",($W267+$X267+$Y267)*Ayarlar!$B$14,0)</x:f>
        <x:v>0</x:v>
      </x:c>
      <x:c r="AA267" s="83" t="str">
        <x:f>IF($B267="","",IF(OR($K267="",$N267=""),"",CEILING($W267+$X267+$Y267+$Z267,Ayarlar!$B$16)))</x:f>
      </x:c>
      <x:c r="AB267" s="83" t="str">
        <x:f>IFERROR($AA267/$H267,"")</x:f>
      </x:c>
      <x:c r="AC267" s="75" t="str">
        <x:f>IF($B267="","",IF(OR($K267="",$N267=""),"Veri Eksik","Fiyat Hazır"))</x:f>
      </x:c>
      <x:c r="AD267" s="75" t="str">
        <x:f>IF($C267&lt;&gt;"","MW-"&amp;$C267,"")</x:f>
        <x:v>MW-80</x:v>
      </x:c>
      <x:c r="AE267" s="75" t="str">
        <x:f>IF($G267&lt;&gt;"","3D Baskı / "&amp;$G267,"3D Baskı")</x:f>
        <x:v>3D Baskı</x:v>
      </x:c>
      <x:c r="AF267" s="75" t="str">
        <x:f>IF($D267&lt;&gt;"",$D267&amp;" - "&amp;$G267,$AD267&amp;" - "&amp;$G267)</x:f>
        <x:v>MW-80 - </x:v>
      </x:c>
      <x:c r="AG267" s="75" t="str"/>
    </x:row>
    <x:row r="268">
      <x:c r="A268" s="75" t="str">
        <x:f>IF($B268&lt;&gt;"",ROW()-4,"")</x:f>
      </x:c>
      <x:c r="B268" s="75" t="str"/>
      <x:c r="C268" s="75" t="n">
        <x:f>IFERROR(LET(x,MID($B268,FIND("/models/",$B268)+8,80),y,LEFT(x,FIND("-",x&amp;"-")-1),LEFT(y,FIND("?",y&amp;"?")-1)),"")</x:f>
        <x:v>80</x:v>
      </x:c>
      <x:c r="D268" s="75" t="str">
        <x:f>IF($B268="","",IFERROR(XLOOKUP($C268,MakerWorld_Verileri!$A:$A,MakerWorld_Verileri!$B:$B,""),""))</x:f>
      </x:c>
      <x:c r="E268" s="75" t="str">
        <x:f>IF($B268="","",IFERROR(XLOOKUP($C268,MakerWorld_Verileri!$A:$A,MakerWorld_Verileri!$C:$C,""),""))</x:f>
      </x:c>
      <x:c r="F268" s="75" t="str"/>
      <x:c r="G268" s="75" t="str">
        <x:f>IF($B268&lt;&gt;"",Ayarlar!$B$7,"")</x:f>
      </x:c>
      <x:c r="H268" s="82" t="str">
        <x:f>IF($B268&lt;&gt;"",1,"")</x:f>
      </x:c>
      <x:c r="I268" s="82" t="str">
        <x:f>IF($B268="","",IFERROR(XLOOKUP($C268,MakerWorld_Verileri!$A:$A,MakerWorld_Verileri!$D:$D,""),""))</x:f>
      </x:c>
      <x:c r="J268" s="82" t="str"/>
      <x:c r="K268" s="82" t="str">
        <x:f>IF($I268&lt;&gt;"",$I268,$J268)</x:f>
      </x:c>
      <x:c r="L268" s="82" t="str">
        <x:f>IF($B268="","",IFERROR(XLOOKUP($C268,MakerWorld_Verileri!$A:$A,MakerWorld_Verileri!$E:$E,""),""))</x:f>
      </x:c>
      <x:c r="M268" s="82" t="str"/>
      <x:c r="N268" s="82" t="str">
        <x:f>IF($L268&lt;&gt;"",$L268,$M268)</x:f>
      </x:c>
      <x:c r="O268" s="82" t="str">
        <x:f>IF($B268&lt;&gt;"",0,"")</x:f>
      </x:c>
      <x:c r="P268" s="75" t="str">
        <x:f>IF($B268&lt;&gt;"","Orta","")</x:f>
      </x:c>
      <x:c r="Q268" s="82" t="str">
        <x:f>IF($B268&lt;&gt;"",10,"")</x:f>
      </x:c>
      <x:c r="R268" s="83" t="str">
        <x:f>IF($B268&lt;&gt;"",Ayarlar!$B$10,"")</x:f>
      </x:c>
      <x:c r="S268" s="83" t="str">
        <x:f>IF($B268&lt;&gt;"",0,"")</x:f>
      </x:c>
      <x:c r="T268" s="83" t="n">
        <x:f>IFERROR(($K268+$O268)*XLOOKUP($G268,Ayarlar!$A$19:$A$28,Ayarlar!$C$19:$C$28,0)*(1+Ayarlar!$B$11),0)</x:f>
        <x:v>0</x:v>
      </x:c>
      <x:c r="U268" s="83" t="n">
        <x:f>IFERROR($N268/60*Ayarlar!$B$8,0)</x:f>
        <x:v>0</x:v>
      </x:c>
      <x:c r="V268" s="83" t="n">
        <x:f>IF($B268&lt;&gt;"",Ayarlar!$B$12+($Q268/60*Ayarlar!$B$9),0)</x:f>
        <x:v>0</x:v>
      </x:c>
      <x:c r="W268" s="83" t="n">
        <x:f>IF($B268&lt;&gt;"",SUM($T268:$V268,$R268:$S268),0)</x:f>
        <x:v>0</x:v>
      </x:c>
      <x:c r="X268" s="83" t="n">
        <x:f>IF($B268&lt;&gt;"",$W268*Ayarlar!$B$15,0)</x:f>
        <x:v>0</x:v>
      </x:c>
      <x:c r="Y268" s="83" t="n">
        <x:f>IF($B268&lt;&gt;"",($W268+$X268)*Ayarlar!$B$13,0)</x:f>
        <x:v>0</x:v>
      </x:c>
      <x:c r="Z268" s="83" t="n">
        <x:f>IF($B268&lt;&gt;"",($W268+$X268+$Y268)*Ayarlar!$B$14,0)</x:f>
        <x:v>0</x:v>
      </x:c>
      <x:c r="AA268" s="83" t="str">
        <x:f>IF($B268="","",IF(OR($K268="",$N268=""),"",CEILING($W268+$X268+$Y268+$Z268,Ayarlar!$B$16)))</x:f>
      </x:c>
      <x:c r="AB268" s="83" t="str">
        <x:f>IFERROR($AA268/$H268,"")</x:f>
      </x:c>
      <x:c r="AC268" s="75" t="str">
        <x:f>IF($B268="","",IF(OR($K268="",$N268=""),"Veri Eksik","Fiyat Hazır"))</x:f>
      </x:c>
      <x:c r="AD268" s="75" t="str">
        <x:f>IF($C268&lt;&gt;"","MW-"&amp;$C268,"")</x:f>
        <x:v>MW-80</x:v>
      </x:c>
      <x:c r="AE268" s="75" t="str">
        <x:f>IF($G268&lt;&gt;"","3D Baskı / "&amp;$G268,"3D Baskı")</x:f>
        <x:v>3D Baskı</x:v>
      </x:c>
      <x:c r="AF268" s="75" t="str">
        <x:f>IF($D268&lt;&gt;"",$D268&amp;" - "&amp;$G268,$AD268&amp;" - "&amp;$G268)</x:f>
        <x:v>MW-80 - </x:v>
      </x:c>
      <x:c r="AG268" s="75" t="str"/>
    </x:row>
    <x:row r="269">
      <x:c r="A269" s="75" t="str">
        <x:f>IF($B269&lt;&gt;"",ROW()-4,"")</x:f>
      </x:c>
      <x:c r="B269" s="75" t="str"/>
      <x:c r="C269" s="75" t="n">
        <x:f>IFERROR(LET(x,MID($B269,FIND("/models/",$B269)+8,80),y,LEFT(x,FIND("-",x&amp;"-")-1),LEFT(y,FIND("?",y&amp;"?")-1)),"")</x:f>
        <x:v>80</x:v>
      </x:c>
      <x:c r="D269" s="75" t="str">
        <x:f>IF($B269="","",IFERROR(XLOOKUP($C269,MakerWorld_Verileri!$A:$A,MakerWorld_Verileri!$B:$B,""),""))</x:f>
      </x:c>
      <x:c r="E269" s="75" t="str">
        <x:f>IF($B269="","",IFERROR(XLOOKUP($C269,MakerWorld_Verileri!$A:$A,MakerWorld_Verileri!$C:$C,""),""))</x:f>
      </x:c>
      <x:c r="F269" s="75" t="str"/>
      <x:c r="G269" s="75" t="str">
        <x:f>IF($B269&lt;&gt;"",Ayarlar!$B$7,"")</x:f>
      </x:c>
      <x:c r="H269" s="82" t="str">
        <x:f>IF($B269&lt;&gt;"",1,"")</x:f>
      </x:c>
      <x:c r="I269" s="82" t="str">
        <x:f>IF($B269="","",IFERROR(XLOOKUP($C269,MakerWorld_Verileri!$A:$A,MakerWorld_Verileri!$D:$D,""),""))</x:f>
      </x:c>
      <x:c r="J269" s="82" t="str"/>
      <x:c r="K269" s="82" t="str">
        <x:f>IF($I269&lt;&gt;"",$I269,$J269)</x:f>
      </x:c>
      <x:c r="L269" s="82" t="str">
        <x:f>IF($B269="","",IFERROR(XLOOKUP($C269,MakerWorld_Verileri!$A:$A,MakerWorld_Verileri!$E:$E,""),""))</x:f>
      </x:c>
      <x:c r="M269" s="82" t="str"/>
      <x:c r="N269" s="82" t="str">
        <x:f>IF($L269&lt;&gt;"",$L269,$M269)</x:f>
      </x:c>
      <x:c r="O269" s="82" t="str">
        <x:f>IF($B269&lt;&gt;"",0,"")</x:f>
      </x:c>
      <x:c r="P269" s="75" t="str">
        <x:f>IF($B269&lt;&gt;"","Orta","")</x:f>
      </x:c>
      <x:c r="Q269" s="82" t="str">
        <x:f>IF($B269&lt;&gt;"",10,"")</x:f>
      </x:c>
      <x:c r="R269" s="83" t="str">
        <x:f>IF($B269&lt;&gt;"",Ayarlar!$B$10,"")</x:f>
      </x:c>
      <x:c r="S269" s="83" t="str">
        <x:f>IF($B269&lt;&gt;"",0,"")</x:f>
      </x:c>
      <x:c r="T269" s="83" t="n">
        <x:f>IFERROR(($K269+$O269)*XLOOKUP($G269,Ayarlar!$A$19:$A$28,Ayarlar!$C$19:$C$28,0)*(1+Ayarlar!$B$11),0)</x:f>
        <x:v>0</x:v>
      </x:c>
      <x:c r="U269" s="83" t="n">
        <x:f>IFERROR($N269/60*Ayarlar!$B$8,0)</x:f>
        <x:v>0</x:v>
      </x:c>
      <x:c r="V269" s="83" t="n">
        <x:f>IF($B269&lt;&gt;"",Ayarlar!$B$12+($Q269/60*Ayarlar!$B$9),0)</x:f>
        <x:v>0</x:v>
      </x:c>
      <x:c r="W269" s="83" t="n">
        <x:f>IF($B269&lt;&gt;"",SUM($T269:$V269,$R269:$S269),0)</x:f>
        <x:v>0</x:v>
      </x:c>
      <x:c r="X269" s="83" t="n">
        <x:f>IF($B269&lt;&gt;"",$W269*Ayarlar!$B$15,0)</x:f>
        <x:v>0</x:v>
      </x:c>
      <x:c r="Y269" s="83" t="n">
        <x:f>IF($B269&lt;&gt;"",($W269+$X269)*Ayarlar!$B$13,0)</x:f>
        <x:v>0</x:v>
      </x:c>
      <x:c r="Z269" s="83" t="n">
        <x:f>IF($B269&lt;&gt;"",($W269+$X269+$Y269)*Ayarlar!$B$14,0)</x:f>
        <x:v>0</x:v>
      </x:c>
      <x:c r="AA269" s="83" t="str">
        <x:f>IF($B269="","",IF(OR($K269="",$N269=""),"",CEILING($W269+$X269+$Y269+$Z269,Ayarlar!$B$16)))</x:f>
      </x:c>
      <x:c r="AB269" s="83" t="str">
        <x:f>IFERROR($AA269/$H269,"")</x:f>
      </x:c>
      <x:c r="AC269" s="75" t="str">
        <x:f>IF($B269="","",IF(OR($K269="",$N269=""),"Veri Eksik","Fiyat Hazır"))</x:f>
      </x:c>
      <x:c r="AD269" s="75" t="str">
        <x:f>IF($C269&lt;&gt;"","MW-"&amp;$C269,"")</x:f>
        <x:v>MW-80</x:v>
      </x:c>
      <x:c r="AE269" s="75" t="str">
        <x:f>IF($G269&lt;&gt;"","3D Baskı / "&amp;$G269,"3D Baskı")</x:f>
        <x:v>3D Baskı</x:v>
      </x:c>
      <x:c r="AF269" s="75" t="str">
        <x:f>IF($D269&lt;&gt;"",$D269&amp;" - "&amp;$G269,$AD269&amp;" - "&amp;$G269)</x:f>
        <x:v>MW-80 - </x:v>
      </x:c>
      <x:c r="AG269" s="75" t="str"/>
    </x:row>
    <x:row r="270">
      <x:c r="A270" s="75" t="str">
        <x:f>IF($B270&lt;&gt;"",ROW()-4,"")</x:f>
      </x:c>
      <x:c r="B270" s="75" t="str"/>
      <x:c r="C270" s="75" t="n">
        <x:f>IFERROR(LET(x,MID($B270,FIND("/models/",$B270)+8,80),y,LEFT(x,FIND("-",x&amp;"-")-1),LEFT(y,FIND("?",y&amp;"?")-1)),"")</x:f>
        <x:v>80</x:v>
      </x:c>
      <x:c r="D270" s="75" t="str">
        <x:f>IF($B270="","",IFERROR(XLOOKUP($C270,MakerWorld_Verileri!$A:$A,MakerWorld_Verileri!$B:$B,""),""))</x:f>
      </x:c>
      <x:c r="E270" s="75" t="str">
        <x:f>IF($B270="","",IFERROR(XLOOKUP($C270,MakerWorld_Verileri!$A:$A,MakerWorld_Verileri!$C:$C,""),""))</x:f>
      </x:c>
      <x:c r="F270" s="75" t="str"/>
      <x:c r="G270" s="75" t="str">
        <x:f>IF($B270&lt;&gt;"",Ayarlar!$B$7,"")</x:f>
      </x:c>
      <x:c r="H270" s="82" t="str">
        <x:f>IF($B270&lt;&gt;"",1,"")</x:f>
      </x:c>
      <x:c r="I270" s="82" t="str">
        <x:f>IF($B270="","",IFERROR(XLOOKUP($C270,MakerWorld_Verileri!$A:$A,MakerWorld_Verileri!$D:$D,""),""))</x:f>
      </x:c>
      <x:c r="J270" s="82" t="str"/>
      <x:c r="K270" s="82" t="str">
        <x:f>IF($I270&lt;&gt;"",$I270,$J270)</x:f>
      </x:c>
      <x:c r="L270" s="82" t="str">
        <x:f>IF($B270="","",IFERROR(XLOOKUP($C270,MakerWorld_Verileri!$A:$A,MakerWorld_Verileri!$E:$E,""),""))</x:f>
      </x:c>
      <x:c r="M270" s="82" t="str"/>
      <x:c r="N270" s="82" t="str">
        <x:f>IF($L270&lt;&gt;"",$L270,$M270)</x:f>
      </x:c>
      <x:c r="O270" s="82" t="str">
        <x:f>IF($B270&lt;&gt;"",0,"")</x:f>
      </x:c>
      <x:c r="P270" s="75" t="str">
        <x:f>IF($B270&lt;&gt;"","Orta","")</x:f>
      </x:c>
      <x:c r="Q270" s="82" t="str">
        <x:f>IF($B270&lt;&gt;"",10,"")</x:f>
      </x:c>
      <x:c r="R270" s="83" t="str">
        <x:f>IF($B270&lt;&gt;"",Ayarlar!$B$10,"")</x:f>
      </x:c>
      <x:c r="S270" s="83" t="str">
        <x:f>IF($B270&lt;&gt;"",0,"")</x:f>
      </x:c>
      <x:c r="T270" s="83" t="n">
        <x:f>IFERROR(($K270+$O270)*XLOOKUP($G270,Ayarlar!$A$19:$A$28,Ayarlar!$C$19:$C$28,0)*(1+Ayarlar!$B$11),0)</x:f>
        <x:v>0</x:v>
      </x:c>
      <x:c r="U270" s="83" t="n">
        <x:f>IFERROR($N270/60*Ayarlar!$B$8,0)</x:f>
        <x:v>0</x:v>
      </x:c>
      <x:c r="V270" s="83" t="n">
        <x:f>IF($B270&lt;&gt;"",Ayarlar!$B$12+($Q270/60*Ayarlar!$B$9),0)</x:f>
        <x:v>0</x:v>
      </x:c>
      <x:c r="W270" s="83" t="n">
        <x:f>IF($B270&lt;&gt;"",SUM($T270:$V270,$R270:$S270),0)</x:f>
        <x:v>0</x:v>
      </x:c>
      <x:c r="X270" s="83" t="n">
        <x:f>IF($B270&lt;&gt;"",$W270*Ayarlar!$B$15,0)</x:f>
        <x:v>0</x:v>
      </x:c>
      <x:c r="Y270" s="83" t="n">
        <x:f>IF($B270&lt;&gt;"",($W270+$X270)*Ayarlar!$B$13,0)</x:f>
        <x:v>0</x:v>
      </x:c>
      <x:c r="Z270" s="83" t="n">
        <x:f>IF($B270&lt;&gt;"",($W270+$X270+$Y270)*Ayarlar!$B$14,0)</x:f>
        <x:v>0</x:v>
      </x:c>
      <x:c r="AA270" s="83" t="str">
        <x:f>IF($B270="","",IF(OR($K270="",$N270=""),"",CEILING($W270+$X270+$Y270+$Z270,Ayarlar!$B$16)))</x:f>
      </x:c>
      <x:c r="AB270" s="83" t="str">
        <x:f>IFERROR($AA270/$H270,"")</x:f>
      </x:c>
      <x:c r="AC270" s="75" t="str">
        <x:f>IF($B270="","",IF(OR($K270="",$N270=""),"Veri Eksik","Fiyat Hazır"))</x:f>
      </x:c>
      <x:c r="AD270" s="75" t="str">
        <x:f>IF($C270&lt;&gt;"","MW-"&amp;$C270,"")</x:f>
        <x:v>MW-80</x:v>
      </x:c>
      <x:c r="AE270" s="75" t="str">
        <x:f>IF($G270&lt;&gt;"","3D Baskı / "&amp;$G270,"3D Baskı")</x:f>
        <x:v>3D Baskı</x:v>
      </x:c>
      <x:c r="AF270" s="75" t="str">
        <x:f>IF($D270&lt;&gt;"",$D270&amp;" - "&amp;$G270,$AD270&amp;" - "&amp;$G270)</x:f>
        <x:v>MW-80 - </x:v>
      </x:c>
      <x:c r="AG270" s="75" t="str"/>
    </x:row>
    <x:row r="271">
      <x:c r="A271" s="75" t="str">
        <x:f>IF($B271&lt;&gt;"",ROW()-4,"")</x:f>
      </x:c>
      <x:c r="B271" s="75" t="str"/>
      <x:c r="C271" s="75" t="n">
        <x:f>IFERROR(LET(x,MID($B271,FIND("/models/",$B271)+8,80),y,LEFT(x,FIND("-",x&amp;"-")-1),LEFT(y,FIND("?",y&amp;"?")-1)),"")</x:f>
        <x:v>80</x:v>
      </x:c>
      <x:c r="D271" s="75" t="str">
        <x:f>IF($B271="","",IFERROR(XLOOKUP($C271,MakerWorld_Verileri!$A:$A,MakerWorld_Verileri!$B:$B,""),""))</x:f>
      </x:c>
      <x:c r="E271" s="75" t="str">
        <x:f>IF($B271="","",IFERROR(XLOOKUP($C271,MakerWorld_Verileri!$A:$A,MakerWorld_Verileri!$C:$C,""),""))</x:f>
      </x:c>
      <x:c r="F271" s="75" t="str"/>
      <x:c r="G271" s="75" t="str">
        <x:f>IF($B271&lt;&gt;"",Ayarlar!$B$7,"")</x:f>
      </x:c>
      <x:c r="H271" s="82" t="str">
        <x:f>IF($B271&lt;&gt;"",1,"")</x:f>
      </x:c>
      <x:c r="I271" s="82" t="str">
        <x:f>IF($B271="","",IFERROR(XLOOKUP($C271,MakerWorld_Verileri!$A:$A,MakerWorld_Verileri!$D:$D,""),""))</x:f>
      </x:c>
      <x:c r="J271" s="82" t="str"/>
      <x:c r="K271" s="82" t="str">
        <x:f>IF($I271&lt;&gt;"",$I271,$J271)</x:f>
      </x:c>
      <x:c r="L271" s="82" t="str">
        <x:f>IF($B271="","",IFERROR(XLOOKUP($C271,MakerWorld_Verileri!$A:$A,MakerWorld_Verileri!$E:$E,""),""))</x:f>
      </x:c>
      <x:c r="M271" s="82" t="str"/>
      <x:c r="N271" s="82" t="str">
        <x:f>IF($L271&lt;&gt;"",$L271,$M271)</x:f>
      </x:c>
      <x:c r="O271" s="82" t="str">
        <x:f>IF($B271&lt;&gt;"",0,"")</x:f>
      </x:c>
      <x:c r="P271" s="75" t="str">
        <x:f>IF($B271&lt;&gt;"","Orta","")</x:f>
      </x:c>
      <x:c r="Q271" s="82" t="str">
        <x:f>IF($B271&lt;&gt;"",10,"")</x:f>
      </x:c>
      <x:c r="R271" s="83" t="str">
        <x:f>IF($B271&lt;&gt;"",Ayarlar!$B$10,"")</x:f>
      </x:c>
      <x:c r="S271" s="83" t="str">
        <x:f>IF($B271&lt;&gt;"",0,"")</x:f>
      </x:c>
      <x:c r="T271" s="83" t="n">
        <x:f>IFERROR(($K271+$O271)*XLOOKUP($G271,Ayarlar!$A$19:$A$28,Ayarlar!$C$19:$C$28,0)*(1+Ayarlar!$B$11),0)</x:f>
        <x:v>0</x:v>
      </x:c>
      <x:c r="U271" s="83" t="n">
        <x:f>IFERROR($N271/60*Ayarlar!$B$8,0)</x:f>
        <x:v>0</x:v>
      </x:c>
      <x:c r="V271" s="83" t="n">
        <x:f>IF($B271&lt;&gt;"",Ayarlar!$B$12+($Q271/60*Ayarlar!$B$9),0)</x:f>
        <x:v>0</x:v>
      </x:c>
      <x:c r="W271" s="83" t="n">
        <x:f>IF($B271&lt;&gt;"",SUM($T271:$V271,$R271:$S271),0)</x:f>
        <x:v>0</x:v>
      </x:c>
      <x:c r="X271" s="83" t="n">
        <x:f>IF($B271&lt;&gt;"",$W271*Ayarlar!$B$15,0)</x:f>
        <x:v>0</x:v>
      </x:c>
      <x:c r="Y271" s="83" t="n">
        <x:f>IF($B271&lt;&gt;"",($W271+$X271)*Ayarlar!$B$13,0)</x:f>
        <x:v>0</x:v>
      </x:c>
      <x:c r="Z271" s="83" t="n">
        <x:f>IF($B271&lt;&gt;"",($W271+$X271+$Y271)*Ayarlar!$B$14,0)</x:f>
        <x:v>0</x:v>
      </x:c>
      <x:c r="AA271" s="83" t="str">
        <x:f>IF($B271="","",IF(OR($K271="",$N271=""),"",CEILING($W271+$X271+$Y271+$Z271,Ayarlar!$B$16)))</x:f>
      </x:c>
      <x:c r="AB271" s="83" t="str">
        <x:f>IFERROR($AA271/$H271,"")</x:f>
      </x:c>
      <x:c r="AC271" s="75" t="str">
        <x:f>IF($B271="","",IF(OR($K271="",$N271=""),"Veri Eksik","Fiyat Hazır"))</x:f>
      </x:c>
      <x:c r="AD271" s="75" t="str">
        <x:f>IF($C271&lt;&gt;"","MW-"&amp;$C271,"")</x:f>
        <x:v>MW-80</x:v>
      </x:c>
      <x:c r="AE271" s="75" t="str">
        <x:f>IF($G271&lt;&gt;"","3D Baskı / "&amp;$G271,"3D Baskı")</x:f>
        <x:v>3D Baskı</x:v>
      </x:c>
      <x:c r="AF271" s="75" t="str">
        <x:f>IF($D271&lt;&gt;"",$D271&amp;" - "&amp;$G271,$AD271&amp;" - "&amp;$G271)</x:f>
        <x:v>MW-80 - </x:v>
      </x:c>
      <x:c r="AG271" s="75" t="str"/>
    </x:row>
    <x:row r="272">
      <x:c r="A272" s="75" t="str">
        <x:f>IF($B272&lt;&gt;"",ROW()-4,"")</x:f>
      </x:c>
      <x:c r="B272" s="75" t="str"/>
      <x:c r="C272" s="75" t="n">
        <x:f>IFERROR(LET(x,MID($B272,FIND("/models/",$B272)+8,80),y,LEFT(x,FIND("-",x&amp;"-")-1),LEFT(y,FIND("?",y&amp;"?")-1)),"")</x:f>
        <x:v>80</x:v>
      </x:c>
      <x:c r="D272" s="75" t="str">
        <x:f>IF($B272="","",IFERROR(XLOOKUP($C272,MakerWorld_Verileri!$A:$A,MakerWorld_Verileri!$B:$B,""),""))</x:f>
      </x:c>
      <x:c r="E272" s="75" t="str">
        <x:f>IF($B272="","",IFERROR(XLOOKUP($C272,MakerWorld_Verileri!$A:$A,MakerWorld_Verileri!$C:$C,""),""))</x:f>
      </x:c>
      <x:c r="F272" s="75" t="str"/>
      <x:c r="G272" s="75" t="str">
        <x:f>IF($B272&lt;&gt;"",Ayarlar!$B$7,"")</x:f>
      </x:c>
      <x:c r="H272" s="82" t="str">
        <x:f>IF($B272&lt;&gt;"",1,"")</x:f>
      </x:c>
      <x:c r="I272" s="82" t="str">
        <x:f>IF($B272="","",IFERROR(XLOOKUP($C272,MakerWorld_Verileri!$A:$A,MakerWorld_Verileri!$D:$D,""),""))</x:f>
      </x:c>
      <x:c r="J272" s="82" t="str"/>
      <x:c r="K272" s="82" t="str">
        <x:f>IF($I272&lt;&gt;"",$I272,$J272)</x:f>
      </x:c>
      <x:c r="L272" s="82" t="str">
        <x:f>IF($B272="","",IFERROR(XLOOKUP($C272,MakerWorld_Verileri!$A:$A,MakerWorld_Verileri!$E:$E,""),""))</x:f>
      </x:c>
      <x:c r="M272" s="82" t="str"/>
      <x:c r="N272" s="82" t="str">
        <x:f>IF($L272&lt;&gt;"",$L272,$M272)</x:f>
      </x:c>
      <x:c r="O272" s="82" t="str">
        <x:f>IF($B272&lt;&gt;"",0,"")</x:f>
      </x:c>
      <x:c r="P272" s="75" t="str">
        <x:f>IF($B272&lt;&gt;"","Orta","")</x:f>
      </x:c>
      <x:c r="Q272" s="82" t="str">
        <x:f>IF($B272&lt;&gt;"",10,"")</x:f>
      </x:c>
      <x:c r="R272" s="83" t="str">
        <x:f>IF($B272&lt;&gt;"",Ayarlar!$B$10,"")</x:f>
      </x:c>
      <x:c r="S272" s="83" t="str">
        <x:f>IF($B272&lt;&gt;"",0,"")</x:f>
      </x:c>
      <x:c r="T272" s="83" t="n">
        <x:f>IFERROR(($K272+$O272)*XLOOKUP($G272,Ayarlar!$A$19:$A$28,Ayarlar!$C$19:$C$28,0)*(1+Ayarlar!$B$11),0)</x:f>
        <x:v>0</x:v>
      </x:c>
      <x:c r="U272" s="83" t="n">
        <x:f>IFERROR($N272/60*Ayarlar!$B$8,0)</x:f>
        <x:v>0</x:v>
      </x:c>
      <x:c r="V272" s="83" t="n">
        <x:f>IF($B272&lt;&gt;"",Ayarlar!$B$12+($Q272/60*Ayarlar!$B$9),0)</x:f>
        <x:v>0</x:v>
      </x:c>
      <x:c r="W272" s="83" t="n">
        <x:f>IF($B272&lt;&gt;"",SUM($T272:$V272,$R272:$S272),0)</x:f>
        <x:v>0</x:v>
      </x:c>
      <x:c r="X272" s="83" t="n">
        <x:f>IF($B272&lt;&gt;"",$W272*Ayarlar!$B$15,0)</x:f>
        <x:v>0</x:v>
      </x:c>
      <x:c r="Y272" s="83" t="n">
        <x:f>IF($B272&lt;&gt;"",($W272+$X272)*Ayarlar!$B$13,0)</x:f>
        <x:v>0</x:v>
      </x:c>
      <x:c r="Z272" s="83" t="n">
        <x:f>IF($B272&lt;&gt;"",($W272+$X272+$Y272)*Ayarlar!$B$14,0)</x:f>
        <x:v>0</x:v>
      </x:c>
      <x:c r="AA272" s="83" t="str">
        <x:f>IF($B272="","",IF(OR($K272="",$N272=""),"",CEILING($W272+$X272+$Y272+$Z272,Ayarlar!$B$16)))</x:f>
      </x:c>
      <x:c r="AB272" s="83" t="str">
        <x:f>IFERROR($AA272/$H272,"")</x:f>
      </x:c>
      <x:c r="AC272" s="75" t="str">
        <x:f>IF($B272="","",IF(OR($K272="",$N272=""),"Veri Eksik","Fiyat Hazır"))</x:f>
      </x:c>
      <x:c r="AD272" s="75" t="str">
        <x:f>IF($C272&lt;&gt;"","MW-"&amp;$C272,"")</x:f>
        <x:v>MW-80</x:v>
      </x:c>
      <x:c r="AE272" s="75" t="str">
        <x:f>IF($G272&lt;&gt;"","3D Baskı / "&amp;$G272,"3D Baskı")</x:f>
        <x:v>3D Baskı</x:v>
      </x:c>
      <x:c r="AF272" s="75" t="str">
        <x:f>IF($D272&lt;&gt;"",$D272&amp;" - "&amp;$G272,$AD272&amp;" - "&amp;$G272)</x:f>
        <x:v>MW-80 - </x:v>
      </x:c>
      <x:c r="AG272" s="75" t="str"/>
    </x:row>
    <x:row r="273">
      <x:c r="A273" s="75" t="str">
        <x:f>IF($B273&lt;&gt;"",ROW()-4,"")</x:f>
      </x:c>
      <x:c r="B273" s="75" t="str"/>
      <x:c r="C273" s="75" t="n">
        <x:f>IFERROR(LET(x,MID($B273,FIND("/models/",$B273)+8,80),y,LEFT(x,FIND("-",x&amp;"-")-1),LEFT(y,FIND("?",y&amp;"?")-1)),"")</x:f>
        <x:v>80</x:v>
      </x:c>
      <x:c r="D273" s="75" t="str">
        <x:f>IF($B273="","",IFERROR(XLOOKUP($C273,MakerWorld_Verileri!$A:$A,MakerWorld_Verileri!$B:$B,""),""))</x:f>
      </x:c>
      <x:c r="E273" s="75" t="str">
        <x:f>IF($B273="","",IFERROR(XLOOKUP($C273,MakerWorld_Verileri!$A:$A,MakerWorld_Verileri!$C:$C,""),""))</x:f>
      </x:c>
      <x:c r="F273" s="75" t="str"/>
      <x:c r="G273" s="75" t="str">
        <x:f>IF($B273&lt;&gt;"",Ayarlar!$B$7,"")</x:f>
      </x:c>
      <x:c r="H273" s="82" t="str">
        <x:f>IF($B273&lt;&gt;"",1,"")</x:f>
      </x:c>
      <x:c r="I273" s="82" t="str">
        <x:f>IF($B273="","",IFERROR(XLOOKUP($C273,MakerWorld_Verileri!$A:$A,MakerWorld_Verileri!$D:$D,""),""))</x:f>
      </x:c>
      <x:c r="J273" s="82" t="str"/>
      <x:c r="K273" s="82" t="str">
        <x:f>IF($I273&lt;&gt;"",$I273,$J273)</x:f>
      </x:c>
      <x:c r="L273" s="82" t="str">
        <x:f>IF($B273="","",IFERROR(XLOOKUP($C273,MakerWorld_Verileri!$A:$A,MakerWorld_Verileri!$E:$E,""),""))</x:f>
      </x:c>
      <x:c r="M273" s="82" t="str"/>
      <x:c r="N273" s="82" t="str">
        <x:f>IF($L273&lt;&gt;"",$L273,$M273)</x:f>
      </x:c>
      <x:c r="O273" s="82" t="str">
        <x:f>IF($B273&lt;&gt;"",0,"")</x:f>
      </x:c>
      <x:c r="P273" s="75" t="str">
        <x:f>IF($B273&lt;&gt;"","Orta","")</x:f>
      </x:c>
      <x:c r="Q273" s="82" t="str">
        <x:f>IF($B273&lt;&gt;"",10,"")</x:f>
      </x:c>
      <x:c r="R273" s="83" t="str">
        <x:f>IF($B273&lt;&gt;"",Ayarlar!$B$10,"")</x:f>
      </x:c>
      <x:c r="S273" s="83" t="str">
        <x:f>IF($B273&lt;&gt;"",0,"")</x:f>
      </x:c>
      <x:c r="T273" s="83" t="n">
        <x:f>IFERROR(($K273+$O273)*XLOOKUP($G273,Ayarlar!$A$19:$A$28,Ayarlar!$C$19:$C$28,0)*(1+Ayarlar!$B$11),0)</x:f>
        <x:v>0</x:v>
      </x:c>
      <x:c r="U273" s="83" t="n">
        <x:f>IFERROR($N273/60*Ayarlar!$B$8,0)</x:f>
        <x:v>0</x:v>
      </x:c>
      <x:c r="V273" s="83" t="n">
        <x:f>IF($B273&lt;&gt;"",Ayarlar!$B$12+($Q273/60*Ayarlar!$B$9),0)</x:f>
        <x:v>0</x:v>
      </x:c>
      <x:c r="W273" s="83" t="n">
        <x:f>IF($B273&lt;&gt;"",SUM($T273:$V273,$R273:$S273),0)</x:f>
        <x:v>0</x:v>
      </x:c>
      <x:c r="X273" s="83" t="n">
        <x:f>IF($B273&lt;&gt;"",$W273*Ayarlar!$B$15,0)</x:f>
        <x:v>0</x:v>
      </x:c>
      <x:c r="Y273" s="83" t="n">
        <x:f>IF($B273&lt;&gt;"",($W273+$X273)*Ayarlar!$B$13,0)</x:f>
        <x:v>0</x:v>
      </x:c>
      <x:c r="Z273" s="83" t="n">
        <x:f>IF($B273&lt;&gt;"",($W273+$X273+$Y273)*Ayarlar!$B$14,0)</x:f>
        <x:v>0</x:v>
      </x:c>
      <x:c r="AA273" s="83" t="str">
        <x:f>IF($B273="","",IF(OR($K273="",$N273=""),"",CEILING($W273+$X273+$Y273+$Z273,Ayarlar!$B$16)))</x:f>
      </x:c>
      <x:c r="AB273" s="83" t="str">
        <x:f>IFERROR($AA273/$H273,"")</x:f>
      </x:c>
      <x:c r="AC273" s="75" t="str">
        <x:f>IF($B273="","",IF(OR($K273="",$N273=""),"Veri Eksik","Fiyat Hazır"))</x:f>
      </x:c>
      <x:c r="AD273" s="75" t="str">
        <x:f>IF($C273&lt;&gt;"","MW-"&amp;$C273,"")</x:f>
        <x:v>MW-80</x:v>
      </x:c>
      <x:c r="AE273" s="75" t="str">
        <x:f>IF($G273&lt;&gt;"","3D Baskı / "&amp;$G273,"3D Baskı")</x:f>
        <x:v>3D Baskı</x:v>
      </x:c>
      <x:c r="AF273" s="75" t="str">
        <x:f>IF($D273&lt;&gt;"",$D273&amp;" - "&amp;$G273,$AD273&amp;" - "&amp;$G273)</x:f>
        <x:v>MW-80 - </x:v>
      </x:c>
      <x:c r="AG273" s="75" t="str"/>
    </x:row>
    <x:row r="274">
      <x:c r="A274" s="75" t="str">
        <x:f>IF($B274&lt;&gt;"",ROW()-4,"")</x:f>
      </x:c>
      <x:c r="B274" s="75" t="str"/>
      <x:c r="C274" s="75" t="n">
        <x:f>IFERROR(LET(x,MID($B274,FIND("/models/",$B274)+8,80),y,LEFT(x,FIND("-",x&amp;"-")-1),LEFT(y,FIND("?",y&amp;"?")-1)),"")</x:f>
        <x:v>80</x:v>
      </x:c>
      <x:c r="D274" s="75" t="str">
        <x:f>IF($B274="","",IFERROR(XLOOKUP($C274,MakerWorld_Verileri!$A:$A,MakerWorld_Verileri!$B:$B,""),""))</x:f>
      </x:c>
      <x:c r="E274" s="75" t="str">
        <x:f>IF($B274="","",IFERROR(XLOOKUP($C274,MakerWorld_Verileri!$A:$A,MakerWorld_Verileri!$C:$C,""),""))</x:f>
      </x:c>
      <x:c r="F274" s="75" t="str"/>
      <x:c r="G274" s="75" t="str">
        <x:f>IF($B274&lt;&gt;"",Ayarlar!$B$7,"")</x:f>
      </x:c>
      <x:c r="H274" s="82" t="str">
        <x:f>IF($B274&lt;&gt;"",1,"")</x:f>
      </x:c>
      <x:c r="I274" s="82" t="str">
        <x:f>IF($B274="","",IFERROR(XLOOKUP($C274,MakerWorld_Verileri!$A:$A,MakerWorld_Verileri!$D:$D,""),""))</x:f>
      </x:c>
      <x:c r="J274" s="82" t="str"/>
      <x:c r="K274" s="82" t="str">
        <x:f>IF($I274&lt;&gt;"",$I274,$J274)</x:f>
      </x:c>
      <x:c r="L274" s="82" t="str">
        <x:f>IF($B274="","",IFERROR(XLOOKUP($C274,MakerWorld_Verileri!$A:$A,MakerWorld_Verileri!$E:$E,""),""))</x:f>
      </x:c>
      <x:c r="M274" s="82" t="str"/>
      <x:c r="N274" s="82" t="str">
        <x:f>IF($L274&lt;&gt;"",$L274,$M274)</x:f>
      </x:c>
      <x:c r="O274" s="82" t="str">
        <x:f>IF($B274&lt;&gt;"",0,"")</x:f>
      </x:c>
      <x:c r="P274" s="75" t="str">
        <x:f>IF($B274&lt;&gt;"","Orta","")</x:f>
      </x:c>
      <x:c r="Q274" s="82" t="str">
        <x:f>IF($B274&lt;&gt;"",10,"")</x:f>
      </x:c>
      <x:c r="R274" s="83" t="str">
        <x:f>IF($B274&lt;&gt;"",Ayarlar!$B$10,"")</x:f>
      </x:c>
      <x:c r="S274" s="83" t="str">
        <x:f>IF($B274&lt;&gt;"",0,"")</x:f>
      </x:c>
      <x:c r="T274" s="83" t="n">
        <x:f>IFERROR(($K274+$O274)*XLOOKUP($G274,Ayarlar!$A$19:$A$28,Ayarlar!$C$19:$C$28,0)*(1+Ayarlar!$B$11),0)</x:f>
        <x:v>0</x:v>
      </x:c>
      <x:c r="U274" s="83" t="n">
        <x:f>IFERROR($N274/60*Ayarlar!$B$8,0)</x:f>
        <x:v>0</x:v>
      </x:c>
      <x:c r="V274" s="83" t="n">
        <x:f>IF($B274&lt;&gt;"",Ayarlar!$B$12+($Q274/60*Ayarlar!$B$9),0)</x:f>
        <x:v>0</x:v>
      </x:c>
      <x:c r="W274" s="83" t="n">
        <x:f>IF($B274&lt;&gt;"",SUM($T274:$V274,$R274:$S274),0)</x:f>
        <x:v>0</x:v>
      </x:c>
      <x:c r="X274" s="83" t="n">
        <x:f>IF($B274&lt;&gt;"",$W274*Ayarlar!$B$15,0)</x:f>
        <x:v>0</x:v>
      </x:c>
      <x:c r="Y274" s="83" t="n">
        <x:f>IF($B274&lt;&gt;"",($W274+$X274)*Ayarlar!$B$13,0)</x:f>
        <x:v>0</x:v>
      </x:c>
      <x:c r="Z274" s="83" t="n">
        <x:f>IF($B274&lt;&gt;"",($W274+$X274+$Y274)*Ayarlar!$B$14,0)</x:f>
        <x:v>0</x:v>
      </x:c>
      <x:c r="AA274" s="83" t="str">
        <x:f>IF($B274="","",IF(OR($K274="",$N274=""),"",CEILING($W274+$X274+$Y274+$Z274,Ayarlar!$B$16)))</x:f>
      </x:c>
      <x:c r="AB274" s="83" t="str">
        <x:f>IFERROR($AA274/$H274,"")</x:f>
      </x:c>
      <x:c r="AC274" s="75" t="str">
        <x:f>IF($B274="","",IF(OR($K274="",$N274=""),"Veri Eksik","Fiyat Hazır"))</x:f>
      </x:c>
      <x:c r="AD274" s="75" t="str">
        <x:f>IF($C274&lt;&gt;"","MW-"&amp;$C274,"")</x:f>
        <x:v>MW-80</x:v>
      </x:c>
      <x:c r="AE274" s="75" t="str">
        <x:f>IF($G274&lt;&gt;"","3D Baskı / "&amp;$G274,"3D Baskı")</x:f>
        <x:v>3D Baskı</x:v>
      </x:c>
      <x:c r="AF274" s="75" t="str">
        <x:f>IF($D274&lt;&gt;"",$D274&amp;" - "&amp;$G274,$AD274&amp;" - "&amp;$G274)</x:f>
        <x:v>MW-80 - </x:v>
      </x:c>
      <x:c r="AG274" s="75" t="str"/>
    </x:row>
    <x:row r="275">
      <x:c r="A275" s="75" t="str">
        <x:f>IF($B275&lt;&gt;"",ROW()-4,"")</x:f>
      </x:c>
      <x:c r="B275" s="75" t="str"/>
      <x:c r="C275" s="75" t="n">
        <x:f>IFERROR(LET(x,MID($B275,FIND("/models/",$B275)+8,80),y,LEFT(x,FIND("-",x&amp;"-")-1),LEFT(y,FIND("?",y&amp;"?")-1)),"")</x:f>
        <x:v>80</x:v>
      </x:c>
      <x:c r="D275" s="75" t="str">
        <x:f>IF($B275="","",IFERROR(XLOOKUP($C275,MakerWorld_Verileri!$A:$A,MakerWorld_Verileri!$B:$B,""),""))</x:f>
      </x:c>
      <x:c r="E275" s="75" t="str">
        <x:f>IF($B275="","",IFERROR(XLOOKUP($C275,MakerWorld_Verileri!$A:$A,MakerWorld_Verileri!$C:$C,""),""))</x:f>
      </x:c>
      <x:c r="F275" s="75" t="str"/>
      <x:c r="G275" s="75" t="str">
        <x:f>IF($B275&lt;&gt;"",Ayarlar!$B$7,"")</x:f>
      </x:c>
      <x:c r="H275" s="82" t="str">
        <x:f>IF($B275&lt;&gt;"",1,"")</x:f>
      </x:c>
      <x:c r="I275" s="82" t="str">
        <x:f>IF($B275="","",IFERROR(XLOOKUP($C275,MakerWorld_Verileri!$A:$A,MakerWorld_Verileri!$D:$D,""),""))</x:f>
      </x:c>
      <x:c r="J275" s="82" t="str"/>
      <x:c r="K275" s="82" t="str">
        <x:f>IF($I275&lt;&gt;"",$I275,$J275)</x:f>
      </x:c>
      <x:c r="L275" s="82" t="str">
        <x:f>IF($B275="","",IFERROR(XLOOKUP($C275,MakerWorld_Verileri!$A:$A,MakerWorld_Verileri!$E:$E,""),""))</x:f>
      </x:c>
      <x:c r="M275" s="82" t="str"/>
      <x:c r="N275" s="82" t="str">
        <x:f>IF($L275&lt;&gt;"",$L275,$M275)</x:f>
      </x:c>
      <x:c r="O275" s="82" t="str">
        <x:f>IF($B275&lt;&gt;"",0,"")</x:f>
      </x:c>
      <x:c r="P275" s="75" t="str">
        <x:f>IF($B275&lt;&gt;"","Orta","")</x:f>
      </x:c>
      <x:c r="Q275" s="82" t="str">
        <x:f>IF($B275&lt;&gt;"",10,"")</x:f>
      </x:c>
      <x:c r="R275" s="83" t="str">
        <x:f>IF($B275&lt;&gt;"",Ayarlar!$B$10,"")</x:f>
      </x:c>
      <x:c r="S275" s="83" t="str">
        <x:f>IF($B275&lt;&gt;"",0,"")</x:f>
      </x:c>
      <x:c r="T275" s="83" t="n">
        <x:f>IFERROR(($K275+$O275)*XLOOKUP($G275,Ayarlar!$A$19:$A$28,Ayarlar!$C$19:$C$28,0)*(1+Ayarlar!$B$11),0)</x:f>
        <x:v>0</x:v>
      </x:c>
      <x:c r="U275" s="83" t="n">
        <x:f>IFERROR($N275/60*Ayarlar!$B$8,0)</x:f>
        <x:v>0</x:v>
      </x:c>
      <x:c r="V275" s="83" t="n">
        <x:f>IF($B275&lt;&gt;"",Ayarlar!$B$12+($Q275/60*Ayarlar!$B$9),0)</x:f>
        <x:v>0</x:v>
      </x:c>
      <x:c r="W275" s="83" t="n">
        <x:f>IF($B275&lt;&gt;"",SUM($T275:$V275,$R275:$S275),0)</x:f>
        <x:v>0</x:v>
      </x:c>
      <x:c r="X275" s="83" t="n">
        <x:f>IF($B275&lt;&gt;"",$W275*Ayarlar!$B$15,0)</x:f>
        <x:v>0</x:v>
      </x:c>
      <x:c r="Y275" s="83" t="n">
        <x:f>IF($B275&lt;&gt;"",($W275+$X275)*Ayarlar!$B$13,0)</x:f>
        <x:v>0</x:v>
      </x:c>
      <x:c r="Z275" s="83" t="n">
        <x:f>IF($B275&lt;&gt;"",($W275+$X275+$Y275)*Ayarlar!$B$14,0)</x:f>
        <x:v>0</x:v>
      </x:c>
      <x:c r="AA275" s="83" t="str">
        <x:f>IF($B275="","",IF(OR($K275="",$N275=""),"",CEILING($W275+$X275+$Y275+$Z275,Ayarlar!$B$16)))</x:f>
      </x:c>
      <x:c r="AB275" s="83" t="str">
        <x:f>IFERROR($AA275/$H275,"")</x:f>
      </x:c>
      <x:c r="AC275" s="75" t="str">
        <x:f>IF($B275="","",IF(OR($K275="",$N275=""),"Veri Eksik","Fiyat Hazır"))</x:f>
      </x:c>
      <x:c r="AD275" s="75" t="str">
        <x:f>IF($C275&lt;&gt;"","MW-"&amp;$C275,"")</x:f>
        <x:v>MW-80</x:v>
      </x:c>
      <x:c r="AE275" s="75" t="str">
        <x:f>IF($G275&lt;&gt;"","3D Baskı / "&amp;$G275,"3D Baskı")</x:f>
        <x:v>3D Baskı</x:v>
      </x:c>
      <x:c r="AF275" s="75" t="str">
        <x:f>IF($D275&lt;&gt;"",$D275&amp;" - "&amp;$G275,$AD275&amp;" - "&amp;$G275)</x:f>
        <x:v>MW-80 - </x:v>
      </x:c>
      <x:c r="AG275" s="75" t="str"/>
    </x:row>
    <x:row r="276">
      <x:c r="A276" s="75" t="str">
        <x:f>IF($B276&lt;&gt;"",ROW()-4,"")</x:f>
      </x:c>
      <x:c r="B276" s="75" t="str"/>
      <x:c r="C276" s="75" t="n">
        <x:f>IFERROR(LET(x,MID($B276,FIND("/models/",$B276)+8,80),y,LEFT(x,FIND("-",x&amp;"-")-1),LEFT(y,FIND("?",y&amp;"?")-1)),"")</x:f>
        <x:v>80</x:v>
      </x:c>
      <x:c r="D276" s="75" t="str">
        <x:f>IF($B276="","",IFERROR(XLOOKUP($C276,MakerWorld_Verileri!$A:$A,MakerWorld_Verileri!$B:$B,""),""))</x:f>
      </x:c>
      <x:c r="E276" s="75" t="str">
        <x:f>IF($B276="","",IFERROR(XLOOKUP($C276,MakerWorld_Verileri!$A:$A,MakerWorld_Verileri!$C:$C,""),""))</x:f>
      </x:c>
      <x:c r="F276" s="75" t="str"/>
      <x:c r="G276" s="75" t="str">
        <x:f>IF($B276&lt;&gt;"",Ayarlar!$B$7,"")</x:f>
      </x:c>
      <x:c r="H276" s="82" t="str">
        <x:f>IF($B276&lt;&gt;"",1,"")</x:f>
      </x:c>
      <x:c r="I276" s="82" t="str">
        <x:f>IF($B276="","",IFERROR(XLOOKUP($C276,MakerWorld_Verileri!$A:$A,MakerWorld_Verileri!$D:$D,""),""))</x:f>
      </x:c>
      <x:c r="J276" s="82" t="str"/>
      <x:c r="K276" s="82" t="str">
        <x:f>IF($I276&lt;&gt;"",$I276,$J276)</x:f>
      </x:c>
      <x:c r="L276" s="82" t="str">
        <x:f>IF($B276="","",IFERROR(XLOOKUP($C276,MakerWorld_Verileri!$A:$A,MakerWorld_Verileri!$E:$E,""),""))</x:f>
      </x:c>
      <x:c r="M276" s="82" t="str"/>
      <x:c r="N276" s="82" t="str">
        <x:f>IF($L276&lt;&gt;"",$L276,$M276)</x:f>
      </x:c>
      <x:c r="O276" s="82" t="str">
        <x:f>IF($B276&lt;&gt;"",0,"")</x:f>
      </x:c>
      <x:c r="P276" s="75" t="str">
        <x:f>IF($B276&lt;&gt;"","Orta","")</x:f>
      </x:c>
      <x:c r="Q276" s="82" t="str">
        <x:f>IF($B276&lt;&gt;"",10,"")</x:f>
      </x:c>
      <x:c r="R276" s="83" t="str">
        <x:f>IF($B276&lt;&gt;"",Ayarlar!$B$10,"")</x:f>
      </x:c>
      <x:c r="S276" s="83" t="str">
        <x:f>IF($B276&lt;&gt;"",0,"")</x:f>
      </x:c>
      <x:c r="T276" s="83" t="n">
        <x:f>IFERROR(($K276+$O276)*XLOOKUP($G276,Ayarlar!$A$19:$A$28,Ayarlar!$C$19:$C$28,0)*(1+Ayarlar!$B$11),0)</x:f>
        <x:v>0</x:v>
      </x:c>
      <x:c r="U276" s="83" t="n">
        <x:f>IFERROR($N276/60*Ayarlar!$B$8,0)</x:f>
        <x:v>0</x:v>
      </x:c>
      <x:c r="V276" s="83" t="n">
        <x:f>IF($B276&lt;&gt;"",Ayarlar!$B$12+($Q276/60*Ayarlar!$B$9),0)</x:f>
        <x:v>0</x:v>
      </x:c>
      <x:c r="W276" s="83" t="n">
        <x:f>IF($B276&lt;&gt;"",SUM($T276:$V276,$R276:$S276),0)</x:f>
        <x:v>0</x:v>
      </x:c>
      <x:c r="X276" s="83" t="n">
        <x:f>IF($B276&lt;&gt;"",$W276*Ayarlar!$B$15,0)</x:f>
        <x:v>0</x:v>
      </x:c>
      <x:c r="Y276" s="83" t="n">
        <x:f>IF($B276&lt;&gt;"",($W276+$X276)*Ayarlar!$B$13,0)</x:f>
        <x:v>0</x:v>
      </x:c>
      <x:c r="Z276" s="83" t="n">
        <x:f>IF($B276&lt;&gt;"",($W276+$X276+$Y276)*Ayarlar!$B$14,0)</x:f>
        <x:v>0</x:v>
      </x:c>
      <x:c r="AA276" s="83" t="str">
        <x:f>IF($B276="","",IF(OR($K276="",$N276=""),"",CEILING($W276+$X276+$Y276+$Z276,Ayarlar!$B$16)))</x:f>
      </x:c>
      <x:c r="AB276" s="83" t="str">
        <x:f>IFERROR($AA276/$H276,"")</x:f>
      </x:c>
      <x:c r="AC276" s="75" t="str">
        <x:f>IF($B276="","",IF(OR($K276="",$N276=""),"Veri Eksik","Fiyat Hazır"))</x:f>
      </x:c>
      <x:c r="AD276" s="75" t="str">
        <x:f>IF($C276&lt;&gt;"","MW-"&amp;$C276,"")</x:f>
        <x:v>MW-80</x:v>
      </x:c>
      <x:c r="AE276" s="75" t="str">
        <x:f>IF($G276&lt;&gt;"","3D Baskı / "&amp;$G276,"3D Baskı")</x:f>
        <x:v>3D Baskı</x:v>
      </x:c>
      <x:c r="AF276" s="75" t="str">
        <x:f>IF($D276&lt;&gt;"",$D276&amp;" - "&amp;$G276,$AD276&amp;" - "&amp;$G276)</x:f>
        <x:v>MW-80 - </x:v>
      </x:c>
      <x:c r="AG276" s="75" t="str"/>
    </x:row>
    <x:row r="277">
      <x:c r="A277" s="75" t="str">
        <x:f>IF($B277&lt;&gt;"",ROW()-4,"")</x:f>
      </x:c>
      <x:c r="B277" s="75" t="str"/>
      <x:c r="C277" s="75" t="n">
        <x:f>IFERROR(LET(x,MID($B277,FIND("/models/",$B277)+8,80),y,LEFT(x,FIND("-",x&amp;"-")-1),LEFT(y,FIND("?",y&amp;"?")-1)),"")</x:f>
        <x:v>80</x:v>
      </x:c>
      <x:c r="D277" s="75" t="str">
        <x:f>IF($B277="","",IFERROR(XLOOKUP($C277,MakerWorld_Verileri!$A:$A,MakerWorld_Verileri!$B:$B,""),""))</x:f>
      </x:c>
      <x:c r="E277" s="75" t="str">
        <x:f>IF($B277="","",IFERROR(XLOOKUP($C277,MakerWorld_Verileri!$A:$A,MakerWorld_Verileri!$C:$C,""),""))</x:f>
      </x:c>
      <x:c r="F277" s="75" t="str"/>
      <x:c r="G277" s="75" t="str">
        <x:f>IF($B277&lt;&gt;"",Ayarlar!$B$7,"")</x:f>
      </x:c>
      <x:c r="H277" s="82" t="str">
        <x:f>IF($B277&lt;&gt;"",1,"")</x:f>
      </x:c>
      <x:c r="I277" s="82" t="str">
        <x:f>IF($B277="","",IFERROR(XLOOKUP($C277,MakerWorld_Verileri!$A:$A,MakerWorld_Verileri!$D:$D,""),""))</x:f>
      </x:c>
      <x:c r="J277" s="82" t="str"/>
      <x:c r="K277" s="82" t="str">
        <x:f>IF($I277&lt;&gt;"",$I277,$J277)</x:f>
      </x:c>
      <x:c r="L277" s="82" t="str">
        <x:f>IF($B277="","",IFERROR(XLOOKUP($C277,MakerWorld_Verileri!$A:$A,MakerWorld_Verileri!$E:$E,""),""))</x:f>
      </x:c>
      <x:c r="M277" s="82" t="str"/>
      <x:c r="N277" s="82" t="str">
        <x:f>IF($L277&lt;&gt;"",$L277,$M277)</x:f>
      </x:c>
      <x:c r="O277" s="82" t="str">
        <x:f>IF($B277&lt;&gt;"",0,"")</x:f>
      </x:c>
      <x:c r="P277" s="75" t="str">
        <x:f>IF($B277&lt;&gt;"","Orta","")</x:f>
      </x:c>
      <x:c r="Q277" s="82" t="str">
        <x:f>IF($B277&lt;&gt;"",10,"")</x:f>
      </x:c>
      <x:c r="R277" s="83" t="str">
        <x:f>IF($B277&lt;&gt;"",Ayarlar!$B$10,"")</x:f>
      </x:c>
      <x:c r="S277" s="83" t="str">
        <x:f>IF($B277&lt;&gt;"",0,"")</x:f>
      </x:c>
      <x:c r="T277" s="83" t="n">
        <x:f>IFERROR(($K277+$O277)*XLOOKUP($G277,Ayarlar!$A$19:$A$28,Ayarlar!$C$19:$C$28,0)*(1+Ayarlar!$B$11),0)</x:f>
        <x:v>0</x:v>
      </x:c>
      <x:c r="U277" s="83" t="n">
        <x:f>IFERROR($N277/60*Ayarlar!$B$8,0)</x:f>
        <x:v>0</x:v>
      </x:c>
      <x:c r="V277" s="83" t="n">
        <x:f>IF($B277&lt;&gt;"",Ayarlar!$B$12+($Q277/60*Ayarlar!$B$9),0)</x:f>
        <x:v>0</x:v>
      </x:c>
      <x:c r="W277" s="83" t="n">
        <x:f>IF($B277&lt;&gt;"",SUM($T277:$V277,$R277:$S277),0)</x:f>
        <x:v>0</x:v>
      </x:c>
      <x:c r="X277" s="83" t="n">
        <x:f>IF($B277&lt;&gt;"",$W277*Ayarlar!$B$15,0)</x:f>
        <x:v>0</x:v>
      </x:c>
      <x:c r="Y277" s="83" t="n">
        <x:f>IF($B277&lt;&gt;"",($W277+$X277)*Ayarlar!$B$13,0)</x:f>
        <x:v>0</x:v>
      </x:c>
      <x:c r="Z277" s="83" t="n">
        <x:f>IF($B277&lt;&gt;"",($W277+$X277+$Y277)*Ayarlar!$B$14,0)</x:f>
        <x:v>0</x:v>
      </x:c>
      <x:c r="AA277" s="83" t="str">
        <x:f>IF($B277="","",IF(OR($K277="",$N277=""),"",CEILING($W277+$X277+$Y277+$Z277,Ayarlar!$B$16)))</x:f>
      </x:c>
      <x:c r="AB277" s="83" t="str">
        <x:f>IFERROR($AA277/$H277,"")</x:f>
      </x:c>
      <x:c r="AC277" s="75" t="str">
        <x:f>IF($B277="","",IF(OR($K277="",$N277=""),"Veri Eksik","Fiyat Hazır"))</x:f>
      </x:c>
      <x:c r="AD277" s="75" t="str">
        <x:f>IF($C277&lt;&gt;"","MW-"&amp;$C277,"")</x:f>
        <x:v>MW-80</x:v>
      </x:c>
      <x:c r="AE277" s="75" t="str">
        <x:f>IF($G277&lt;&gt;"","3D Baskı / "&amp;$G277,"3D Baskı")</x:f>
        <x:v>3D Baskı</x:v>
      </x:c>
      <x:c r="AF277" s="75" t="str">
        <x:f>IF($D277&lt;&gt;"",$D277&amp;" - "&amp;$G277,$AD277&amp;" - "&amp;$G277)</x:f>
        <x:v>MW-80 - </x:v>
      </x:c>
      <x:c r="AG277" s="75" t="str"/>
    </x:row>
    <x:row r="278">
      <x:c r="A278" s="75" t="str">
        <x:f>IF($B278&lt;&gt;"",ROW()-4,"")</x:f>
      </x:c>
      <x:c r="B278" s="75" t="str"/>
      <x:c r="C278" s="75" t="n">
        <x:f>IFERROR(LET(x,MID($B278,FIND("/models/",$B278)+8,80),y,LEFT(x,FIND("-",x&amp;"-")-1),LEFT(y,FIND("?",y&amp;"?")-1)),"")</x:f>
        <x:v>80</x:v>
      </x:c>
      <x:c r="D278" s="75" t="str">
        <x:f>IF($B278="","",IFERROR(XLOOKUP($C278,MakerWorld_Verileri!$A:$A,MakerWorld_Verileri!$B:$B,""),""))</x:f>
      </x:c>
      <x:c r="E278" s="75" t="str">
        <x:f>IF($B278="","",IFERROR(XLOOKUP($C278,MakerWorld_Verileri!$A:$A,MakerWorld_Verileri!$C:$C,""),""))</x:f>
      </x:c>
      <x:c r="F278" s="75" t="str"/>
      <x:c r="G278" s="75" t="str">
        <x:f>IF($B278&lt;&gt;"",Ayarlar!$B$7,"")</x:f>
      </x:c>
      <x:c r="H278" s="82" t="str">
        <x:f>IF($B278&lt;&gt;"",1,"")</x:f>
      </x:c>
      <x:c r="I278" s="82" t="str">
        <x:f>IF($B278="","",IFERROR(XLOOKUP($C278,MakerWorld_Verileri!$A:$A,MakerWorld_Verileri!$D:$D,""),""))</x:f>
      </x:c>
      <x:c r="J278" s="82" t="str"/>
      <x:c r="K278" s="82" t="str">
        <x:f>IF($I278&lt;&gt;"",$I278,$J278)</x:f>
      </x:c>
      <x:c r="L278" s="82" t="str">
        <x:f>IF($B278="","",IFERROR(XLOOKUP($C278,MakerWorld_Verileri!$A:$A,MakerWorld_Verileri!$E:$E,""),""))</x:f>
      </x:c>
      <x:c r="M278" s="82" t="str"/>
      <x:c r="N278" s="82" t="str">
        <x:f>IF($L278&lt;&gt;"",$L278,$M278)</x:f>
      </x:c>
      <x:c r="O278" s="82" t="str">
        <x:f>IF($B278&lt;&gt;"",0,"")</x:f>
      </x:c>
      <x:c r="P278" s="75" t="str">
        <x:f>IF($B278&lt;&gt;"","Orta","")</x:f>
      </x:c>
      <x:c r="Q278" s="82" t="str">
        <x:f>IF($B278&lt;&gt;"",10,"")</x:f>
      </x:c>
      <x:c r="R278" s="83" t="str">
        <x:f>IF($B278&lt;&gt;"",Ayarlar!$B$10,"")</x:f>
      </x:c>
      <x:c r="S278" s="83" t="str">
        <x:f>IF($B278&lt;&gt;"",0,"")</x:f>
      </x:c>
      <x:c r="T278" s="83" t="n">
        <x:f>IFERROR(($K278+$O278)*XLOOKUP($G278,Ayarlar!$A$19:$A$28,Ayarlar!$C$19:$C$28,0)*(1+Ayarlar!$B$11),0)</x:f>
        <x:v>0</x:v>
      </x:c>
      <x:c r="U278" s="83" t="n">
        <x:f>IFERROR($N278/60*Ayarlar!$B$8,0)</x:f>
        <x:v>0</x:v>
      </x:c>
      <x:c r="V278" s="83" t="n">
        <x:f>IF($B278&lt;&gt;"",Ayarlar!$B$12+($Q278/60*Ayarlar!$B$9),0)</x:f>
        <x:v>0</x:v>
      </x:c>
      <x:c r="W278" s="83" t="n">
        <x:f>IF($B278&lt;&gt;"",SUM($T278:$V278,$R278:$S278),0)</x:f>
        <x:v>0</x:v>
      </x:c>
      <x:c r="X278" s="83" t="n">
        <x:f>IF($B278&lt;&gt;"",$W278*Ayarlar!$B$15,0)</x:f>
        <x:v>0</x:v>
      </x:c>
      <x:c r="Y278" s="83" t="n">
        <x:f>IF($B278&lt;&gt;"",($W278+$X278)*Ayarlar!$B$13,0)</x:f>
        <x:v>0</x:v>
      </x:c>
      <x:c r="Z278" s="83" t="n">
        <x:f>IF($B278&lt;&gt;"",($W278+$X278+$Y278)*Ayarlar!$B$14,0)</x:f>
        <x:v>0</x:v>
      </x:c>
      <x:c r="AA278" s="83" t="str">
        <x:f>IF($B278="","",IF(OR($K278="",$N278=""),"",CEILING($W278+$X278+$Y278+$Z278,Ayarlar!$B$16)))</x:f>
      </x:c>
      <x:c r="AB278" s="83" t="str">
        <x:f>IFERROR($AA278/$H278,"")</x:f>
      </x:c>
      <x:c r="AC278" s="75" t="str">
        <x:f>IF($B278="","",IF(OR($K278="",$N278=""),"Veri Eksik","Fiyat Hazır"))</x:f>
      </x:c>
      <x:c r="AD278" s="75" t="str">
        <x:f>IF($C278&lt;&gt;"","MW-"&amp;$C278,"")</x:f>
        <x:v>MW-80</x:v>
      </x:c>
      <x:c r="AE278" s="75" t="str">
        <x:f>IF($G278&lt;&gt;"","3D Baskı / "&amp;$G278,"3D Baskı")</x:f>
        <x:v>3D Baskı</x:v>
      </x:c>
      <x:c r="AF278" s="75" t="str">
        <x:f>IF($D278&lt;&gt;"",$D278&amp;" - "&amp;$G278,$AD278&amp;" - "&amp;$G278)</x:f>
        <x:v>MW-80 - </x:v>
      </x:c>
      <x:c r="AG278" s="75" t="str"/>
    </x:row>
    <x:row r="279">
      <x:c r="A279" s="75" t="str">
        <x:f>IF($B279&lt;&gt;"",ROW()-4,"")</x:f>
      </x:c>
      <x:c r="B279" s="75" t="str"/>
      <x:c r="C279" s="75" t="n">
        <x:f>IFERROR(LET(x,MID($B279,FIND("/models/",$B279)+8,80),y,LEFT(x,FIND("-",x&amp;"-")-1),LEFT(y,FIND("?",y&amp;"?")-1)),"")</x:f>
        <x:v>80</x:v>
      </x:c>
      <x:c r="D279" s="75" t="str">
        <x:f>IF($B279="","",IFERROR(XLOOKUP($C279,MakerWorld_Verileri!$A:$A,MakerWorld_Verileri!$B:$B,""),""))</x:f>
      </x:c>
      <x:c r="E279" s="75" t="str">
        <x:f>IF($B279="","",IFERROR(XLOOKUP($C279,MakerWorld_Verileri!$A:$A,MakerWorld_Verileri!$C:$C,""),""))</x:f>
      </x:c>
      <x:c r="F279" s="75" t="str"/>
      <x:c r="G279" s="75" t="str">
        <x:f>IF($B279&lt;&gt;"",Ayarlar!$B$7,"")</x:f>
      </x:c>
      <x:c r="H279" s="82" t="str">
        <x:f>IF($B279&lt;&gt;"",1,"")</x:f>
      </x:c>
      <x:c r="I279" s="82" t="str">
        <x:f>IF($B279="","",IFERROR(XLOOKUP($C279,MakerWorld_Verileri!$A:$A,MakerWorld_Verileri!$D:$D,""),""))</x:f>
      </x:c>
      <x:c r="J279" s="82" t="str"/>
      <x:c r="K279" s="82" t="str">
        <x:f>IF($I279&lt;&gt;"",$I279,$J279)</x:f>
      </x:c>
      <x:c r="L279" s="82" t="str">
        <x:f>IF($B279="","",IFERROR(XLOOKUP($C279,MakerWorld_Verileri!$A:$A,MakerWorld_Verileri!$E:$E,""),""))</x:f>
      </x:c>
      <x:c r="M279" s="82" t="str"/>
      <x:c r="N279" s="82" t="str">
        <x:f>IF($L279&lt;&gt;"",$L279,$M279)</x:f>
      </x:c>
      <x:c r="O279" s="82" t="str">
        <x:f>IF($B279&lt;&gt;"",0,"")</x:f>
      </x:c>
      <x:c r="P279" s="75" t="str">
        <x:f>IF($B279&lt;&gt;"","Orta","")</x:f>
      </x:c>
      <x:c r="Q279" s="82" t="str">
        <x:f>IF($B279&lt;&gt;"",10,"")</x:f>
      </x:c>
      <x:c r="R279" s="83" t="str">
        <x:f>IF($B279&lt;&gt;"",Ayarlar!$B$10,"")</x:f>
      </x:c>
      <x:c r="S279" s="83" t="str">
        <x:f>IF($B279&lt;&gt;"",0,"")</x:f>
      </x:c>
      <x:c r="T279" s="83" t="n">
        <x:f>IFERROR(($K279+$O279)*XLOOKUP($G279,Ayarlar!$A$19:$A$28,Ayarlar!$C$19:$C$28,0)*(1+Ayarlar!$B$11),0)</x:f>
        <x:v>0</x:v>
      </x:c>
      <x:c r="U279" s="83" t="n">
        <x:f>IFERROR($N279/60*Ayarlar!$B$8,0)</x:f>
        <x:v>0</x:v>
      </x:c>
      <x:c r="V279" s="83" t="n">
        <x:f>IF($B279&lt;&gt;"",Ayarlar!$B$12+($Q279/60*Ayarlar!$B$9),0)</x:f>
        <x:v>0</x:v>
      </x:c>
      <x:c r="W279" s="83" t="n">
        <x:f>IF($B279&lt;&gt;"",SUM($T279:$V279,$R279:$S279),0)</x:f>
        <x:v>0</x:v>
      </x:c>
      <x:c r="X279" s="83" t="n">
        <x:f>IF($B279&lt;&gt;"",$W279*Ayarlar!$B$15,0)</x:f>
        <x:v>0</x:v>
      </x:c>
      <x:c r="Y279" s="83" t="n">
        <x:f>IF($B279&lt;&gt;"",($W279+$X279)*Ayarlar!$B$13,0)</x:f>
        <x:v>0</x:v>
      </x:c>
      <x:c r="Z279" s="83" t="n">
        <x:f>IF($B279&lt;&gt;"",($W279+$X279+$Y279)*Ayarlar!$B$14,0)</x:f>
        <x:v>0</x:v>
      </x:c>
      <x:c r="AA279" s="83" t="str">
        <x:f>IF($B279="","",IF(OR($K279="",$N279=""),"",CEILING($W279+$X279+$Y279+$Z279,Ayarlar!$B$16)))</x:f>
      </x:c>
      <x:c r="AB279" s="83" t="str">
        <x:f>IFERROR($AA279/$H279,"")</x:f>
      </x:c>
      <x:c r="AC279" s="75" t="str">
        <x:f>IF($B279="","",IF(OR($K279="",$N279=""),"Veri Eksik","Fiyat Hazır"))</x:f>
      </x:c>
      <x:c r="AD279" s="75" t="str">
        <x:f>IF($C279&lt;&gt;"","MW-"&amp;$C279,"")</x:f>
        <x:v>MW-80</x:v>
      </x:c>
      <x:c r="AE279" s="75" t="str">
        <x:f>IF($G279&lt;&gt;"","3D Baskı / "&amp;$G279,"3D Baskı")</x:f>
        <x:v>3D Baskı</x:v>
      </x:c>
      <x:c r="AF279" s="75" t="str">
        <x:f>IF($D279&lt;&gt;"",$D279&amp;" - "&amp;$G279,$AD279&amp;" - "&amp;$G279)</x:f>
        <x:v>MW-80 - </x:v>
      </x:c>
      <x:c r="AG279" s="75" t="str"/>
    </x:row>
    <x:row r="280">
      <x:c r="A280" s="75" t="str">
        <x:f>IF($B280&lt;&gt;"",ROW()-4,"")</x:f>
      </x:c>
      <x:c r="B280" s="75" t="str"/>
      <x:c r="C280" s="75" t="n">
        <x:f>IFERROR(LET(x,MID($B280,FIND("/models/",$B280)+8,80),y,LEFT(x,FIND("-",x&amp;"-")-1),LEFT(y,FIND("?",y&amp;"?")-1)),"")</x:f>
        <x:v>80</x:v>
      </x:c>
      <x:c r="D280" s="75" t="str">
        <x:f>IF($B280="","",IFERROR(XLOOKUP($C280,MakerWorld_Verileri!$A:$A,MakerWorld_Verileri!$B:$B,""),""))</x:f>
      </x:c>
      <x:c r="E280" s="75" t="str">
        <x:f>IF($B280="","",IFERROR(XLOOKUP($C280,MakerWorld_Verileri!$A:$A,MakerWorld_Verileri!$C:$C,""),""))</x:f>
      </x:c>
      <x:c r="F280" s="75" t="str"/>
      <x:c r="G280" s="75" t="str">
        <x:f>IF($B280&lt;&gt;"",Ayarlar!$B$7,"")</x:f>
      </x:c>
      <x:c r="H280" s="82" t="str">
        <x:f>IF($B280&lt;&gt;"",1,"")</x:f>
      </x:c>
      <x:c r="I280" s="82" t="str">
        <x:f>IF($B280="","",IFERROR(XLOOKUP($C280,MakerWorld_Verileri!$A:$A,MakerWorld_Verileri!$D:$D,""),""))</x:f>
      </x:c>
      <x:c r="J280" s="82" t="str"/>
      <x:c r="K280" s="82" t="str">
        <x:f>IF($I280&lt;&gt;"",$I280,$J280)</x:f>
      </x:c>
      <x:c r="L280" s="82" t="str">
        <x:f>IF($B280="","",IFERROR(XLOOKUP($C280,MakerWorld_Verileri!$A:$A,MakerWorld_Verileri!$E:$E,""),""))</x:f>
      </x:c>
      <x:c r="M280" s="82" t="str"/>
      <x:c r="N280" s="82" t="str">
        <x:f>IF($L280&lt;&gt;"",$L280,$M280)</x:f>
      </x:c>
      <x:c r="O280" s="82" t="str">
        <x:f>IF($B280&lt;&gt;"",0,"")</x:f>
      </x:c>
      <x:c r="P280" s="75" t="str">
        <x:f>IF($B280&lt;&gt;"","Orta","")</x:f>
      </x:c>
      <x:c r="Q280" s="82" t="str">
        <x:f>IF($B280&lt;&gt;"",10,"")</x:f>
      </x:c>
      <x:c r="R280" s="83" t="str">
        <x:f>IF($B280&lt;&gt;"",Ayarlar!$B$10,"")</x:f>
      </x:c>
      <x:c r="S280" s="83" t="str">
        <x:f>IF($B280&lt;&gt;"",0,"")</x:f>
      </x:c>
      <x:c r="T280" s="83" t="n">
        <x:f>IFERROR(($K280+$O280)*XLOOKUP($G280,Ayarlar!$A$19:$A$28,Ayarlar!$C$19:$C$28,0)*(1+Ayarlar!$B$11),0)</x:f>
        <x:v>0</x:v>
      </x:c>
      <x:c r="U280" s="83" t="n">
        <x:f>IFERROR($N280/60*Ayarlar!$B$8,0)</x:f>
        <x:v>0</x:v>
      </x:c>
      <x:c r="V280" s="83" t="n">
        <x:f>IF($B280&lt;&gt;"",Ayarlar!$B$12+($Q280/60*Ayarlar!$B$9),0)</x:f>
        <x:v>0</x:v>
      </x:c>
      <x:c r="W280" s="83" t="n">
        <x:f>IF($B280&lt;&gt;"",SUM($T280:$V280,$R280:$S280),0)</x:f>
        <x:v>0</x:v>
      </x:c>
      <x:c r="X280" s="83" t="n">
        <x:f>IF($B280&lt;&gt;"",$W280*Ayarlar!$B$15,0)</x:f>
        <x:v>0</x:v>
      </x:c>
      <x:c r="Y280" s="83" t="n">
        <x:f>IF($B280&lt;&gt;"",($W280+$X280)*Ayarlar!$B$13,0)</x:f>
        <x:v>0</x:v>
      </x:c>
      <x:c r="Z280" s="83" t="n">
        <x:f>IF($B280&lt;&gt;"",($W280+$X280+$Y280)*Ayarlar!$B$14,0)</x:f>
        <x:v>0</x:v>
      </x:c>
      <x:c r="AA280" s="83" t="str">
        <x:f>IF($B280="","",IF(OR($K280="",$N280=""),"",CEILING($W280+$X280+$Y280+$Z280,Ayarlar!$B$16)))</x:f>
      </x:c>
      <x:c r="AB280" s="83" t="str">
        <x:f>IFERROR($AA280/$H280,"")</x:f>
      </x:c>
      <x:c r="AC280" s="75" t="str">
        <x:f>IF($B280="","",IF(OR($K280="",$N280=""),"Veri Eksik","Fiyat Hazır"))</x:f>
      </x:c>
      <x:c r="AD280" s="75" t="str">
        <x:f>IF($C280&lt;&gt;"","MW-"&amp;$C280,"")</x:f>
        <x:v>MW-80</x:v>
      </x:c>
      <x:c r="AE280" s="75" t="str">
        <x:f>IF($G280&lt;&gt;"","3D Baskı / "&amp;$G280,"3D Baskı")</x:f>
        <x:v>3D Baskı</x:v>
      </x:c>
      <x:c r="AF280" s="75" t="str">
        <x:f>IF($D280&lt;&gt;"",$D280&amp;" - "&amp;$G280,$AD280&amp;" - "&amp;$G280)</x:f>
        <x:v>MW-80 - </x:v>
      </x:c>
      <x:c r="AG280" s="75" t="str"/>
    </x:row>
    <x:row r="281">
      <x:c r="A281" s="75" t="str">
        <x:f>IF($B281&lt;&gt;"",ROW()-4,"")</x:f>
      </x:c>
      <x:c r="B281" s="75" t="str"/>
      <x:c r="C281" s="75" t="n">
        <x:f>IFERROR(LET(x,MID($B281,FIND("/models/",$B281)+8,80),y,LEFT(x,FIND("-",x&amp;"-")-1),LEFT(y,FIND("?",y&amp;"?")-1)),"")</x:f>
        <x:v>80</x:v>
      </x:c>
      <x:c r="D281" s="75" t="str">
        <x:f>IF($B281="","",IFERROR(XLOOKUP($C281,MakerWorld_Verileri!$A:$A,MakerWorld_Verileri!$B:$B,""),""))</x:f>
      </x:c>
      <x:c r="E281" s="75" t="str">
        <x:f>IF($B281="","",IFERROR(XLOOKUP($C281,MakerWorld_Verileri!$A:$A,MakerWorld_Verileri!$C:$C,""),""))</x:f>
      </x:c>
      <x:c r="F281" s="75" t="str"/>
      <x:c r="G281" s="75" t="str">
        <x:f>IF($B281&lt;&gt;"",Ayarlar!$B$7,"")</x:f>
      </x:c>
      <x:c r="H281" s="82" t="str">
        <x:f>IF($B281&lt;&gt;"",1,"")</x:f>
      </x:c>
      <x:c r="I281" s="82" t="str">
        <x:f>IF($B281="","",IFERROR(XLOOKUP($C281,MakerWorld_Verileri!$A:$A,MakerWorld_Verileri!$D:$D,""),""))</x:f>
      </x:c>
      <x:c r="J281" s="82" t="str"/>
      <x:c r="K281" s="82" t="str">
        <x:f>IF($I281&lt;&gt;"",$I281,$J281)</x:f>
      </x:c>
      <x:c r="L281" s="82" t="str">
        <x:f>IF($B281="","",IFERROR(XLOOKUP($C281,MakerWorld_Verileri!$A:$A,MakerWorld_Verileri!$E:$E,""),""))</x:f>
      </x:c>
      <x:c r="M281" s="82" t="str"/>
      <x:c r="N281" s="82" t="str">
        <x:f>IF($L281&lt;&gt;"",$L281,$M281)</x:f>
      </x:c>
      <x:c r="O281" s="82" t="str">
        <x:f>IF($B281&lt;&gt;"",0,"")</x:f>
      </x:c>
      <x:c r="P281" s="75" t="str">
        <x:f>IF($B281&lt;&gt;"","Orta","")</x:f>
      </x:c>
      <x:c r="Q281" s="82" t="str">
        <x:f>IF($B281&lt;&gt;"",10,"")</x:f>
      </x:c>
      <x:c r="R281" s="83" t="str">
        <x:f>IF($B281&lt;&gt;"",Ayarlar!$B$10,"")</x:f>
      </x:c>
      <x:c r="S281" s="83" t="str">
        <x:f>IF($B281&lt;&gt;"",0,"")</x:f>
      </x:c>
      <x:c r="T281" s="83" t="n">
        <x:f>IFERROR(($K281+$O281)*XLOOKUP($G281,Ayarlar!$A$19:$A$28,Ayarlar!$C$19:$C$28,0)*(1+Ayarlar!$B$11),0)</x:f>
        <x:v>0</x:v>
      </x:c>
      <x:c r="U281" s="83" t="n">
        <x:f>IFERROR($N281/60*Ayarlar!$B$8,0)</x:f>
        <x:v>0</x:v>
      </x:c>
      <x:c r="V281" s="83" t="n">
        <x:f>IF($B281&lt;&gt;"",Ayarlar!$B$12+($Q281/60*Ayarlar!$B$9),0)</x:f>
        <x:v>0</x:v>
      </x:c>
      <x:c r="W281" s="83" t="n">
        <x:f>IF($B281&lt;&gt;"",SUM($T281:$V281,$R281:$S281),0)</x:f>
        <x:v>0</x:v>
      </x:c>
      <x:c r="X281" s="83" t="n">
        <x:f>IF($B281&lt;&gt;"",$W281*Ayarlar!$B$15,0)</x:f>
        <x:v>0</x:v>
      </x:c>
      <x:c r="Y281" s="83" t="n">
        <x:f>IF($B281&lt;&gt;"",($W281+$X281)*Ayarlar!$B$13,0)</x:f>
        <x:v>0</x:v>
      </x:c>
      <x:c r="Z281" s="83" t="n">
        <x:f>IF($B281&lt;&gt;"",($W281+$X281+$Y281)*Ayarlar!$B$14,0)</x:f>
        <x:v>0</x:v>
      </x:c>
      <x:c r="AA281" s="83" t="str">
        <x:f>IF($B281="","",IF(OR($K281="",$N281=""),"",CEILING($W281+$X281+$Y281+$Z281,Ayarlar!$B$16)))</x:f>
      </x:c>
      <x:c r="AB281" s="83" t="str">
        <x:f>IFERROR($AA281/$H281,"")</x:f>
      </x:c>
      <x:c r="AC281" s="75" t="str">
        <x:f>IF($B281="","",IF(OR($K281="",$N281=""),"Veri Eksik","Fiyat Hazır"))</x:f>
      </x:c>
      <x:c r="AD281" s="75" t="str">
        <x:f>IF($C281&lt;&gt;"","MW-"&amp;$C281,"")</x:f>
        <x:v>MW-80</x:v>
      </x:c>
      <x:c r="AE281" s="75" t="str">
        <x:f>IF($G281&lt;&gt;"","3D Baskı / "&amp;$G281,"3D Baskı")</x:f>
        <x:v>3D Baskı</x:v>
      </x:c>
      <x:c r="AF281" s="75" t="str">
        <x:f>IF($D281&lt;&gt;"",$D281&amp;" - "&amp;$G281,$AD281&amp;" - "&amp;$G281)</x:f>
        <x:v>MW-80 - </x:v>
      </x:c>
      <x:c r="AG281" s="75" t="str"/>
    </x:row>
    <x:row r="282">
      <x:c r="A282" s="75" t="str">
        <x:f>IF($B282&lt;&gt;"",ROW()-4,"")</x:f>
      </x:c>
      <x:c r="B282" s="75" t="str"/>
      <x:c r="C282" s="75" t="n">
        <x:f>IFERROR(LET(x,MID($B282,FIND("/models/",$B282)+8,80),y,LEFT(x,FIND("-",x&amp;"-")-1),LEFT(y,FIND("?",y&amp;"?")-1)),"")</x:f>
        <x:v>80</x:v>
      </x:c>
      <x:c r="D282" s="75" t="str">
        <x:f>IF($B282="","",IFERROR(XLOOKUP($C282,MakerWorld_Verileri!$A:$A,MakerWorld_Verileri!$B:$B,""),""))</x:f>
      </x:c>
      <x:c r="E282" s="75" t="str">
        <x:f>IF($B282="","",IFERROR(XLOOKUP($C282,MakerWorld_Verileri!$A:$A,MakerWorld_Verileri!$C:$C,""),""))</x:f>
      </x:c>
      <x:c r="F282" s="75" t="str"/>
      <x:c r="G282" s="75" t="str">
        <x:f>IF($B282&lt;&gt;"",Ayarlar!$B$7,"")</x:f>
      </x:c>
      <x:c r="H282" s="82" t="str">
        <x:f>IF($B282&lt;&gt;"",1,"")</x:f>
      </x:c>
      <x:c r="I282" s="82" t="str">
        <x:f>IF($B282="","",IFERROR(XLOOKUP($C282,MakerWorld_Verileri!$A:$A,MakerWorld_Verileri!$D:$D,""),""))</x:f>
      </x:c>
      <x:c r="J282" s="82" t="str"/>
      <x:c r="K282" s="82" t="str">
        <x:f>IF($I282&lt;&gt;"",$I282,$J282)</x:f>
      </x:c>
      <x:c r="L282" s="82" t="str">
        <x:f>IF($B282="","",IFERROR(XLOOKUP($C282,MakerWorld_Verileri!$A:$A,MakerWorld_Verileri!$E:$E,""),""))</x:f>
      </x:c>
      <x:c r="M282" s="82" t="str"/>
      <x:c r="N282" s="82" t="str">
        <x:f>IF($L282&lt;&gt;"",$L282,$M282)</x:f>
      </x:c>
      <x:c r="O282" s="82" t="str">
        <x:f>IF($B282&lt;&gt;"",0,"")</x:f>
      </x:c>
      <x:c r="P282" s="75" t="str">
        <x:f>IF($B282&lt;&gt;"","Orta","")</x:f>
      </x:c>
      <x:c r="Q282" s="82" t="str">
        <x:f>IF($B282&lt;&gt;"",10,"")</x:f>
      </x:c>
      <x:c r="R282" s="83" t="str">
        <x:f>IF($B282&lt;&gt;"",Ayarlar!$B$10,"")</x:f>
      </x:c>
      <x:c r="S282" s="83" t="str">
        <x:f>IF($B282&lt;&gt;"",0,"")</x:f>
      </x:c>
      <x:c r="T282" s="83" t="n">
        <x:f>IFERROR(($K282+$O282)*XLOOKUP($G282,Ayarlar!$A$19:$A$28,Ayarlar!$C$19:$C$28,0)*(1+Ayarlar!$B$11),0)</x:f>
        <x:v>0</x:v>
      </x:c>
      <x:c r="U282" s="83" t="n">
        <x:f>IFERROR($N282/60*Ayarlar!$B$8,0)</x:f>
        <x:v>0</x:v>
      </x:c>
      <x:c r="V282" s="83" t="n">
        <x:f>IF($B282&lt;&gt;"",Ayarlar!$B$12+($Q282/60*Ayarlar!$B$9),0)</x:f>
        <x:v>0</x:v>
      </x:c>
      <x:c r="W282" s="83" t="n">
        <x:f>IF($B282&lt;&gt;"",SUM($T282:$V282,$R282:$S282),0)</x:f>
        <x:v>0</x:v>
      </x:c>
      <x:c r="X282" s="83" t="n">
        <x:f>IF($B282&lt;&gt;"",$W282*Ayarlar!$B$15,0)</x:f>
        <x:v>0</x:v>
      </x:c>
      <x:c r="Y282" s="83" t="n">
        <x:f>IF($B282&lt;&gt;"",($W282+$X282)*Ayarlar!$B$13,0)</x:f>
        <x:v>0</x:v>
      </x:c>
      <x:c r="Z282" s="83" t="n">
        <x:f>IF($B282&lt;&gt;"",($W282+$X282+$Y282)*Ayarlar!$B$14,0)</x:f>
        <x:v>0</x:v>
      </x:c>
      <x:c r="AA282" s="83" t="str">
        <x:f>IF($B282="","",IF(OR($K282="",$N282=""),"",CEILING($W282+$X282+$Y282+$Z282,Ayarlar!$B$16)))</x:f>
      </x:c>
      <x:c r="AB282" s="83" t="str">
        <x:f>IFERROR($AA282/$H282,"")</x:f>
      </x:c>
      <x:c r="AC282" s="75" t="str">
        <x:f>IF($B282="","",IF(OR($K282="",$N282=""),"Veri Eksik","Fiyat Hazır"))</x:f>
      </x:c>
      <x:c r="AD282" s="75" t="str">
        <x:f>IF($C282&lt;&gt;"","MW-"&amp;$C282,"")</x:f>
        <x:v>MW-80</x:v>
      </x:c>
      <x:c r="AE282" s="75" t="str">
        <x:f>IF($G282&lt;&gt;"","3D Baskı / "&amp;$G282,"3D Baskı")</x:f>
        <x:v>3D Baskı</x:v>
      </x:c>
      <x:c r="AF282" s="75" t="str">
        <x:f>IF($D282&lt;&gt;"",$D282&amp;" - "&amp;$G282,$AD282&amp;" - "&amp;$G282)</x:f>
        <x:v>MW-80 - </x:v>
      </x:c>
      <x:c r="AG282" s="75" t="str"/>
    </x:row>
    <x:row r="283">
      <x:c r="A283" s="75" t="str">
        <x:f>IF($B283&lt;&gt;"",ROW()-4,"")</x:f>
      </x:c>
      <x:c r="B283" s="75" t="str"/>
      <x:c r="C283" s="75" t="n">
        <x:f>IFERROR(LET(x,MID($B283,FIND("/models/",$B283)+8,80),y,LEFT(x,FIND("-",x&amp;"-")-1),LEFT(y,FIND("?",y&amp;"?")-1)),"")</x:f>
        <x:v>80</x:v>
      </x:c>
      <x:c r="D283" s="75" t="str">
        <x:f>IF($B283="","",IFERROR(XLOOKUP($C283,MakerWorld_Verileri!$A:$A,MakerWorld_Verileri!$B:$B,""),""))</x:f>
      </x:c>
      <x:c r="E283" s="75" t="str">
        <x:f>IF($B283="","",IFERROR(XLOOKUP($C283,MakerWorld_Verileri!$A:$A,MakerWorld_Verileri!$C:$C,""),""))</x:f>
      </x:c>
      <x:c r="F283" s="75" t="str"/>
      <x:c r="G283" s="75" t="str">
        <x:f>IF($B283&lt;&gt;"",Ayarlar!$B$7,"")</x:f>
      </x:c>
      <x:c r="H283" s="82" t="str">
        <x:f>IF($B283&lt;&gt;"",1,"")</x:f>
      </x:c>
      <x:c r="I283" s="82" t="str">
        <x:f>IF($B283="","",IFERROR(XLOOKUP($C283,MakerWorld_Verileri!$A:$A,MakerWorld_Verileri!$D:$D,""),""))</x:f>
      </x:c>
      <x:c r="J283" s="82" t="str"/>
      <x:c r="K283" s="82" t="str">
        <x:f>IF($I283&lt;&gt;"",$I283,$J283)</x:f>
      </x:c>
      <x:c r="L283" s="82" t="str">
        <x:f>IF($B283="","",IFERROR(XLOOKUP($C283,MakerWorld_Verileri!$A:$A,MakerWorld_Verileri!$E:$E,""),""))</x:f>
      </x:c>
      <x:c r="M283" s="82" t="str"/>
      <x:c r="N283" s="82" t="str">
        <x:f>IF($L283&lt;&gt;"",$L283,$M283)</x:f>
      </x:c>
      <x:c r="O283" s="82" t="str">
        <x:f>IF($B283&lt;&gt;"",0,"")</x:f>
      </x:c>
      <x:c r="P283" s="75" t="str">
        <x:f>IF($B283&lt;&gt;"","Orta","")</x:f>
      </x:c>
      <x:c r="Q283" s="82" t="str">
        <x:f>IF($B283&lt;&gt;"",10,"")</x:f>
      </x:c>
      <x:c r="R283" s="83" t="str">
        <x:f>IF($B283&lt;&gt;"",Ayarlar!$B$10,"")</x:f>
      </x:c>
      <x:c r="S283" s="83" t="str">
        <x:f>IF($B283&lt;&gt;"",0,"")</x:f>
      </x:c>
      <x:c r="T283" s="83" t="n">
        <x:f>IFERROR(($K283+$O283)*XLOOKUP($G283,Ayarlar!$A$19:$A$28,Ayarlar!$C$19:$C$28,0)*(1+Ayarlar!$B$11),0)</x:f>
        <x:v>0</x:v>
      </x:c>
      <x:c r="U283" s="83" t="n">
        <x:f>IFERROR($N283/60*Ayarlar!$B$8,0)</x:f>
        <x:v>0</x:v>
      </x:c>
      <x:c r="V283" s="83" t="n">
        <x:f>IF($B283&lt;&gt;"",Ayarlar!$B$12+($Q283/60*Ayarlar!$B$9),0)</x:f>
        <x:v>0</x:v>
      </x:c>
      <x:c r="W283" s="83" t="n">
        <x:f>IF($B283&lt;&gt;"",SUM($T283:$V283,$R283:$S283),0)</x:f>
        <x:v>0</x:v>
      </x:c>
      <x:c r="X283" s="83" t="n">
        <x:f>IF($B283&lt;&gt;"",$W283*Ayarlar!$B$15,0)</x:f>
        <x:v>0</x:v>
      </x:c>
      <x:c r="Y283" s="83" t="n">
        <x:f>IF($B283&lt;&gt;"",($W283+$X283)*Ayarlar!$B$13,0)</x:f>
        <x:v>0</x:v>
      </x:c>
      <x:c r="Z283" s="83" t="n">
        <x:f>IF($B283&lt;&gt;"",($W283+$X283+$Y283)*Ayarlar!$B$14,0)</x:f>
        <x:v>0</x:v>
      </x:c>
      <x:c r="AA283" s="83" t="str">
        <x:f>IF($B283="","",IF(OR($K283="",$N283=""),"",CEILING($W283+$X283+$Y283+$Z283,Ayarlar!$B$16)))</x:f>
      </x:c>
      <x:c r="AB283" s="83" t="str">
        <x:f>IFERROR($AA283/$H283,"")</x:f>
      </x:c>
      <x:c r="AC283" s="75" t="str">
        <x:f>IF($B283="","",IF(OR($K283="",$N283=""),"Veri Eksik","Fiyat Hazır"))</x:f>
      </x:c>
      <x:c r="AD283" s="75" t="str">
        <x:f>IF($C283&lt;&gt;"","MW-"&amp;$C283,"")</x:f>
        <x:v>MW-80</x:v>
      </x:c>
      <x:c r="AE283" s="75" t="str">
        <x:f>IF($G283&lt;&gt;"","3D Baskı / "&amp;$G283,"3D Baskı")</x:f>
        <x:v>3D Baskı</x:v>
      </x:c>
      <x:c r="AF283" s="75" t="str">
        <x:f>IF($D283&lt;&gt;"",$D283&amp;" - "&amp;$G283,$AD283&amp;" - "&amp;$G283)</x:f>
        <x:v>MW-80 - </x:v>
      </x:c>
      <x:c r="AG283" s="75" t="str"/>
    </x:row>
    <x:row r="284">
      <x:c r="A284" s="75" t="str">
        <x:f>IF($B284&lt;&gt;"",ROW()-4,"")</x:f>
      </x:c>
      <x:c r="B284" s="75" t="str"/>
      <x:c r="C284" s="75" t="n">
        <x:f>IFERROR(LET(x,MID($B284,FIND("/models/",$B284)+8,80),y,LEFT(x,FIND("-",x&amp;"-")-1),LEFT(y,FIND("?",y&amp;"?")-1)),"")</x:f>
        <x:v>80</x:v>
      </x:c>
      <x:c r="D284" s="75" t="str">
        <x:f>IF($B284="","",IFERROR(XLOOKUP($C284,MakerWorld_Verileri!$A:$A,MakerWorld_Verileri!$B:$B,""),""))</x:f>
      </x:c>
      <x:c r="E284" s="75" t="str">
        <x:f>IF($B284="","",IFERROR(XLOOKUP($C284,MakerWorld_Verileri!$A:$A,MakerWorld_Verileri!$C:$C,""),""))</x:f>
      </x:c>
      <x:c r="F284" s="75" t="str"/>
      <x:c r="G284" s="75" t="str">
        <x:f>IF($B284&lt;&gt;"",Ayarlar!$B$7,"")</x:f>
      </x:c>
      <x:c r="H284" s="82" t="str">
        <x:f>IF($B284&lt;&gt;"",1,"")</x:f>
      </x:c>
      <x:c r="I284" s="82" t="str">
        <x:f>IF($B284="","",IFERROR(XLOOKUP($C284,MakerWorld_Verileri!$A:$A,MakerWorld_Verileri!$D:$D,""),""))</x:f>
      </x:c>
      <x:c r="J284" s="82" t="str"/>
      <x:c r="K284" s="82" t="str">
        <x:f>IF($I284&lt;&gt;"",$I284,$J284)</x:f>
      </x:c>
      <x:c r="L284" s="82" t="str">
        <x:f>IF($B284="","",IFERROR(XLOOKUP($C284,MakerWorld_Verileri!$A:$A,MakerWorld_Verileri!$E:$E,""),""))</x:f>
      </x:c>
      <x:c r="M284" s="82" t="str"/>
      <x:c r="N284" s="82" t="str">
        <x:f>IF($L284&lt;&gt;"",$L284,$M284)</x:f>
      </x:c>
      <x:c r="O284" s="82" t="str">
        <x:f>IF($B284&lt;&gt;"",0,"")</x:f>
      </x:c>
      <x:c r="P284" s="75" t="str">
        <x:f>IF($B284&lt;&gt;"","Orta","")</x:f>
      </x:c>
      <x:c r="Q284" s="82" t="str">
        <x:f>IF($B284&lt;&gt;"",10,"")</x:f>
      </x:c>
      <x:c r="R284" s="83" t="str">
        <x:f>IF($B284&lt;&gt;"",Ayarlar!$B$10,"")</x:f>
      </x:c>
      <x:c r="S284" s="83" t="str">
        <x:f>IF($B284&lt;&gt;"",0,"")</x:f>
      </x:c>
      <x:c r="T284" s="83" t="n">
        <x:f>IFERROR(($K284+$O284)*XLOOKUP($G284,Ayarlar!$A$19:$A$28,Ayarlar!$C$19:$C$28,0)*(1+Ayarlar!$B$11),0)</x:f>
        <x:v>0</x:v>
      </x:c>
      <x:c r="U284" s="83" t="n">
        <x:f>IFERROR($N284/60*Ayarlar!$B$8,0)</x:f>
        <x:v>0</x:v>
      </x:c>
      <x:c r="V284" s="83" t="n">
        <x:f>IF($B284&lt;&gt;"",Ayarlar!$B$12+($Q284/60*Ayarlar!$B$9),0)</x:f>
        <x:v>0</x:v>
      </x:c>
      <x:c r="W284" s="83" t="n">
        <x:f>IF($B284&lt;&gt;"",SUM($T284:$V284,$R284:$S284),0)</x:f>
        <x:v>0</x:v>
      </x:c>
      <x:c r="X284" s="83" t="n">
        <x:f>IF($B284&lt;&gt;"",$W284*Ayarlar!$B$15,0)</x:f>
        <x:v>0</x:v>
      </x:c>
      <x:c r="Y284" s="83" t="n">
        <x:f>IF($B284&lt;&gt;"",($W284+$X284)*Ayarlar!$B$13,0)</x:f>
        <x:v>0</x:v>
      </x:c>
      <x:c r="Z284" s="83" t="n">
        <x:f>IF($B284&lt;&gt;"",($W284+$X284+$Y284)*Ayarlar!$B$14,0)</x:f>
        <x:v>0</x:v>
      </x:c>
      <x:c r="AA284" s="83" t="str">
        <x:f>IF($B284="","",IF(OR($K284="",$N284=""),"",CEILING($W284+$X284+$Y284+$Z284,Ayarlar!$B$16)))</x:f>
      </x:c>
      <x:c r="AB284" s="83" t="str">
        <x:f>IFERROR($AA284/$H284,"")</x:f>
      </x:c>
      <x:c r="AC284" s="75" t="str">
        <x:f>IF($B284="","",IF(OR($K284="",$N284=""),"Veri Eksik","Fiyat Hazır"))</x:f>
      </x:c>
      <x:c r="AD284" s="75" t="str">
        <x:f>IF($C284&lt;&gt;"","MW-"&amp;$C284,"")</x:f>
        <x:v>MW-80</x:v>
      </x:c>
      <x:c r="AE284" s="75" t="str">
        <x:f>IF($G284&lt;&gt;"","3D Baskı / "&amp;$G284,"3D Baskı")</x:f>
        <x:v>3D Baskı</x:v>
      </x:c>
      <x:c r="AF284" s="75" t="str">
        <x:f>IF($D284&lt;&gt;"",$D284&amp;" - "&amp;$G284,$AD284&amp;" - "&amp;$G284)</x:f>
        <x:v>MW-80 - </x:v>
      </x:c>
      <x:c r="AG284" s="75" t="str"/>
    </x:row>
    <x:row r="285">
      <x:c r="A285" s="75" t="str">
        <x:f>IF($B285&lt;&gt;"",ROW()-4,"")</x:f>
      </x:c>
      <x:c r="B285" s="75" t="str"/>
      <x:c r="C285" s="75" t="n">
        <x:f>IFERROR(LET(x,MID($B285,FIND("/models/",$B285)+8,80),y,LEFT(x,FIND("-",x&amp;"-")-1),LEFT(y,FIND("?",y&amp;"?")-1)),"")</x:f>
        <x:v>80</x:v>
      </x:c>
      <x:c r="D285" s="75" t="str">
        <x:f>IF($B285="","",IFERROR(XLOOKUP($C285,MakerWorld_Verileri!$A:$A,MakerWorld_Verileri!$B:$B,""),""))</x:f>
      </x:c>
      <x:c r="E285" s="75" t="str">
        <x:f>IF($B285="","",IFERROR(XLOOKUP($C285,MakerWorld_Verileri!$A:$A,MakerWorld_Verileri!$C:$C,""),""))</x:f>
      </x:c>
      <x:c r="F285" s="75" t="str"/>
      <x:c r="G285" s="75" t="str">
        <x:f>IF($B285&lt;&gt;"",Ayarlar!$B$7,"")</x:f>
      </x:c>
      <x:c r="H285" s="82" t="str">
        <x:f>IF($B285&lt;&gt;"",1,"")</x:f>
      </x:c>
      <x:c r="I285" s="82" t="str">
        <x:f>IF($B285="","",IFERROR(XLOOKUP($C285,MakerWorld_Verileri!$A:$A,MakerWorld_Verileri!$D:$D,""),""))</x:f>
      </x:c>
      <x:c r="J285" s="82" t="str"/>
      <x:c r="K285" s="82" t="str">
        <x:f>IF($I285&lt;&gt;"",$I285,$J285)</x:f>
      </x:c>
      <x:c r="L285" s="82" t="str">
        <x:f>IF($B285="","",IFERROR(XLOOKUP($C285,MakerWorld_Verileri!$A:$A,MakerWorld_Verileri!$E:$E,""),""))</x:f>
      </x:c>
      <x:c r="M285" s="82" t="str"/>
      <x:c r="N285" s="82" t="str">
        <x:f>IF($L285&lt;&gt;"",$L285,$M285)</x:f>
      </x:c>
      <x:c r="O285" s="82" t="str">
        <x:f>IF($B285&lt;&gt;"",0,"")</x:f>
      </x:c>
      <x:c r="P285" s="75" t="str">
        <x:f>IF($B285&lt;&gt;"","Orta","")</x:f>
      </x:c>
      <x:c r="Q285" s="82" t="str">
        <x:f>IF($B285&lt;&gt;"",10,"")</x:f>
      </x:c>
      <x:c r="R285" s="83" t="str">
        <x:f>IF($B285&lt;&gt;"",Ayarlar!$B$10,"")</x:f>
      </x:c>
      <x:c r="S285" s="83" t="str">
        <x:f>IF($B285&lt;&gt;"",0,"")</x:f>
      </x:c>
      <x:c r="T285" s="83" t="n">
        <x:f>IFERROR(($K285+$O285)*XLOOKUP($G285,Ayarlar!$A$19:$A$28,Ayarlar!$C$19:$C$28,0)*(1+Ayarlar!$B$11),0)</x:f>
        <x:v>0</x:v>
      </x:c>
      <x:c r="U285" s="83" t="n">
        <x:f>IFERROR($N285/60*Ayarlar!$B$8,0)</x:f>
        <x:v>0</x:v>
      </x:c>
      <x:c r="V285" s="83" t="n">
        <x:f>IF($B285&lt;&gt;"",Ayarlar!$B$12+($Q285/60*Ayarlar!$B$9),0)</x:f>
        <x:v>0</x:v>
      </x:c>
      <x:c r="W285" s="83" t="n">
        <x:f>IF($B285&lt;&gt;"",SUM($T285:$V285,$R285:$S285),0)</x:f>
        <x:v>0</x:v>
      </x:c>
      <x:c r="X285" s="83" t="n">
        <x:f>IF($B285&lt;&gt;"",$W285*Ayarlar!$B$15,0)</x:f>
        <x:v>0</x:v>
      </x:c>
      <x:c r="Y285" s="83" t="n">
        <x:f>IF($B285&lt;&gt;"",($W285+$X285)*Ayarlar!$B$13,0)</x:f>
        <x:v>0</x:v>
      </x:c>
      <x:c r="Z285" s="83" t="n">
        <x:f>IF($B285&lt;&gt;"",($W285+$X285+$Y285)*Ayarlar!$B$14,0)</x:f>
        <x:v>0</x:v>
      </x:c>
      <x:c r="AA285" s="83" t="str">
        <x:f>IF($B285="","",IF(OR($K285="",$N285=""),"",CEILING($W285+$X285+$Y285+$Z285,Ayarlar!$B$16)))</x:f>
      </x:c>
      <x:c r="AB285" s="83" t="str">
        <x:f>IFERROR($AA285/$H285,"")</x:f>
      </x:c>
      <x:c r="AC285" s="75" t="str">
        <x:f>IF($B285="","",IF(OR($K285="",$N285=""),"Veri Eksik","Fiyat Hazır"))</x:f>
      </x:c>
      <x:c r="AD285" s="75" t="str">
        <x:f>IF($C285&lt;&gt;"","MW-"&amp;$C285,"")</x:f>
        <x:v>MW-80</x:v>
      </x:c>
      <x:c r="AE285" s="75" t="str">
        <x:f>IF($G285&lt;&gt;"","3D Baskı / "&amp;$G285,"3D Baskı")</x:f>
        <x:v>3D Baskı</x:v>
      </x:c>
      <x:c r="AF285" s="75" t="str">
        <x:f>IF($D285&lt;&gt;"",$D285&amp;" - "&amp;$G285,$AD285&amp;" - "&amp;$G285)</x:f>
        <x:v>MW-80 - </x:v>
      </x:c>
      <x:c r="AG285" s="75" t="str"/>
    </x:row>
    <x:row r="286">
      <x:c r="A286" s="75" t="str">
        <x:f>IF($B286&lt;&gt;"",ROW()-4,"")</x:f>
      </x:c>
      <x:c r="B286" s="75" t="str"/>
      <x:c r="C286" s="75" t="n">
        <x:f>IFERROR(LET(x,MID($B286,FIND("/models/",$B286)+8,80),y,LEFT(x,FIND("-",x&amp;"-")-1),LEFT(y,FIND("?",y&amp;"?")-1)),"")</x:f>
        <x:v>80</x:v>
      </x:c>
      <x:c r="D286" s="75" t="str">
        <x:f>IF($B286="","",IFERROR(XLOOKUP($C286,MakerWorld_Verileri!$A:$A,MakerWorld_Verileri!$B:$B,""),""))</x:f>
      </x:c>
      <x:c r="E286" s="75" t="str">
        <x:f>IF($B286="","",IFERROR(XLOOKUP($C286,MakerWorld_Verileri!$A:$A,MakerWorld_Verileri!$C:$C,""),""))</x:f>
      </x:c>
      <x:c r="F286" s="75" t="str"/>
      <x:c r="G286" s="75" t="str">
        <x:f>IF($B286&lt;&gt;"",Ayarlar!$B$7,"")</x:f>
      </x:c>
      <x:c r="H286" s="82" t="str">
        <x:f>IF($B286&lt;&gt;"",1,"")</x:f>
      </x:c>
      <x:c r="I286" s="82" t="str">
        <x:f>IF($B286="","",IFERROR(XLOOKUP($C286,MakerWorld_Verileri!$A:$A,MakerWorld_Verileri!$D:$D,""),""))</x:f>
      </x:c>
      <x:c r="J286" s="82" t="str"/>
      <x:c r="K286" s="82" t="str">
        <x:f>IF($I286&lt;&gt;"",$I286,$J286)</x:f>
      </x:c>
      <x:c r="L286" s="82" t="str">
        <x:f>IF($B286="","",IFERROR(XLOOKUP($C286,MakerWorld_Verileri!$A:$A,MakerWorld_Verileri!$E:$E,""),""))</x:f>
      </x:c>
      <x:c r="M286" s="82" t="str"/>
      <x:c r="N286" s="82" t="str">
        <x:f>IF($L286&lt;&gt;"",$L286,$M286)</x:f>
      </x:c>
      <x:c r="O286" s="82" t="str">
        <x:f>IF($B286&lt;&gt;"",0,"")</x:f>
      </x:c>
      <x:c r="P286" s="75" t="str">
        <x:f>IF($B286&lt;&gt;"","Orta","")</x:f>
      </x:c>
      <x:c r="Q286" s="82" t="str">
        <x:f>IF($B286&lt;&gt;"",10,"")</x:f>
      </x:c>
      <x:c r="R286" s="83" t="str">
        <x:f>IF($B286&lt;&gt;"",Ayarlar!$B$10,"")</x:f>
      </x:c>
      <x:c r="S286" s="83" t="str">
        <x:f>IF($B286&lt;&gt;"",0,"")</x:f>
      </x:c>
      <x:c r="T286" s="83" t="n">
        <x:f>IFERROR(($K286+$O286)*XLOOKUP($G286,Ayarlar!$A$19:$A$28,Ayarlar!$C$19:$C$28,0)*(1+Ayarlar!$B$11),0)</x:f>
        <x:v>0</x:v>
      </x:c>
      <x:c r="U286" s="83" t="n">
        <x:f>IFERROR($N286/60*Ayarlar!$B$8,0)</x:f>
        <x:v>0</x:v>
      </x:c>
      <x:c r="V286" s="83" t="n">
        <x:f>IF($B286&lt;&gt;"",Ayarlar!$B$12+($Q286/60*Ayarlar!$B$9),0)</x:f>
        <x:v>0</x:v>
      </x:c>
      <x:c r="W286" s="83" t="n">
        <x:f>IF($B286&lt;&gt;"",SUM($T286:$V286,$R286:$S286),0)</x:f>
        <x:v>0</x:v>
      </x:c>
      <x:c r="X286" s="83" t="n">
        <x:f>IF($B286&lt;&gt;"",$W286*Ayarlar!$B$15,0)</x:f>
        <x:v>0</x:v>
      </x:c>
      <x:c r="Y286" s="83" t="n">
        <x:f>IF($B286&lt;&gt;"",($W286+$X286)*Ayarlar!$B$13,0)</x:f>
        <x:v>0</x:v>
      </x:c>
      <x:c r="Z286" s="83" t="n">
        <x:f>IF($B286&lt;&gt;"",($W286+$X286+$Y286)*Ayarlar!$B$14,0)</x:f>
        <x:v>0</x:v>
      </x:c>
      <x:c r="AA286" s="83" t="str">
        <x:f>IF($B286="","",IF(OR($K286="",$N286=""),"",CEILING($W286+$X286+$Y286+$Z286,Ayarlar!$B$16)))</x:f>
      </x:c>
      <x:c r="AB286" s="83" t="str">
        <x:f>IFERROR($AA286/$H286,"")</x:f>
      </x:c>
      <x:c r="AC286" s="75" t="str">
        <x:f>IF($B286="","",IF(OR($K286="",$N286=""),"Veri Eksik","Fiyat Hazır"))</x:f>
      </x:c>
      <x:c r="AD286" s="75" t="str">
        <x:f>IF($C286&lt;&gt;"","MW-"&amp;$C286,"")</x:f>
        <x:v>MW-80</x:v>
      </x:c>
      <x:c r="AE286" s="75" t="str">
        <x:f>IF($G286&lt;&gt;"","3D Baskı / "&amp;$G286,"3D Baskı")</x:f>
        <x:v>3D Baskı</x:v>
      </x:c>
      <x:c r="AF286" s="75" t="str">
        <x:f>IF($D286&lt;&gt;"",$D286&amp;" - "&amp;$G286,$AD286&amp;" - "&amp;$G286)</x:f>
        <x:v>MW-80 - </x:v>
      </x:c>
      <x:c r="AG286" s="75" t="str"/>
    </x:row>
    <x:row r="287">
      <x:c r="A287" s="75" t="str">
        <x:f>IF($B287&lt;&gt;"",ROW()-4,"")</x:f>
      </x:c>
      <x:c r="B287" s="75" t="str"/>
      <x:c r="C287" s="75" t="n">
        <x:f>IFERROR(LET(x,MID($B287,FIND("/models/",$B287)+8,80),y,LEFT(x,FIND("-",x&amp;"-")-1),LEFT(y,FIND("?",y&amp;"?")-1)),"")</x:f>
        <x:v>80</x:v>
      </x:c>
      <x:c r="D287" s="75" t="str">
        <x:f>IF($B287="","",IFERROR(XLOOKUP($C287,MakerWorld_Verileri!$A:$A,MakerWorld_Verileri!$B:$B,""),""))</x:f>
      </x:c>
      <x:c r="E287" s="75" t="str">
        <x:f>IF($B287="","",IFERROR(XLOOKUP($C287,MakerWorld_Verileri!$A:$A,MakerWorld_Verileri!$C:$C,""),""))</x:f>
      </x:c>
      <x:c r="F287" s="75" t="str"/>
      <x:c r="G287" s="75" t="str">
        <x:f>IF($B287&lt;&gt;"",Ayarlar!$B$7,"")</x:f>
      </x:c>
      <x:c r="H287" s="82" t="str">
        <x:f>IF($B287&lt;&gt;"",1,"")</x:f>
      </x:c>
      <x:c r="I287" s="82" t="str">
        <x:f>IF($B287="","",IFERROR(XLOOKUP($C287,MakerWorld_Verileri!$A:$A,MakerWorld_Verileri!$D:$D,""),""))</x:f>
      </x:c>
      <x:c r="J287" s="82" t="str"/>
      <x:c r="K287" s="82" t="str">
        <x:f>IF($I287&lt;&gt;"",$I287,$J287)</x:f>
      </x:c>
      <x:c r="L287" s="82" t="str">
        <x:f>IF($B287="","",IFERROR(XLOOKUP($C287,MakerWorld_Verileri!$A:$A,MakerWorld_Verileri!$E:$E,""),""))</x:f>
      </x:c>
      <x:c r="M287" s="82" t="str"/>
      <x:c r="N287" s="82" t="str">
        <x:f>IF($L287&lt;&gt;"",$L287,$M287)</x:f>
      </x:c>
      <x:c r="O287" s="82" t="str">
        <x:f>IF($B287&lt;&gt;"",0,"")</x:f>
      </x:c>
      <x:c r="P287" s="75" t="str">
        <x:f>IF($B287&lt;&gt;"","Orta","")</x:f>
      </x:c>
      <x:c r="Q287" s="82" t="str">
        <x:f>IF($B287&lt;&gt;"",10,"")</x:f>
      </x:c>
      <x:c r="R287" s="83" t="str">
        <x:f>IF($B287&lt;&gt;"",Ayarlar!$B$10,"")</x:f>
      </x:c>
      <x:c r="S287" s="83" t="str">
        <x:f>IF($B287&lt;&gt;"",0,"")</x:f>
      </x:c>
      <x:c r="T287" s="83" t="n">
        <x:f>IFERROR(($K287+$O287)*XLOOKUP($G287,Ayarlar!$A$19:$A$28,Ayarlar!$C$19:$C$28,0)*(1+Ayarlar!$B$11),0)</x:f>
        <x:v>0</x:v>
      </x:c>
      <x:c r="U287" s="83" t="n">
        <x:f>IFERROR($N287/60*Ayarlar!$B$8,0)</x:f>
        <x:v>0</x:v>
      </x:c>
      <x:c r="V287" s="83" t="n">
        <x:f>IF($B287&lt;&gt;"",Ayarlar!$B$12+($Q287/60*Ayarlar!$B$9),0)</x:f>
        <x:v>0</x:v>
      </x:c>
      <x:c r="W287" s="83" t="n">
        <x:f>IF($B287&lt;&gt;"",SUM($T287:$V287,$R287:$S287),0)</x:f>
        <x:v>0</x:v>
      </x:c>
      <x:c r="X287" s="83" t="n">
        <x:f>IF($B287&lt;&gt;"",$W287*Ayarlar!$B$15,0)</x:f>
        <x:v>0</x:v>
      </x:c>
      <x:c r="Y287" s="83" t="n">
        <x:f>IF($B287&lt;&gt;"",($W287+$X287)*Ayarlar!$B$13,0)</x:f>
        <x:v>0</x:v>
      </x:c>
      <x:c r="Z287" s="83" t="n">
        <x:f>IF($B287&lt;&gt;"",($W287+$X287+$Y287)*Ayarlar!$B$14,0)</x:f>
        <x:v>0</x:v>
      </x:c>
      <x:c r="AA287" s="83" t="str">
        <x:f>IF($B287="","",IF(OR($K287="",$N287=""),"",CEILING($W287+$X287+$Y287+$Z287,Ayarlar!$B$16)))</x:f>
      </x:c>
      <x:c r="AB287" s="83" t="str">
        <x:f>IFERROR($AA287/$H287,"")</x:f>
      </x:c>
      <x:c r="AC287" s="75" t="str">
        <x:f>IF($B287="","",IF(OR($K287="",$N287=""),"Veri Eksik","Fiyat Hazır"))</x:f>
      </x:c>
      <x:c r="AD287" s="75" t="str">
        <x:f>IF($C287&lt;&gt;"","MW-"&amp;$C287,"")</x:f>
        <x:v>MW-80</x:v>
      </x:c>
      <x:c r="AE287" s="75" t="str">
        <x:f>IF($G287&lt;&gt;"","3D Baskı / "&amp;$G287,"3D Baskı")</x:f>
        <x:v>3D Baskı</x:v>
      </x:c>
      <x:c r="AF287" s="75" t="str">
        <x:f>IF($D287&lt;&gt;"",$D287&amp;" - "&amp;$G287,$AD287&amp;" - "&amp;$G287)</x:f>
        <x:v>MW-80 - </x:v>
      </x:c>
      <x:c r="AG287" s="75" t="str"/>
    </x:row>
    <x:row r="288">
      <x:c r="A288" s="75" t="str">
        <x:f>IF($B288&lt;&gt;"",ROW()-4,"")</x:f>
      </x:c>
      <x:c r="B288" s="75" t="str"/>
      <x:c r="C288" s="75" t="n">
        <x:f>IFERROR(LET(x,MID($B288,FIND("/models/",$B288)+8,80),y,LEFT(x,FIND("-",x&amp;"-")-1),LEFT(y,FIND("?",y&amp;"?")-1)),"")</x:f>
        <x:v>80</x:v>
      </x:c>
      <x:c r="D288" s="75" t="str">
        <x:f>IF($B288="","",IFERROR(XLOOKUP($C288,MakerWorld_Verileri!$A:$A,MakerWorld_Verileri!$B:$B,""),""))</x:f>
      </x:c>
      <x:c r="E288" s="75" t="str">
        <x:f>IF($B288="","",IFERROR(XLOOKUP($C288,MakerWorld_Verileri!$A:$A,MakerWorld_Verileri!$C:$C,""),""))</x:f>
      </x:c>
      <x:c r="F288" s="75" t="str"/>
      <x:c r="G288" s="75" t="str">
        <x:f>IF($B288&lt;&gt;"",Ayarlar!$B$7,"")</x:f>
      </x:c>
      <x:c r="H288" s="82" t="str">
        <x:f>IF($B288&lt;&gt;"",1,"")</x:f>
      </x:c>
      <x:c r="I288" s="82" t="str">
        <x:f>IF($B288="","",IFERROR(XLOOKUP($C288,MakerWorld_Verileri!$A:$A,MakerWorld_Verileri!$D:$D,""),""))</x:f>
      </x:c>
      <x:c r="J288" s="82" t="str"/>
      <x:c r="K288" s="82" t="str">
        <x:f>IF($I288&lt;&gt;"",$I288,$J288)</x:f>
      </x:c>
      <x:c r="L288" s="82" t="str">
        <x:f>IF($B288="","",IFERROR(XLOOKUP($C288,MakerWorld_Verileri!$A:$A,MakerWorld_Verileri!$E:$E,""),""))</x:f>
      </x:c>
      <x:c r="M288" s="82" t="str"/>
      <x:c r="N288" s="82" t="str">
        <x:f>IF($L288&lt;&gt;"",$L288,$M288)</x:f>
      </x:c>
      <x:c r="O288" s="82" t="str">
        <x:f>IF($B288&lt;&gt;"",0,"")</x:f>
      </x:c>
      <x:c r="P288" s="75" t="str">
        <x:f>IF($B288&lt;&gt;"","Orta","")</x:f>
      </x:c>
      <x:c r="Q288" s="82" t="str">
        <x:f>IF($B288&lt;&gt;"",10,"")</x:f>
      </x:c>
      <x:c r="R288" s="83" t="str">
        <x:f>IF($B288&lt;&gt;"",Ayarlar!$B$10,"")</x:f>
      </x:c>
      <x:c r="S288" s="83" t="str">
        <x:f>IF($B288&lt;&gt;"",0,"")</x:f>
      </x:c>
      <x:c r="T288" s="83" t="n">
        <x:f>IFERROR(($K288+$O288)*XLOOKUP($G288,Ayarlar!$A$19:$A$28,Ayarlar!$C$19:$C$28,0)*(1+Ayarlar!$B$11),0)</x:f>
        <x:v>0</x:v>
      </x:c>
      <x:c r="U288" s="83" t="n">
        <x:f>IFERROR($N288/60*Ayarlar!$B$8,0)</x:f>
        <x:v>0</x:v>
      </x:c>
      <x:c r="V288" s="83" t="n">
        <x:f>IF($B288&lt;&gt;"",Ayarlar!$B$12+($Q288/60*Ayarlar!$B$9),0)</x:f>
        <x:v>0</x:v>
      </x:c>
      <x:c r="W288" s="83" t="n">
        <x:f>IF($B288&lt;&gt;"",SUM($T288:$V288,$R288:$S288),0)</x:f>
        <x:v>0</x:v>
      </x:c>
      <x:c r="X288" s="83" t="n">
        <x:f>IF($B288&lt;&gt;"",$W288*Ayarlar!$B$15,0)</x:f>
        <x:v>0</x:v>
      </x:c>
      <x:c r="Y288" s="83" t="n">
        <x:f>IF($B288&lt;&gt;"",($W288+$X288)*Ayarlar!$B$13,0)</x:f>
        <x:v>0</x:v>
      </x:c>
      <x:c r="Z288" s="83" t="n">
        <x:f>IF($B288&lt;&gt;"",($W288+$X288+$Y288)*Ayarlar!$B$14,0)</x:f>
        <x:v>0</x:v>
      </x:c>
      <x:c r="AA288" s="83" t="str">
        <x:f>IF($B288="","",IF(OR($K288="",$N288=""),"",CEILING($W288+$X288+$Y288+$Z288,Ayarlar!$B$16)))</x:f>
      </x:c>
      <x:c r="AB288" s="83" t="str">
        <x:f>IFERROR($AA288/$H288,"")</x:f>
      </x:c>
      <x:c r="AC288" s="75" t="str">
        <x:f>IF($B288="","",IF(OR($K288="",$N288=""),"Veri Eksik","Fiyat Hazır"))</x:f>
      </x:c>
      <x:c r="AD288" s="75" t="str">
        <x:f>IF($C288&lt;&gt;"","MW-"&amp;$C288,"")</x:f>
        <x:v>MW-80</x:v>
      </x:c>
      <x:c r="AE288" s="75" t="str">
        <x:f>IF($G288&lt;&gt;"","3D Baskı / "&amp;$G288,"3D Baskı")</x:f>
        <x:v>3D Baskı</x:v>
      </x:c>
      <x:c r="AF288" s="75" t="str">
        <x:f>IF($D288&lt;&gt;"",$D288&amp;" - "&amp;$G288,$AD288&amp;" - "&amp;$G288)</x:f>
        <x:v>MW-80 - </x:v>
      </x:c>
      <x:c r="AG288" s="75" t="str"/>
    </x:row>
    <x:row r="289">
      <x:c r="A289" s="75" t="str">
        <x:f>IF($B289&lt;&gt;"",ROW()-4,"")</x:f>
      </x:c>
      <x:c r="B289" s="75" t="str"/>
      <x:c r="C289" s="75" t="n">
        <x:f>IFERROR(LET(x,MID($B289,FIND("/models/",$B289)+8,80),y,LEFT(x,FIND("-",x&amp;"-")-1),LEFT(y,FIND("?",y&amp;"?")-1)),"")</x:f>
        <x:v>80</x:v>
      </x:c>
      <x:c r="D289" s="75" t="str">
        <x:f>IF($B289="","",IFERROR(XLOOKUP($C289,MakerWorld_Verileri!$A:$A,MakerWorld_Verileri!$B:$B,""),""))</x:f>
      </x:c>
      <x:c r="E289" s="75" t="str">
        <x:f>IF($B289="","",IFERROR(XLOOKUP($C289,MakerWorld_Verileri!$A:$A,MakerWorld_Verileri!$C:$C,""),""))</x:f>
      </x:c>
      <x:c r="F289" s="75" t="str"/>
      <x:c r="G289" s="75" t="str">
        <x:f>IF($B289&lt;&gt;"",Ayarlar!$B$7,"")</x:f>
      </x:c>
      <x:c r="H289" s="82" t="str">
        <x:f>IF($B289&lt;&gt;"",1,"")</x:f>
      </x:c>
      <x:c r="I289" s="82" t="str">
        <x:f>IF($B289="","",IFERROR(XLOOKUP($C289,MakerWorld_Verileri!$A:$A,MakerWorld_Verileri!$D:$D,""),""))</x:f>
      </x:c>
      <x:c r="J289" s="82" t="str"/>
      <x:c r="K289" s="82" t="str">
        <x:f>IF($I289&lt;&gt;"",$I289,$J289)</x:f>
      </x:c>
      <x:c r="L289" s="82" t="str">
        <x:f>IF($B289="","",IFERROR(XLOOKUP($C289,MakerWorld_Verileri!$A:$A,MakerWorld_Verileri!$E:$E,""),""))</x:f>
      </x:c>
      <x:c r="M289" s="82" t="str"/>
      <x:c r="N289" s="82" t="str">
        <x:f>IF($L289&lt;&gt;"",$L289,$M289)</x:f>
      </x:c>
      <x:c r="O289" s="82" t="str">
        <x:f>IF($B289&lt;&gt;"",0,"")</x:f>
      </x:c>
      <x:c r="P289" s="75" t="str">
        <x:f>IF($B289&lt;&gt;"","Orta","")</x:f>
      </x:c>
      <x:c r="Q289" s="82" t="str">
        <x:f>IF($B289&lt;&gt;"",10,"")</x:f>
      </x:c>
      <x:c r="R289" s="83" t="str">
        <x:f>IF($B289&lt;&gt;"",Ayarlar!$B$10,"")</x:f>
      </x:c>
      <x:c r="S289" s="83" t="str">
        <x:f>IF($B289&lt;&gt;"",0,"")</x:f>
      </x:c>
      <x:c r="T289" s="83" t="n">
        <x:f>IFERROR(($K289+$O289)*XLOOKUP($G289,Ayarlar!$A$19:$A$28,Ayarlar!$C$19:$C$28,0)*(1+Ayarlar!$B$11),0)</x:f>
        <x:v>0</x:v>
      </x:c>
      <x:c r="U289" s="83" t="n">
        <x:f>IFERROR($N289/60*Ayarlar!$B$8,0)</x:f>
        <x:v>0</x:v>
      </x:c>
      <x:c r="V289" s="83" t="n">
        <x:f>IF($B289&lt;&gt;"",Ayarlar!$B$12+($Q289/60*Ayarlar!$B$9),0)</x:f>
        <x:v>0</x:v>
      </x:c>
      <x:c r="W289" s="83" t="n">
        <x:f>IF($B289&lt;&gt;"",SUM($T289:$V289,$R289:$S289),0)</x:f>
        <x:v>0</x:v>
      </x:c>
      <x:c r="X289" s="83" t="n">
        <x:f>IF($B289&lt;&gt;"",$W289*Ayarlar!$B$15,0)</x:f>
        <x:v>0</x:v>
      </x:c>
      <x:c r="Y289" s="83" t="n">
        <x:f>IF($B289&lt;&gt;"",($W289+$X289)*Ayarlar!$B$13,0)</x:f>
        <x:v>0</x:v>
      </x:c>
      <x:c r="Z289" s="83" t="n">
        <x:f>IF($B289&lt;&gt;"",($W289+$X289+$Y289)*Ayarlar!$B$14,0)</x:f>
        <x:v>0</x:v>
      </x:c>
      <x:c r="AA289" s="83" t="str">
        <x:f>IF($B289="","",IF(OR($K289="",$N289=""),"",CEILING($W289+$X289+$Y289+$Z289,Ayarlar!$B$16)))</x:f>
      </x:c>
      <x:c r="AB289" s="83" t="str">
        <x:f>IFERROR($AA289/$H289,"")</x:f>
      </x:c>
      <x:c r="AC289" s="75" t="str">
        <x:f>IF($B289="","",IF(OR($K289="",$N289=""),"Veri Eksik","Fiyat Hazır"))</x:f>
      </x:c>
      <x:c r="AD289" s="75" t="str">
        <x:f>IF($C289&lt;&gt;"","MW-"&amp;$C289,"")</x:f>
        <x:v>MW-80</x:v>
      </x:c>
      <x:c r="AE289" s="75" t="str">
        <x:f>IF($G289&lt;&gt;"","3D Baskı / "&amp;$G289,"3D Baskı")</x:f>
        <x:v>3D Baskı</x:v>
      </x:c>
      <x:c r="AF289" s="75" t="str">
        <x:f>IF($D289&lt;&gt;"",$D289&amp;" - "&amp;$G289,$AD289&amp;" - "&amp;$G289)</x:f>
        <x:v>MW-80 - </x:v>
      </x:c>
      <x:c r="AG289" s="75" t="str"/>
    </x:row>
    <x:row r="290">
      <x:c r="A290" s="75" t="str">
        <x:f>IF($B290&lt;&gt;"",ROW()-4,"")</x:f>
      </x:c>
      <x:c r="B290" s="75" t="str"/>
      <x:c r="C290" s="75" t="n">
        <x:f>IFERROR(LET(x,MID($B290,FIND("/models/",$B290)+8,80),y,LEFT(x,FIND("-",x&amp;"-")-1),LEFT(y,FIND("?",y&amp;"?")-1)),"")</x:f>
        <x:v>80</x:v>
      </x:c>
      <x:c r="D290" s="75" t="str">
        <x:f>IF($B290="","",IFERROR(XLOOKUP($C290,MakerWorld_Verileri!$A:$A,MakerWorld_Verileri!$B:$B,""),""))</x:f>
      </x:c>
      <x:c r="E290" s="75" t="str">
        <x:f>IF($B290="","",IFERROR(XLOOKUP($C290,MakerWorld_Verileri!$A:$A,MakerWorld_Verileri!$C:$C,""),""))</x:f>
      </x:c>
      <x:c r="F290" s="75" t="str"/>
      <x:c r="G290" s="75" t="str">
        <x:f>IF($B290&lt;&gt;"",Ayarlar!$B$7,"")</x:f>
      </x:c>
      <x:c r="H290" s="82" t="str">
        <x:f>IF($B290&lt;&gt;"",1,"")</x:f>
      </x:c>
      <x:c r="I290" s="82" t="str">
        <x:f>IF($B290="","",IFERROR(XLOOKUP($C290,MakerWorld_Verileri!$A:$A,MakerWorld_Verileri!$D:$D,""),""))</x:f>
      </x:c>
      <x:c r="J290" s="82" t="str"/>
      <x:c r="K290" s="82" t="str">
        <x:f>IF($I290&lt;&gt;"",$I290,$J290)</x:f>
      </x:c>
      <x:c r="L290" s="82" t="str">
        <x:f>IF($B290="","",IFERROR(XLOOKUP($C290,MakerWorld_Verileri!$A:$A,MakerWorld_Verileri!$E:$E,""),""))</x:f>
      </x:c>
      <x:c r="M290" s="82" t="str"/>
      <x:c r="N290" s="82" t="str">
        <x:f>IF($L290&lt;&gt;"",$L290,$M290)</x:f>
      </x:c>
      <x:c r="O290" s="82" t="str">
        <x:f>IF($B290&lt;&gt;"",0,"")</x:f>
      </x:c>
      <x:c r="P290" s="75" t="str">
        <x:f>IF($B290&lt;&gt;"","Orta","")</x:f>
      </x:c>
      <x:c r="Q290" s="82" t="str">
        <x:f>IF($B290&lt;&gt;"",10,"")</x:f>
      </x:c>
      <x:c r="R290" s="83" t="str">
        <x:f>IF($B290&lt;&gt;"",Ayarlar!$B$10,"")</x:f>
      </x:c>
      <x:c r="S290" s="83" t="str">
        <x:f>IF($B290&lt;&gt;"",0,"")</x:f>
      </x:c>
      <x:c r="T290" s="83" t="n">
        <x:f>IFERROR(($K290+$O290)*XLOOKUP($G290,Ayarlar!$A$19:$A$28,Ayarlar!$C$19:$C$28,0)*(1+Ayarlar!$B$11),0)</x:f>
        <x:v>0</x:v>
      </x:c>
      <x:c r="U290" s="83" t="n">
        <x:f>IFERROR($N290/60*Ayarlar!$B$8,0)</x:f>
        <x:v>0</x:v>
      </x:c>
      <x:c r="V290" s="83" t="n">
        <x:f>IF($B290&lt;&gt;"",Ayarlar!$B$12+($Q290/60*Ayarlar!$B$9),0)</x:f>
        <x:v>0</x:v>
      </x:c>
      <x:c r="W290" s="83" t="n">
        <x:f>IF($B290&lt;&gt;"",SUM($T290:$V290,$R290:$S290),0)</x:f>
        <x:v>0</x:v>
      </x:c>
      <x:c r="X290" s="83" t="n">
        <x:f>IF($B290&lt;&gt;"",$W290*Ayarlar!$B$15,0)</x:f>
        <x:v>0</x:v>
      </x:c>
      <x:c r="Y290" s="83" t="n">
        <x:f>IF($B290&lt;&gt;"",($W290+$X290)*Ayarlar!$B$13,0)</x:f>
        <x:v>0</x:v>
      </x:c>
      <x:c r="Z290" s="83" t="n">
        <x:f>IF($B290&lt;&gt;"",($W290+$X290+$Y290)*Ayarlar!$B$14,0)</x:f>
        <x:v>0</x:v>
      </x:c>
      <x:c r="AA290" s="83" t="str">
        <x:f>IF($B290="","",IF(OR($K290="",$N290=""),"",CEILING($W290+$X290+$Y290+$Z290,Ayarlar!$B$16)))</x:f>
      </x:c>
      <x:c r="AB290" s="83" t="str">
        <x:f>IFERROR($AA290/$H290,"")</x:f>
      </x:c>
      <x:c r="AC290" s="75" t="str">
        <x:f>IF($B290="","",IF(OR($K290="",$N290=""),"Veri Eksik","Fiyat Hazır"))</x:f>
      </x:c>
      <x:c r="AD290" s="75" t="str">
        <x:f>IF($C290&lt;&gt;"","MW-"&amp;$C290,"")</x:f>
        <x:v>MW-80</x:v>
      </x:c>
      <x:c r="AE290" s="75" t="str">
        <x:f>IF($G290&lt;&gt;"","3D Baskı / "&amp;$G290,"3D Baskı")</x:f>
        <x:v>3D Baskı</x:v>
      </x:c>
      <x:c r="AF290" s="75" t="str">
        <x:f>IF($D290&lt;&gt;"",$D290&amp;" - "&amp;$G290,$AD290&amp;" - "&amp;$G290)</x:f>
        <x:v>MW-80 - </x:v>
      </x:c>
      <x:c r="AG290" s="75" t="str"/>
    </x:row>
    <x:row r="291">
      <x:c r="A291" s="75" t="str">
        <x:f>IF($B291&lt;&gt;"",ROW()-4,"")</x:f>
      </x:c>
      <x:c r="B291" s="75" t="str"/>
      <x:c r="C291" s="75" t="n">
        <x:f>IFERROR(LET(x,MID($B291,FIND("/models/",$B291)+8,80),y,LEFT(x,FIND("-",x&amp;"-")-1),LEFT(y,FIND("?",y&amp;"?")-1)),"")</x:f>
        <x:v>80</x:v>
      </x:c>
      <x:c r="D291" s="75" t="str">
        <x:f>IF($B291="","",IFERROR(XLOOKUP($C291,MakerWorld_Verileri!$A:$A,MakerWorld_Verileri!$B:$B,""),""))</x:f>
      </x:c>
      <x:c r="E291" s="75" t="str">
        <x:f>IF($B291="","",IFERROR(XLOOKUP($C291,MakerWorld_Verileri!$A:$A,MakerWorld_Verileri!$C:$C,""),""))</x:f>
      </x:c>
      <x:c r="F291" s="75" t="str"/>
      <x:c r="G291" s="75" t="str">
        <x:f>IF($B291&lt;&gt;"",Ayarlar!$B$7,"")</x:f>
      </x:c>
      <x:c r="H291" s="82" t="str">
        <x:f>IF($B291&lt;&gt;"",1,"")</x:f>
      </x:c>
      <x:c r="I291" s="82" t="str">
        <x:f>IF($B291="","",IFERROR(XLOOKUP($C291,MakerWorld_Verileri!$A:$A,MakerWorld_Verileri!$D:$D,""),""))</x:f>
      </x:c>
      <x:c r="J291" s="82" t="str"/>
      <x:c r="K291" s="82" t="str">
        <x:f>IF($I291&lt;&gt;"",$I291,$J291)</x:f>
      </x:c>
      <x:c r="L291" s="82" t="str">
        <x:f>IF($B291="","",IFERROR(XLOOKUP($C291,MakerWorld_Verileri!$A:$A,MakerWorld_Verileri!$E:$E,""),""))</x:f>
      </x:c>
      <x:c r="M291" s="82" t="str"/>
      <x:c r="N291" s="82" t="str">
        <x:f>IF($L291&lt;&gt;"",$L291,$M291)</x:f>
      </x:c>
      <x:c r="O291" s="82" t="str">
        <x:f>IF($B291&lt;&gt;"",0,"")</x:f>
      </x:c>
      <x:c r="P291" s="75" t="str">
        <x:f>IF($B291&lt;&gt;"","Orta","")</x:f>
      </x:c>
      <x:c r="Q291" s="82" t="str">
        <x:f>IF($B291&lt;&gt;"",10,"")</x:f>
      </x:c>
      <x:c r="R291" s="83" t="str">
        <x:f>IF($B291&lt;&gt;"",Ayarlar!$B$10,"")</x:f>
      </x:c>
      <x:c r="S291" s="83" t="str">
        <x:f>IF($B291&lt;&gt;"",0,"")</x:f>
      </x:c>
      <x:c r="T291" s="83" t="n">
        <x:f>IFERROR(($K291+$O291)*XLOOKUP($G291,Ayarlar!$A$19:$A$28,Ayarlar!$C$19:$C$28,0)*(1+Ayarlar!$B$11),0)</x:f>
        <x:v>0</x:v>
      </x:c>
      <x:c r="U291" s="83" t="n">
        <x:f>IFERROR($N291/60*Ayarlar!$B$8,0)</x:f>
        <x:v>0</x:v>
      </x:c>
      <x:c r="V291" s="83" t="n">
        <x:f>IF($B291&lt;&gt;"",Ayarlar!$B$12+($Q291/60*Ayarlar!$B$9),0)</x:f>
        <x:v>0</x:v>
      </x:c>
      <x:c r="W291" s="83" t="n">
        <x:f>IF($B291&lt;&gt;"",SUM($T291:$V291,$R291:$S291),0)</x:f>
        <x:v>0</x:v>
      </x:c>
      <x:c r="X291" s="83" t="n">
        <x:f>IF($B291&lt;&gt;"",$W291*Ayarlar!$B$15,0)</x:f>
        <x:v>0</x:v>
      </x:c>
      <x:c r="Y291" s="83" t="n">
        <x:f>IF($B291&lt;&gt;"",($W291+$X291)*Ayarlar!$B$13,0)</x:f>
        <x:v>0</x:v>
      </x:c>
      <x:c r="Z291" s="83" t="n">
        <x:f>IF($B291&lt;&gt;"",($W291+$X291+$Y291)*Ayarlar!$B$14,0)</x:f>
        <x:v>0</x:v>
      </x:c>
      <x:c r="AA291" s="83" t="str">
        <x:f>IF($B291="","",IF(OR($K291="",$N291=""),"",CEILING($W291+$X291+$Y291+$Z291,Ayarlar!$B$16)))</x:f>
      </x:c>
      <x:c r="AB291" s="83" t="str">
        <x:f>IFERROR($AA291/$H291,"")</x:f>
      </x:c>
      <x:c r="AC291" s="75" t="str">
        <x:f>IF($B291="","",IF(OR($K291="",$N291=""),"Veri Eksik","Fiyat Hazır"))</x:f>
      </x:c>
      <x:c r="AD291" s="75" t="str">
        <x:f>IF($C291&lt;&gt;"","MW-"&amp;$C291,"")</x:f>
        <x:v>MW-80</x:v>
      </x:c>
      <x:c r="AE291" s="75" t="str">
        <x:f>IF($G291&lt;&gt;"","3D Baskı / "&amp;$G291,"3D Baskı")</x:f>
        <x:v>3D Baskı</x:v>
      </x:c>
      <x:c r="AF291" s="75" t="str">
        <x:f>IF($D291&lt;&gt;"",$D291&amp;" - "&amp;$G291,$AD291&amp;" - "&amp;$G291)</x:f>
        <x:v>MW-80 - </x:v>
      </x:c>
      <x:c r="AG291" s="75" t="str"/>
    </x:row>
    <x:row r="292">
      <x:c r="A292" s="75" t="str">
        <x:f>IF($B292&lt;&gt;"",ROW()-4,"")</x:f>
      </x:c>
      <x:c r="B292" s="75" t="str"/>
      <x:c r="C292" s="75" t="n">
        <x:f>IFERROR(LET(x,MID($B292,FIND("/models/",$B292)+8,80),y,LEFT(x,FIND("-",x&amp;"-")-1),LEFT(y,FIND("?",y&amp;"?")-1)),"")</x:f>
        <x:v>80</x:v>
      </x:c>
      <x:c r="D292" s="75" t="str">
        <x:f>IF($B292="","",IFERROR(XLOOKUP($C292,MakerWorld_Verileri!$A:$A,MakerWorld_Verileri!$B:$B,""),""))</x:f>
      </x:c>
      <x:c r="E292" s="75" t="str">
        <x:f>IF($B292="","",IFERROR(XLOOKUP($C292,MakerWorld_Verileri!$A:$A,MakerWorld_Verileri!$C:$C,""),""))</x:f>
      </x:c>
      <x:c r="F292" s="75" t="str"/>
      <x:c r="G292" s="75" t="str">
        <x:f>IF($B292&lt;&gt;"",Ayarlar!$B$7,"")</x:f>
      </x:c>
      <x:c r="H292" s="82" t="str">
        <x:f>IF($B292&lt;&gt;"",1,"")</x:f>
      </x:c>
      <x:c r="I292" s="82" t="str">
        <x:f>IF($B292="","",IFERROR(XLOOKUP($C292,MakerWorld_Verileri!$A:$A,MakerWorld_Verileri!$D:$D,""),""))</x:f>
      </x:c>
      <x:c r="J292" s="82" t="str"/>
      <x:c r="K292" s="82" t="str">
        <x:f>IF($I292&lt;&gt;"",$I292,$J292)</x:f>
      </x:c>
      <x:c r="L292" s="82" t="str">
        <x:f>IF($B292="","",IFERROR(XLOOKUP($C292,MakerWorld_Verileri!$A:$A,MakerWorld_Verileri!$E:$E,""),""))</x:f>
      </x:c>
      <x:c r="M292" s="82" t="str"/>
      <x:c r="N292" s="82" t="str">
        <x:f>IF($L292&lt;&gt;"",$L292,$M292)</x:f>
      </x:c>
      <x:c r="O292" s="82" t="str">
        <x:f>IF($B292&lt;&gt;"",0,"")</x:f>
      </x:c>
      <x:c r="P292" s="75" t="str">
        <x:f>IF($B292&lt;&gt;"","Orta","")</x:f>
      </x:c>
      <x:c r="Q292" s="82" t="str">
        <x:f>IF($B292&lt;&gt;"",10,"")</x:f>
      </x:c>
      <x:c r="R292" s="83" t="str">
        <x:f>IF($B292&lt;&gt;"",Ayarlar!$B$10,"")</x:f>
      </x:c>
      <x:c r="S292" s="83" t="str">
        <x:f>IF($B292&lt;&gt;"",0,"")</x:f>
      </x:c>
      <x:c r="T292" s="83" t="n">
        <x:f>IFERROR(($K292+$O292)*XLOOKUP($G292,Ayarlar!$A$19:$A$28,Ayarlar!$C$19:$C$28,0)*(1+Ayarlar!$B$11),0)</x:f>
        <x:v>0</x:v>
      </x:c>
      <x:c r="U292" s="83" t="n">
        <x:f>IFERROR($N292/60*Ayarlar!$B$8,0)</x:f>
        <x:v>0</x:v>
      </x:c>
      <x:c r="V292" s="83" t="n">
        <x:f>IF($B292&lt;&gt;"",Ayarlar!$B$12+($Q292/60*Ayarlar!$B$9),0)</x:f>
        <x:v>0</x:v>
      </x:c>
      <x:c r="W292" s="83" t="n">
        <x:f>IF($B292&lt;&gt;"",SUM($T292:$V292,$R292:$S292),0)</x:f>
        <x:v>0</x:v>
      </x:c>
      <x:c r="X292" s="83" t="n">
        <x:f>IF($B292&lt;&gt;"",$W292*Ayarlar!$B$15,0)</x:f>
        <x:v>0</x:v>
      </x:c>
      <x:c r="Y292" s="83" t="n">
        <x:f>IF($B292&lt;&gt;"",($W292+$X292)*Ayarlar!$B$13,0)</x:f>
        <x:v>0</x:v>
      </x:c>
      <x:c r="Z292" s="83" t="n">
        <x:f>IF($B292&lt;&gt;"",($W292+$X292+$Y292)*Ayarlar!$B$14,0)</x:f>
        <x:v>0</x:v>
      </x:c>
      <x:c r="AA292" s="83" t="str">
        <x:f>IF($B292="","",IF(OR($K292="",$N292=""),"",CEILING($W292+$X292+$Y292+$Z292,Ayarlar!$B$16)))</x:f>
      </x:c>
      <x:c r="AB292" s="83" t="str">
        <x:f>IFERROR($AA292/$H292,"")</x:f>
      </x:c>
      <x:c r="AC292" s="75" t="str">
        <x:f>IF($B292="","",IF(OR($K292="",$N292=""),"Veri Eksik","Fiyat Hazır"))</x:f>
      </x:c>
      <x:c r="AD292" s="75" t="str">
        <x:f>IF($C292&lt;&gt;"","MW-"&amp;$C292,"")</x:f>
        <x:v>MW-80</x:v>
      </x:c>
      <x:c r="AE292" s="75" t="str">
        <x:f>IF($G292&lt;&gt;"","3D Baskı / "&amp;$G292,"3D Baskı")</x:f>
        <x:v>3D Baskı</x:v>
      </x:c>
      <x:c r="AF292" s="75" t="str">
        <x:f>IF($D292&lt;&gt;"",$D292&amp;" - "&amp;$G292,$AD292&amp;" - "&amp;$G292)</x:f>
        <x:v>MW-80 - </x:v>
      </x:c>
      <x:c r="AG292" s="75" t="str"/>
    </x:row>
    <x:row r="293">
      <x:c r="A293" s="75" t="str">
        <x:f>IF($B293&lt;&gt;"",ROW()-4,"")</x:f>
      </x:c>
      <x:c r="B293" s="75" t="str"/>
      <x:c r="C293" s="75" t="n">
        <x:f>IFERROR(LET(x,MID($B293,FIND("/models/",$B293)+8,80),y,LEFT(x,FIND("-",x&amp;"-")-1),LEFT(y,FIND("?",y&amp;"?")-1)),"")</x:f>
        <x:v>80</x:v>
      </x:c>
      <x:c r="D293" s="75" t="str">
        <x:f>IF($B293="","",IFERROR(XLOOKUP($C293,MakerWorld_Verileri!$A:$A,MakerWorld_Verileri!$B:$B,""),""))</x:f>
      </x:c>
      <x:c r="E293" s="75" t="str">
        <x:f>IF($B293="","",IFERROR(XLOOKUP($C293,MakerWorld_Verileri!$A:$A,MakerWorld_Verileri!$C:$C,""),""))</x:f>
      </x:c>
      <x:c r="F293" s="75" t="str"/>
      <x:c r="G293" s="75" t="str">
        <x:f>IF($B293&lt;&gt;"",Ayarlar!$B$7,"")</x:f>
      </x:c>
      <x:c r="H293" s="82" t="str">
        <x:f>IF($B293&lt;&gt;"",1,"")</x:f>
      </x:c>
      <x:c r="I293" s="82" t="str">
        <x:f>IF($B293="","",IFERROR(XLOOKUP($C293,MakerWorld_Verileri!$A:$A,MakerWorld_Verileri!$D:$D,""),""))</x:f>
      </x:c>
      <x:c r="J293" s="82" t="str"/>
      <x:c r="K293" s="82" t="str">
        <x:f>IF($I293&lt;&gt;"",$I293,$J293)</x:f>
      </x:c>
      <x:c r="L293" s="82" t="str">
        <x:f>IF($B293="","",IFERROR(XLOOKUP($C293,MakerWorld_Verileri!$A:$A,MakerWorld_Verileri!$E:$E,""),""))</x:f>
      </x:c>
      <x:c r="M293" s="82" t="str"/>
      <x:c r="N293" s="82" t="str">
        <x:f>IF($L293&lt;&gt;"",$L293,$M293)</x:f>
      </x:c>
      <x:c r="O293" s="82" t="str">
        <x:f>IF($B293&lt;&gt;"",0,"")</x:f>
      </x:c>
      <x:c r="P293" s="75" t="str">
        <x:f>IF($B293&lt;&gt;"","Orta","")</x:f>
      </x:c>
      <x:c r="Q293" s="82" t="str">
        <x:f>IF($B293&lt;&gt;"",10,"")</x:f>
      </x:c>
      <x:c r="R293" s="83" t="str">
        <x:f>IF($B293&lt;&gt;"",Ayarlar!$B$10,"")</x:f>
      </x:c>
      <x:c r="S293" s="83" t="str">
        <x:f>IF($B293&lt;&gt;"",0,"")</x:f>
      </x:c>
      <x:c r="T293" s="83" t="n">
        <x:f>IFERROR(($K293+$O293)*XLOOKUP($G293,Ayarlar!$A$19:$A$28,Ayarlar!$C$19:$C$28,0)*(1+Ayarlar!$B$11),0)</x:f>
        <x:v>0</x:v>
      </x:c>
      <x:c r="U293" s="83" t="n">
        <x:f>IFERROR($N293/60*Ayarlar!$B$8,0)</x:f>
        <x:v>0</x:v>
      </x:c>
      <x:c r="V293" s="83" t="n">
        <x:f>IF($B293&lt;&gt;"",Ayarlar!$B$12+($Q293/60*Ayarlar!$B$9),0)</x:f>
        <x:v>0</x:v>
      </x:c>
      <x:c r="W293" s="83" t="n">
        <x:f>IF($B293&lt;&gt;"",SUM($T293:$V293,$R293:$S293),0)</x:f>
        <x:v>0</x:v>
      </x:c>
      <x:c r="X293" s="83" t="n">
        <x:f>IF($B293&lt;&gt;"",$W293*Ayarlar!$B$15,0)</x:f>
        <x:v>0</x:v>
      </x:c>
      <x:c r="Y293" s="83" t="n">
        <x:f>IF($B293&lt;&gt;"",($W293+$X293)*Ayarlar!$B$13,0)</x:f>
        <x:v>0</x:v>
      </x:c>
      <x:c r="Z293" s="83" t="n">
        <x:f>IF($B293&lt;&gt;"",($W293+$X293+$Y293)*Ayarlar!$B$14,0)</x:f>
        <x:v>0</x:v>
      </x:c>
      <x:c r="AA293" s="83" t="str">
        <x:f>IF($B293="","",IF(OR($K293="",$N293=""),"",CEILING($W293+$X293+$Y293+$Z293,Ayarlar!$B$16)))</x:f>
      </x:c>
      <x:c r="AB293" s="83" t="str">
        <x:f>IFERROR($AA293/$H293,"")</x:f>
      </x:c>
      <x:c r="AC293" s="75" t="str">
        <x:f>IF($B293="","",IF(OR($K293="",$N293=""),"Veri Eksik","Fiyat Hazır"))</x:f>
      </x:c>
      <x:c r="AD293" s="75" t="str">
        <x:f>IF($C293&lt;&gt;"","MW-"&amp;$C293,"")</x:f>
        <x:v>MW-80</x:v>
      </x:c>
      <x:c r="AE293" s="75" t="str">
        <x:f>IF($G293&lt;&gt;"","3D Baskı / "&amp;$G293,"3D Baskı")</x:f>
        <x:v>3D Baskı</x:v>
      </x:c>
      <x:c r="AF293" s="75" t="str">
        <x:f>IF($D293&lt;&gt;"",$D293&amp;" - "&amp;$G293,$AD293&amp;" - "&amp;$G293)</x:f>
        <x:v>MW-80 - </x:v>
      </x:c>
      <x:c r="AG293" s="75" t="str"/>
    </x:row>
    <x:row r="294">
      <x:c r="A294" s="75" t="str">
        <x:f>IF($B294&lt;&gt;"",ROW()-4,"")</x:f>
      </x:c>
      <x:c r="B294" s="75" t="str"/>
      <x:c r="C294" s="75" t="n">
        <x:f>IFERROR(LET(x,MID($B294,FIND("/models/",$B294)+8,80),y,LEFT(x,FIND("-",x&amp;"-")-1),LEFT(y,FIND("?",y&amp;"?")-1)),"")</x:f>
        <x:v>80</x:v>
      </x:c>
      <x:c r="D294" s="75" t="str">
        <x:f>IF($B294="","",IFERROR(XLOOKUP($C294,MakerWorld_Verileri!$A:$A,MakerWorld_Verileri!$B:$B,""),""))</x:f>
      </x:c>
      <x:c r="E294" s="75" t="str">
        <x:f>IF($B294="","",IFERROR(XLOOKUP($C294,MakerWorld_Verileri!$A:$A,MakerWorld_Verileri!$C:$C,""),""))</x:f>
      </x:c>
      <x:c r="F294" s="75" t="str"/>
      <x:c r="G294" s="75" t="str">
        <x:f>IF($B294&lt;&gt;"",Ayarlar!$B$7,"")</x:f>
      </x:c>
      <x:c r="H294" s="82" t="str">
        <x:f>IF($B294&lt;&gt;"",1,"")</x:f>
      </x:c>
      <x:c r="I294" s="82" t="str">
        <x:f>IF($B294="","",IFERROR(XLOOKUP($C294,MakerWorld_Verileri!$A:$A,MakerWorld_Verileri!$D:$D,""),""))</x:f>
      </x:c>
      <x:c r="J294" s="82" t="str"/>
      <x:c r="K294" s="82" t="str">
        <x:f>IF($I294&lt;&gt;"",$I294,$J294)</x:f>
      </x:c>
      <x:c r="L294" s="82" t="str">
        <x:f>IF($B294="","",IFERROR(XLOOKUP($C294,MakerWorld_Verileri!$A:$A,MakerWorld_Verileri!$E:$E,""),""))</x:f>
      </x:c>
      <x:c r="M294" s="82" t="str"/>
      <x:c r="N294" s="82" t="str">
        <x:f>IF($L294&lt;&gt;"",$L294,$M294)</x:f>
      </x:c>
      <x:c r="O294" s="82" t="str">
        <x:f>IF($B294&lt;&gt;"",0,"")</x:f>
      </x:c>
      <x:c r="P294" s="75" t="str">
        <x:f>IF($B294&lt;&gt;"","Orta","")</x:f>
      </x:c>
      <x:c r="Q294" s="82" t="str">
        <x:f>IF($B294&lt;&gt;"",10,"")</x:f>
      </x:c>
      <x:c r="R294" s="83" t="str">
        <x:f>IF($B294&lt;&gt;"",Ayarlar!$B$10,"")</x:f>
      </x:c>
      <x:c r="S294" s="83" t="str">
        <x:f>IF($B294&lt;&gt;"",0,"")</x:f>
      </x:c>
      <x:c r="T294" s="83" t="n">
        <x:f>IFERROR(($K294+$O294)*XLOOKUP($G294,Ayarlar!$A$19:$A$28,Ayarlar!$C$19:$C$28,0)*(1+Ayarlar!$B$11),0)</x:f>
        <x:v>0</x:v>
      </x:c>
      <x:c r="U294" s="83" t="n">
        <x:f>IFERROR($N294/60*Ayarlar!$B$8,0)</x:f>
        <x:v>0</x:v>
      </x:c>
      <x:c r="V294" s="83" t="n">
        <x:f>IF($B294&lt;&gt;"",Ayarlar!$B$12+($Q294/60*Ayarlar!$B$9),0)</x:f>
        <x:v>0</x:v>
      </x:c>
      <x:c r="W294" s="83" t="n">
        <x:f>IF($B294&lt;&gt;"",SUM($T294:$V294,$R294:$S294),0)</x:f>
        <x:v>0</x:v>
      </x:c>
      <x:c r="X294" s="83" t="n">
        <x:f>IF($B294&lt;&gt;"",$W294*Ayarlar!$B$15,0)</x:f>
        <x:v>0</x:v>
      </x:c>
      <x:c r="Y294" s="83" t="n">
        <x:f>IF($B294&lt;&gt;"",($W294+$X294)*Ayarlar!$B$13,0)</x:f>
        <x:v>0</x:v>
      </x:c>
      <x:c r="Z294" s="83" t="n">
        <x:f>IF($B294&lt;&gt;"",($W294+$X294+$Y294)*Ayarlar!$B$14,0)</x:f>
        <x:v>0</x:v>
      </x:c>
      <x:c r="AA294" s="83" t="str">
        <x:f>IF($B294="","",IF(OR($K294="",$N294=""),"",CEILING($W294+$X294+$Y294+$Z294,Ayarlar!$B$16)))</x:f>
      </x:c>
      <x:c r="AB294" s="83" t="str">
        <x:f>IFERROR($AA294/$H294,"")</x:f>
      </x:c>
      <x:c r="AC294" s="75" t="str">
        <x:f>IF($B294="","",IF(OR($K294="",$N294=""),"Veri Eksik","Fiyat Hazır"))</x:f>
      </x:c>
      <x:c r="AD294" s="75" t="str">
        <x:f>IF($C294&lt;&gt;"","MW-"&amp;$C294,"")</x:f>
        <x:v>MW-80</x:v>
      </x:c>
      <x:c r="AE294" s="75" t="str">
        <x:f>IF($G294&lt;&gt;"","3D Baskı / "&amp;$G294,"3D Baskı")</x:f>
        <x:v>3D Baskı</x:v>
      </x:c>
      <x:c r="AF294" s="75" t="str">
        <x:f>IF($D294&lt;&gt;"",$D294&amp;" - "&amp;$G294,$AD294&amp;" - "&amp;$G294)</x:f>
        <x:v>MW-80 - </x:v>
      </x:c>
      <x:c r="AG294" s="75" t="str"/>
    </x:row>
    <x:row r="295">
      <x:c r="A295" s="75" t="str">
        <x:f>IF($B295&lt;&gt;"",ROW()-4,"")</x:f>
      </x:c>
      <x:c r="B295" s="75" t="str"/>
      <x:c r="C295" s="75" t="n">
        <x:f>IFERROR(LET(x,MID($B295,FIND("/models/",$B295)+8,80),y,LEFT(x,FIND("-",x&amp;"-")-1),LEFT(y,FIND("?",y&amp;"?")-1)),"")</x:f>
        <x:v>80</x:v>
      </x:c>
      <x:c r="D295" s="75" t="str">
        <x:f>IF($B295="","",IFERROR(XLOOKUP($C295,MakerWorld_Verileri!$A:$A,MakerWorld_Verileri!$B:$B,""),""))</x:f>
      </x:c>
      <x:c r="E295" s="75" t="str">
        <x:f>IF($B295="","",IFERROR(XLOOKUP($C295,MakerWorld_Verileri!$A:$A,MakerWorld_Verileri!$C:$C,""),""))</x:f>
      </x:c>
      <x:c r="F295" s="75" t="str"/>
      <x:c r="G295" s="75" t="str">
        <x:f>IF($B295&lt;&gt;"",Ayarlar!$B$7,"")</x:f>
      </x:c>
      <x:c r="H295" s="82" t="str">
        <x:f>IF($B295&lt;&gt;"",1,"")</x:f>
      </x:c>
      <x:c r="I295" s="82" t="str">
        <x:f>IF($B295="","",IFERROR(XLOOKUP($C295,MakerWorld_Verileri!$A:$A,MakerWorld_Verileri!$D:$D,""),""))</x:f>
      </x:c>
      <x:c r="J295" s="82" t="str"/>
      <x:c r="K295" s="82" t="str">
        <x:f>IF($I295&lt;&gt;"",$I295,$J295)</x:f>
      </x:c>
      <x:c r="L295" s="82" t="str">
        <x:f>IF($B295="","",IFERROR(XLOOKUP($C295,MakerWorld_Verileri!$A:$A,MakerWorld_Verileri!$E:$E,""),""))</x:f>
      </x:c>
      <x:c r="M295" s="82" t="str"/>
      <x:c r="N295" s="82" t="str">
        <x:f>IF($L295&lt;&gt;"",$L295,$M295)</x:f>
      </x:c>
      <x:c r="O295" s="82" t="str">
        <x:f>IF($B295&lt;&gt;"",0,"")</x:f>
      </x:c>
      <x:c r="P295" s="75" t="str">
        <x:f>IF($B295&lt;&gt;"","Orta","")</x:f>
      </x:c>
      <x:c r="Q295" s="82" t="str">
        <x:f>IF($B295&lt;&gt;"",10,"")</x:f>
      </x:c>
      <x:c r="R295" s="83" t="str">
        <x:f>IF($B295&lt;&gt;"",Ayarlar!$B$10,"")</x:f>
      </x:c>
      <x:c r="S295" s="83" t="str">
        <x:f>IF($B295&lt;&gt;"",0,"")</x:f>
      </x:c>
      <x:c r="T295" s="83" t="n">
        <x:f>IFERROR(($K295+$O295)*XLOOKUP($G295,Ayarlar!$A$19:$A$28,Ayarlar!$C$19:$C$28,0)*(1+Ayarlar!$B$11),0)</x:f>
        <x:v>0</x:v>
      </x:c>
      <x:c r="U295" s="83" t="n">
        <x:f>IFERROR($N295/60*Ayarlar!$B$8,0)</x:f>
        <x:v>0</x:v>
      </x:c>
      <x:c r="V295" s="83" t="n">
        <x:f>IF($B295&lt;&gt;"",Ayarlar!$B$12+($Q295/60*Ayarlar!$B$9),0)</x:f>
        <x:v>0</x:v>
      </x:c>
      <x:c r="W295" s="83" t="n">
        <x:f>IF($B295&lt;&gt;"",SUM($T295:$V295,$R295:$S295),0)</x:f>
        <x:v>0</x:v>
      </x:c>
      <x:c r="X295" s="83" t="n">
        <x:f>IF($B295&lt;&gt;"",$W295*Ayarlar!$B$15,0)</x:f>
        <x:v>0</x:v>
      </x:c>
      <x:c r="Y295" s="83" t="n">
        <x:f>IF($B295&lt;&gt;"",($W295+$X295)*Ayarlar!$B$13,0)</x:f>
        <x:v>0</x:v>
      </x:c>
      <x:c r="Z295" s="83" t="n">
        <x:f>IF($B295&lt;&gt;"",($W295+$X295+$Y295)*Ayarlar!$B$14,0)</x:f>
        <x:v>0</x:v>
      </x:c>
      <x:c r="AA295" s="83" t="str">
        <x:f>IF($B295="","",IF(OR($K295="",$N295=""),"",CEILING($W295+$X295+$Y295+$Z295,Ayarlar!$B$16)))</x:f>
      </x:c>
      <x:c r="AB295" s="83" t="str">
        <x:f>IFERROR($AA295/$H295,"")</x:f>
      </x:c>
      <x:c r="AC295" s="75" t="str">
        <x:f>IF($B295="","",IF(OR($K295="",$N295=""),"Veri Eksik","Fiyat Hazır"))</x:f>
      </x:c>
      <x:c r="AD295" s="75" t="str">
        <x:f>IF($C295&lt;&gt;"","MW-"&amp;$C295,"")</x:f>
        <x:v>MW-80</x:v>
      </x:c>
      <x:c r="AE295" s="75" t="str">
        <x:f>IF($G295&lt;&gt;"","3D Baskı / "&amp;$G295,"3D Baskı")</x:f>
        <x:v>3D Baskı</x:v>
      </x:c>
      <x:c r="AF295" s="75" t="str">
        <x:f>IF($D295&lt;&gt;"",$D295&amp;" - "&amp;$G295,$AD295&amp;" - "&amp;$G295)</x:f>
        <x:v>MW-80 - </x:v>
      </x:c>
      <x:c r="AG295" s="75" t="str"/>
    </x:row>
    <x:row r="296">
      <x:c r="A296" s="75" t="str">
        <x:f>IF($B296&lt;&gt;"",ROW()-4,"")</x:f>
      </x:c>
      <x:c r="B296" s="75" t="str"/>
      <x:c r="C296" s="75" t="n">
        <x:f>IFERROR(LET(x,MID($B296,FIND("/models/",$B296)+8,80),y,LEFT(x,FIND("-",x&amp;"-")-1),LEFT(y,FIND("?",y&amp;"?")-1)),"")</x:f>
        <x:v>80</x:v>
      </x:c>
      <x:c r="D296" s="75" t="str">
        <x:f>IF($B296="","",IFERROR(XLOOKUP($C296,MakerWorld_Verileri!$A:$A,MakerWorld_Verileri!$B:$B,""),""))</x:f>
      </x:c>
      <x:c r="E296" s="75" t="str">
        <x:f>IF($B296="","",IFERROR(XLOOKUP($C296,MakerWorld_Verileri!$A:$A,MakerWorld_Verileri!$C:$C,""),""))</x:f>
      </x:c>
      <x:c r="F296" s="75" t="str"/>
      <x:c r="G296" s="75" t="str">
        <x:f>IF($B296&lt;&gt;"",Ayarlar!$B$7,"")</x:f>
      </x:c>
      <x:c r="H296" s="82" t="str">
        <x:f>IF($B296&lt;&gt;"",1,"")</x:f>
      </x:c>
      <x:c r="I296" s="82" t="str">
        <x:f>IF($B296="","",IFERROR(XLOOKUP($C296,MakerWorld_Verileri!$A:$A,MakerWorld_Verileri!$D:$D,""),""))</x:f>
      </x:c>
      <x:c r="J296" s="82" t="str"/>
      <x:c r="K296" s="82" t="str">
        <x:f>IF($I296&lt;&gt;"",$I296,$J296)</x:f>
      </x:c>
      <x:c r="L296" s="82" t="str">
        <x:f>IF($B296="","",IFERROR(XLOOKUP($C296,MakerWorld_Verileri!$A:$A,MakerWorld_Verileri!$E:$E,""),""))</x:f>
      </x:c>
      <x:c r="M296" s="82" t="str"/>
      <x:c r="N296" s="82" t="str">
        <x:f>IF($L296&lt;&gt;"",$L296,$M296)</x:f>
      </x:c>
      <x:c r="O296" s="82" t="str">
        <x:f>IF($B296&lt;&gt;"",0,"")</x:f>
      </x:c>
      <x:c r="P296" s="75" t="str">
        <x:f>IF($B296&lt;&gt;"","Orta","")</x:f>
      </x:c>
      <x:c r="Q296" s="82" t="str">
        <x:f>IF($B296&lt;&gt;"",10,"")</x:f>
      </x:c>
      <x:c r="R296" s="83" t="str">
        <x:f>IF($B296&lt;&gt;"",Ayarlar!$B$10,"")</x:f>
      </x:c>
      <x:c r="S296" s="83" t="str">
        <x:f>IF($B296&lt;&gt;"",0,"")</x:f>
      </x:c>
      <x:c r="T296" s="83" t="n">
        <x:f>IFERROR(($K296+$O296)*XLOOKUP($G296,Ayarlar!$A$19:$A$28,Ayarlar!$C$19:$C$28,0)*(1+Ayarlar!$B$11),0)</x:f>
        <x:v>0</x:v>
      </x:c>
      <x:c r="U296" s="83" t="n">
        <x:f>IFERROR($N296/60*Ayarlar!$B$8,0)</x:f>
        <x:v>0</x:v>
      </x:c>
      <x:c r="V296" s="83" t="n">
        <x:f>IF($B296&lt;&gt;"",Ayarlar!$B$12+($Q296/60*Ayarlar!$B$9),0)</x:f>
        <x:v>0</x:v>
      </x:c>
      <x:c r="W296" s="83" t="n">
        <x:f>IF($B296&lt;&gt;"",SUM($T296:$V296,$R296:$S296),0)</x:f>
        <x:v>0</x:v>
      </x:c>
      <x:c r="X296" s="83" t="n">
        <x:f>IF($B296&lt;&gt;"",$W296*Ayarlar!$B$15,0)</x:f>
        <x:v>0</x:v>
      </x:c>
      <x:c r="Y296" s="83" t="n">
        <x:f>IF($B296&lt;&gt;"",($W296+$X296)*Ayarlar!$B$13,0)</x:f>
        <x:v>0</x:v>
      </x:c>
      <x:c r="Z296" s="83" t="n">
        <x:f>IF($B296&lt;&gt;"",($W296+$X296+$Y296)*Ayarlar!$B$14,0)</x:f>
        <x:v>0</x:v>
      </x:c>
      <x:c r="AA296" s="83" t="str">
        <x:f>IF($B296="","",IF(OR($K296="",$N296=""),"",CEILING($W296+$X296+$Y296+$Z296,Ayarlar!$B$16)))</x:f>
      </x:c>
      <x:c r="AB296" s="83" t="str">
        <x:f>IFERROR($AA296/$H296,"")</x:f>
      </x:c>
      <x:c r="AC296" s="75" t="str">
        <x:f>IF($B296="","",IF(OR($K296="",$N296=""),"Veri Eksik","Fiyat Hazır"))</x:f>
      </x:c>
      <x:c r="AD296" s="75" t="str">
        <x:f>IF($C296&lt;&gt;"","MW-"&amp;$C296,"")</x:f>
        <x:v>MW-80</x:v>
      </x:c>
      <x:c r="AE296" s="75" t="str">
        <x:f>IF($G296&lt;&gt;"","3D Baskı / "&amp;$G296,"3D Baskı")</x:f>
        <x:v>3D Baskı</x:v>
      </x:c>
      <x:c r="AF296" s="75" t="str">
        <x:f>IF($D296&lt;&gt;"",$D296&amp;" - "&amp;$G296,$AD296&amp;" - "&amp;$G296)</x:f>
        <x:v>MW-80 - </x:v>
      </x:c>
      <x:c r="AG296" s="75" t="str"/>
    </x:row>
    <x:row r="297">
      <x:c r="A297" s="75" t="str">
        <x:f>IF($B297&lt;&gt;"",ROW()-4,"")</x:f>
      </x:c>
      <x:c r="B297" s="75" t="str"/>
      <x:c r="C297" s="75" t="n">
        <x:f>IFERROR(LET(x,MID($B297,FIND("/models/",$B297)+8,80),y,LEFT(x,FIND("-",x&amp;"-")-1),LEFT(y,FIND("?",y&amp;"?")-1)),"")</x:f>
        <x:v>80</x:v>
      </x:c>
      <x:c r="D297" s="75" t="str">
        <x:f>IF($B297="","",IFERROR(XLOOKUP($C297,MakerWorld_Verileri!$A:$A,MakerWorld_Verileri!$B:$B,""),""))</x:f>
      </x:c>
      <x:c r="E297" s="75" t="str">
        <x:f>IF($B297="","",IFERROR(XLOOKUP($C297,MakerWorld_Verileri!$A:$A,MakerWorld_Verileri!$C:$C,""),""))</x:f>
      </x:c>
      <x:c r="F297" s="75" t="str"/>
      <x:c r="G297" s="75" t="str">
        <x:f>IF($B297&lt;&gt;"",Ayarlar!$B$7,"")</x:f>
      </x:c>
      <x:c r="H297" s="82" t="str">
        <x:f>IF($B297&lt;&gt;"",1,"")</x:f>
      </x:c>
      <x:c r="I297" s="82" t="str">
        <x:f>IF($B297="","",IFERROR(XLOOKUP($C297,MakerWorld_Verileri!$A:$A,MakerWorld_Verileri!$D:$D,""),""))</x:f>
      </x:c>
      <x:c r="J297" s="82" t="str"/>
      <x:c r="K297" s="82" t="str">
        <x:f>IF($I297&lt;&gt;"",$I297,$J297)</x:f>
      </x:c>
      <x:c r="L297" s="82" t="str">
        <x:f>IF($B297="","",IFERROR(XLOOKUP($C297,MakerWorld_Verileri!$A:$A,MakerWorld_Verileri!$E:$E,""),""))</x:f>
      </x:c>
      <x:c r="M297" s="82" t="str"/>
      <x:c r="N297" s="82" t="str">
        <x:f>IF($L297&lt;&gt;"",$L297,$M297)</x:f>
      </x:c>
      <x:c r="O297" s="82" t="str">
        <x:f>IF($B297&lt;&gt;"",0,"")</x:f>
      </x:c>
      <x:c r="P297" s="75" t="str">
        <x:f>IF($B297&lt;&gt;"","Orta","")</x:f>
      </x:c>
      <x:c r="Q297" s="82" t="str">
        <x:f>IF($B297&lt;&gt;"",10,"")</x:f>
      </x:c>
      <x:c r="R297" s="83" t="str">
        <x:f>IF($B297&lt;&gt;"",Ayarlar!$B$10,"")</x:f>
      </x:c>
      <x:c r="S297" s="83" t="str">
        <x:f>IF($B297&lt;&gt;"",0,"")</x:f>
      </x:c>
      <x:c r="T297" s="83" t="n">
        <x:f>IFERROR(($K297+$O297)*XLOOKUP($G297,Ayarlar!$A$19:$A$28,Ayarlar!$C$19:$C$28,0)*(1+Ayarlar!$B$11),0)</x:f>
        <x:v>0</x:v>
      </x:c>
      <x:c r="U297" s="83" t="n">
        <x:f>IFERROR($N297/60*Ayarlar!$B$8,0)</x:f>
        <x:v>0</x:v>
      </x:c>
      <x:c r="V297" s="83" t="n">
        <x:f>IF($B297&lt;&gt;"",Ayarlar!$B$12+($Q297/60*Ayarlar!$B$9),0)</x:f>
        <x:v>0</x:v>
      </x:c>
      <x:c r="W297" s="83" t="n">
        <x:f>IF($B297&lt;&gt;"",SUM($T297:$V297,$R297:$S297),0)</x:f>
        <x:v>0</x:v>
      </x:c>
      <x:c r="X297" s="83" t="n">
        <x:f>IF($B297&lt;&gt;"",$W297*Ayarlar!$B$15,0)</x:f>
        <x:v>0</x:v>
      </x:c>
      <x:c r="Y297" s="83" t="n">
        <x:f>IF($B297&lt;&gt;"",($W297+$X297)*Ayarlar!$B$13,0)</x:f>
        <x:v>0</x:v>
      </x:c>
      <x:c r="Z297" s="83" t="n">
        <x:f>IF($B297&lt;&gt;"",($W297+$X297+$Y297)*Ayarlar!$B$14,0)</x:f>
        <x:v>0</x:v>
      </x:c>
      <x:c r="AA297" s="83" t="str">
        <x:f>IF($B297="","",IF(OR($K297="",$N297=""),"",CEILING($W297+$X297+$Y297+$Z297,Ayarlar!$B$16)))</x:f>
      </x:c>
      <x:c r="AB297" s="83" t="str">
        <x:f>IFERROR($AA297/$H297,"")</x:f>
      </x:c>
      <x:c r="AC297" s="75" t="str">
        <x:f>IF($B297="","",IF(OR($K297="",$N297=""),"Veri Eksik","Fiyat Hazır"))</x:f>
      </x:c>
      <x:c r="AD297" s="75" t="str">
        <x:f>IF($C297&lt;&gt;"","MW-"&amp;$C297,"")</x:f>
        <x:v>MW-80</x:v>
      </x:c>
      <x:c r="AE297" s="75" t="str">
        <x:f>IF($G297&lt;&gt;"","3D Baskı / "&amp;$G297,"3D Baskı")</x:f>
        <x:v>3D Baskı</x:v>
      </x:c>
      <x:c r="AF297" s="75" t="str">
        <x:f>IF($D297&lt;&gt;"",$D297&amp;" - "&amp;$G297,$AD297&amp;" - "&amp;$G297)</x:f>
        <x:v>MW-80 - </x:v>
      </x:c>
      <x:c r="AG297" s="75" t="str"/>
    </x:row>
    <x:row r="298">
      <x:c r="A298" s="75" t="str">
        <x:f>IF($B298&lt;&gt;"",ROW()-4,"")</x:f>
      </x:c>
      <x:c r="B298" s="75" t="str"/>
      <x:c r="C298" s="75" t="n">
        <x:f>IFERROR(LET(x,MID($B298,FIND("/models/",$B298)+8,80),y,LEFT(x,FIND("-",x&amp;"-")-1),LEFT(y,FIND("?",y&amp;"?")-1)),"")</x:f>
        <x:v>80</x:v>
      </x:c>
      <x:c r="D298" s="75" t="str">
        <x:f>IF($B298="","",IFERROR(XLOOKUP($C298,MakerWorld_Verileri!$A:$A,MakerWorld_Verileri!$B:$B,""),""))</x:f>
      </x:c>
      <x:c r="E298" s="75" t="str">
        <x:f>IF($B298="","",IFERROR(XLOOKUP($C298,MakerWorld_Verileri!$A:$A,MakerWorld_Verileri!$C:$C,""),""))</x:f>
      </x:c>
      <x:c r="F298" s="75" t="str"/>
      <x:c r="G298" s="75" t="str">
        <x:f>IF($B298&lt;&gt;"",Ayarlar!$B$7,"")</x:f>
      </x:c>
      <x:c r="H298" s="82" t="str">
        <x:f>IF($B298&lt;&gt;"",1,"")</x:f>
      </x:c>
      <x:c r="I298" s="82" t="str">
        <x:f>IF($B298="","",IFERROR(XLOOKUP($C298,MakerWorld_Verileri!$A:$A,MakerWorld_Verileri!$D:$D,""),""))</x:f>
      </x:c>
      <x:c r="J298" s="82" t="str"/>
      <x:c r="K298" s="82" t="str">
        <x:f>IF($I298&lt;&gt;"",$I298,$J298)</x:f>
      </x:c>
      <x:c r="L298" s="82" t="str">
        <x:f>IF($B298="","",IFERROR(XLOOKUP($C298,MakerWorld_Verileri!$A:$A,MakerWorld_Verileri!$E:$E,""),""))</x:f>
      </x:c>
      <x:c r="M298" s="82" t="str"/>
      <x:c r="N298" s="82" t="str">
        <x:f>IF($L298&lt;&gt;"",$L298,$M298)</x:f>
      </x:c>
      <x:c r="O298" s="82" t="str">
        <x:f>IF($B298&lt;&gt;"",0,"")</x:f>
      </x:c>
      <x:c r="P298" s="75" t="str">
        <x:f>IF($B298&lt;&gt;"","Orta","")</x:f>
      </x:c>
      <x:c r="Q298" s="82" t="str">
        <x:f>IF($B298&lt;&gt;"",10,"")</x:f>
      </x:c>
      <x:c r="R298" s="83" t="str">
        <x:f>IF($B298&lt;&gt;"",Ayarlar!$B$10,"")</x:f>
      </x:c>
      <x:c r="S298" s="83" t="str">
        <x:f>IF($B298&lt;&gt;"",0,"")</x:f>
      </x:c>
      <x:c r="T298" s="83" t="n">
        <x:f>IFERROR(($K298+$O298)*XLOOKUP($G298,Ayarlar!$A$19:$A$28,Ayarlar!$C$19:$C$28,0)*(1+Ayarlar!$B$11),0)</x:f>
        <x:v>0</x:v>
      </x:c>
      <x:c r="U298" s="83" t="n">
        <x:f>IFERROR($N298/60*Ayarlar!$B$8,0)</x:f>
        <x:v>0</x:v>
      </x:c>
      <x:c r="V298" s="83" t="n">
        <x:f>IF($B298&lt;&gt;"",Ayarlar!$B$12+($Q298/60*Ayarlar!$B$9),0)</x:f>
        <x:v>0</x:v>
      </x:c>
      <x:c r="W298" s="83" t="n">
        <x:f>IF($B298&lt;&gt;"",SUM($T298:$V298,$R298:$S298),0)</x:f>
        <x:v>0</x:v>
      </x:c>
      <x:c r="X298" s="83" t="n">
        <x:f>IF($B298&lt;&gt;"",$W298*Ayarlar!$B$15,0)</x:f>
        <x:v>0</x:v>
      </x:c>
      <x:c r="Y298" s="83" t="n">
        <x:f>IF($B298&lt;&gt;"",($W298+$X298)*Ayarlar!$B$13,0)</x:f>
        <x:v>0</x:v>
      </x:c>
      <x:c r="Z298" s="83" t="n">
        <x:f>IF($B298&lt;&gt;"",($W298+$X298+$Y298)*Ayarlar!$B$14,0)</x:f>
        <x:v>0</x:v>
      </x:c>
      <x:c r="AA298" s="83" t="str">
        <x:f>IF($B298="","",IF(OR($K298="",$N298=""),"",CEILING($W298+$X298+$Y298+$Z298,Ayarlar!$B$16)))</x:f>
      </x:c>
      <x:c r="AB298" s="83" t="str">
        <x:f>IFERROR($AA298/$H298,"")</x:f>
      </x:c>
      <x:c r="AC298" s="75" t="str">
        <x:f>IF($B298="","",IF(OR($K298="",$N298=""),"Veri Eksik","Fiyat Hazır"))</x:f>
      </x:c>
      <x:c r="AD298" s="75" t="str">
        <x:f>IF($C298&lt;&gt;"","MW-"&amp;$C298,"")</x:f>
        <x:v>MW-80</x:v>
      </x:c>
      <x:c r="AE298" s="75" t="str">
        <x:f>IF($G298&lt;&gt;"","3D Baskı / "&amp;$G298,"3D Baskı")</x:f>
        <x:v>3D Baskı</x:v>
      </x:c>
      <x:c r="AF298" s="75" t="str">
        <x:f>IF($D298&lt;&gt;"",$D298&amp;" - "&amp;$G298,$AD298&amp;" - "&amp;$G298)</x:f>
        <x:v>MW-80 - </x:v>
      </x:c>
      <x:c r="AG298" s="75" t="str"/>
    </x:row>
    <x:row r="299">
      <x:c r="A299" s="75" t="str">
        <x:f>IF($B299&lt;&gt;"",ROW()-4,"")</x:f>
      </x:c>
      <x:c r="B299" s="75" t="str"/>
      <x:c r="C299" s="75" t="n">
        <x:f>IFERROR(LET(x,MID($B299,FIND("/models/",$B299)+8,80),y,LEFT(x,FIND("-",x&amp;"-")-1),LEFT(y,FIND("?",y&amp;"?")-1)),"")</x:f>
        <x:v>80</x:v>
      </x:c>
      <x:c r="D299" s="75" t="str">
        <x:f>IF($B299="","",IFERROR(XLOOKUP($C299,MakerWorld_Verileri!$A:$A,MakerWorld_Verileri!$B:$B,""),""))</x:f>
      </x:c>
      <x:c r="E299" s="75" t="str">
        <x:f>IF($B299="","",IFERROR(XLOOKUP($C299,MakerWorld_Verileri!$A:$A,MakerWorld_Verileri!$C:$C,""),""))</x:f>
      </x:c>
      <x:c r="F299" s="75" t="str"/>
      <x:c r="G299" s="75" t="str">
        <x:f>IF($B299&lt;&gt;"",Ayarlar!$B$7,"")</x:f>
      </x:c>
      <x:c r="H299" s="82" t="str">
        <x:f>IF($B299&lt;&gt;"",1,"")</x:f>
      </x:c>
      <x:c r="I299" s="82" t="str">
        <x:f>IF($B299="","",IFERROR(XLOOKUP($C299,MakerWorld_Verileri!$A:$A,MakerWorld_Verileri!$D:$D,""),""))</x:f>
      </x:c>
      <x:c r="J299" s="82" t="str"/>
      <x:c r="K299" s="82" t="str">
        <x:f>IF($I299&lt;&gt;"",$I299,$J299)</x:f>
      </x:c>
      <x:c r="L299" s="82" t="str">
        <x:f>IF($B299="","",IFERROR(XLOOKUP($C299,MakerWorld_Verileri!$A:$A,MakerWorld_Verileri!$E:$E,""),""))</x:f>
      </x:c>
      <x:c r="M299" s="82" t="str"/>
      <x:c r="N299" s="82" t="str">
        <x:f>IF($L299&lt;&gt;"",$L299,$M299)</x:f>
      </x:c>
      <x:c r="O299" s="82" t="str">
        <x:f>IF($B299&lt;&gt;"",0,"")</x:f>
      </x:c>
      <x:c r="P299" s="75" t="str">
        <x:f>IF($B299&lt;&gt;"","Orta","")</x:f>
      </x:c>
      <x:c r="Q299" s="82" t="str">
        <x:f>IF($B299&lt;&gt;"",10,"")</x:f>
      </x:c>
      <x:c r="R299" s="83" t="str">
        <x:f>IF($B299&lt;&gt;"",Ayarlar!$B$10,"")</x:f>
      </x:c>
      <x:c r="S299" s="83" t="str">
        <x:f>IF($B299&lt;&gt;"",0,"")</x:f>
      </x:c>
      <x:c r="T299" s="83" t="n">
        <x:f>IFERROR(($K299+$O299)*XLOOKUP($G299,Ayarlar!$A$19:$A$28,Ayarlar!$C$19:$C$28,0)*(1+Ayarlar!$B$11),0)</x:f>
        <x:v>0</x:v>
      </x:c>
      <x:c r="U299" s="83" t="n">
        <x:f>IFERROR($N299/60*Ayarlar!$B$8,0)</x:f>
        <x:v>0</x:v>
      </x:c>
      <x:c r="V299" s="83" t="n">
        <x:f>IF($B299&lt;&gt;"",Ayarlar!$B$12+($Q299/60*Ayarlar!$B$9),0)</x:f>
        <x:v>0</x:v>
      </x:c>
      <x:c r="W299" s="83" t="n">
        <x:f>IF($B299&lt;&gt;"",SUM($T299:$V299,$R299:$S299),0)</x:f>
        <x:v>0</x:v>
      </x:c>
      <x:c r="X299" s="83" t="n">
        <x:f>IF($B299&lt;&gt;"",$W299*Ayarlar!$B$15,0)</x:f>
        <x:v>0</x:v>
      </x:c>
      <x:c r="Y299" s="83" t="n">
        <x:f>IF($B299&lt;&gt;"",($W299+$X299)*Ayarlar!$B$13,0)</x:f>
        <x:v>0</x:v>
      </x:c>
      <x:c r="Z299" s="83" t="n">
        <x:f>IF($B299&lt;&gt;"",($W299+$X299+$Y299)*Ayarlar!$B$14,0)</x:f>
        <x:v>0</x:v>
      </x:c>
      <x:c r="AA299" s="83" t="str">
        <x:f>IF($B299="","",IF(OR($K299="",$N299=""),"",CEILING($W299+$X299+$Y299+$Z299,Ayarlar!$B$16)))</x:f>
      </x:c>
      <x:c r="AB299" s="83" t="str">
        <x:f>IFERROR($AA299/$H299,"")</x:f>
      </x:c>
      <x:c r="AC299" s="75" t="str">
        <x:f>IF($B299="","",IF(OR($K299="",$N299=""),"Veri Eksik","Fiyat Hazır"))</x:f>
      </x:c>
      <x:c r="AD299" s="75" t="str">
        <x:f>IF($C299&lt;&gt;"","MW-"&amp;$C299,"")</x:f>
        <x:v>MW-80</x:v>
      </x:c>
      <x:c r="AE299" s="75" t="str">
        <x:f>IF($G299&lt;&gt;"","3D Baskı / "&amp;$G299,"3D Baskı")</x:f>
        <x:v>3D Baskı</x:v>
      </x:c>
      <x:c r="AF299" s="75" t="str">
        <x:f>IF($D299&lt;&gt;"",$D299&amp;" - "&amp;$G299,$AD299&amp;" - "&amp;$G299)</x:f>
        <x:v>MW-80 - </x:v>
      </x:c>
      <x:c r="AG299" s="75" t="str"/>
    </x:row>
    <x:row r="300">
      <x:c r="A300" s="75" t="str">
        <x:f>IF($B300&lt;&gt;"",ROW()-4,"")</x:f>
      </x:c>
      <x:c r="B300" s="75" t="str"/>
      <x:c r="C300" s="75" t="n">
        <x:f>IFERROR(LET(x,MID($B300,FIND("/models/",$B300)+8,80),y,LEFT(x,FIND("-",x&amp;"-")-1),LEFT(y,FIND("?",y&amp;"?")-1)),"")</x:f>
        <x:v>80</x:v>
      </x:c>
      <x:c r="D300" s="75" t="str">
        <x:f>IF($B300="","",IFERROR(XLOOKUP($C300,MakerWorld_Verileri!$A:$A,MakerWorld_Verileri!$B:$B,""),""))</x:f>
      </x:c>
      <x:c r="E300" s="75" t="str">
        <x:f>IF($B300="","",IFERROR(XLOOKUP($C300,MakerWorld_Verileri!$A:$A,MakerWorld_Verileri!$C:$C,""),""))</x:f>
      </x:c>
      <x:c r="F300" s="75" t="str"/>
      <x:c r="G300" s="75" t="str">
        <x:f>IF($B300&lt;&gt;"",Ayarlar!$B$7,"")</x:f>
      </x:c>
      <x:c r="H300" s="82" t="str">
        <x:f>IF($B300&lt;&gt;"",1,"")</x:f>
      </x:c>
      <x:c r="I300" s="82" t="str">
        <x:f>IF($B300="","",IFERROR(XLOOKUP($C300,MakerWorld_Verileri!$A:$A,MakerWorld_Verileri!$D:$D,""),""))</x:f>
      </x:c>
      <x:c r="J300" s="82" t="str"/>
      <x:c r="K300" s="82" t="str">
        <x:f>IF($I300&lt;&gt;"",$I300,$J300)</x:f>
      </x:c>
      <x:c r="L300" s="82" t="str">
        <x:f>IF($B300="","",IFERROR(XLOOKUP($C300,MakerWorld_Verileri!$A:$A,MakerWorld_Verileri!$E:$E,""),""))</x:f>
      </x:c>
      <x:c r="M300" s="82" t="str"/>
      <x:c r="N300" s="82" t="str">
        <x:f>IF($L300&lt;&gt;"",$L300,$M300)</x:f>
      </x:c>
      <x:c r="O300" s="82" t="str">
        <x:f>IF($B300&lt;&gt;"",0,"")</x:f>
      </x:c>
      <x:c r="P300" s="75" t="str">
        <x:f>IF($B300&lt;&gt;"","Orta","")</x:f>
      </x:c>
      <x:c r="Q300" s="82" t="str">
        <x:f>IF($B300&lt;&gt;"",10,"")</x:f>
      </x:c>
      <x:c r="R300" s="83" t="str">
        <x:f>IF($B300&lt;&gt;"",Ayarlar!$B$10,"")</x:f>
      </x:c>
      <x:c r="S300" s="83" t="str">
        <x:f>IF($B300&lt;&gt;"",0,"")</x:f>
      </x:c>
      <x:c r="T300" s="83" t="n">
        <x:f>IFERROR(($K300+$O300)*XLOOKUP($G300,Ayarlar!$A$19:$A$28,Ayarlar!$C$19:$C$28,0)*(1+Ayarlar!$B$11),0)</x:f>
        <x:v>0</x:v>
      </x:c>
      <x:c r="U300" s="83" t="n">
        <x:f>IFERROR($N300/60*Ayarlar!$B$8,0)</x:f>
        <x:v>0</x:v>
      </x:c>
      <x:c r="V300" s="83" t="n">
        <x:f>IF($B300&lt;&gt;"",Ayarlar!$B$12+($Q300/60*Ayarlar!$B$9),0)</x:f>
        <x:v>0</x:v>
      </x:c>
      <x:c r="W300" s="83" t="n">
        <x:f>IF($B300&lt;&gt;"",SUM($T300:$V300,$R300:$S300),0)</x:f>
        <x:v>0</x:v>
      </x:c>
      <x:c r="X300" s="83" t="n">
        <x:f>IF($B300&lt;&gt;"",$W300*Ayarlar!$B$15,0)</x:f>
        <x:v>0</x:v>
      </x:c>
      <x:c r="Y300" s="83" t="n">
        <x:f>IF($B300&lt;&gt;"",($W300+$X300)*Ayarlar!$B$13,0)</x:f>
        <x:v>0</x:v>
      </x:c>
      <x:c r="Z300" s="83" t="n">
        <x:f>IF($B300&lt;&gt;"",($W300+$X300+$Y300)*Ayarlar!$B$14,0)</x:f>
        <x:v>0</x:v>
      </x:c>
      <x:c r="AA300" s="83" t="str">
        <x:f>IF($B300="","",IF(OR($K300="",$N300=""),"",CEILING($W300+$X300+$Y300+$Z300,Ayarlar!$B$16)))</x:f>
      </x:c>
      <x:c r="AB300" s="83" t="str">
        <x:f>IFERROR($AA300/$H300,"")</x:f>
      </x:c>
      <x:c r="AC300" s="75" t="str">
        <x:f>IF($B300="","",IF(OR($K300="",$N300=""),"Veri Eksik","Fiyat Hazır"))</x:f>
      </x:c>
      <x:c r="AD300" s="75" t="str">
        <x:f>IF($C300&lt;&gt;"","MW-"&amp;$C300,"")</x:f>
        <x:v>MW-80</x:v>
      </x:c>
      <x:c r="AE300" s="75" t="str">
        <x:f>IF($G300&lt;&gt;"","3D Baskı / "&amp;$G300,"3D Baskı")</x:f>
        <x:v>3D Baskı</x:v>
      </x:c>
      <x:c r="AF300" s="75" t="str">
        <x:f>IF($D300&lt;&gt;"",$D300&amp;" - "&amp;$G300,$AD300&amp;" - "&amp;$G300)</x:f>
        <x:v>MW-80 - </x:v>
      </x:c>
      <x:c r="AG300" s="75" t="str"/>
    </x:row>
    <x:row r="301">
      <x:c r="A301" s="75" t="str">
        <x:f>IF($B301&lt;&gt;"",ROW()-4,"")</x:f>
      </x:c>
      <x:c r="B301" s="75" t="str"/>
      <x:c r="C301" s="75" t="n">
        <x:f>IFERROR(LET(x,MID($B301,FIND("/models/",$B301)+8,80),y,LEFT(x,FIND("-",x&amp;"-")-1),LEFT(y,FIND("?",y&amp;"?")-1)),"")</x:f>
        <x:v>80</x:v>
      </x:c>
      <x:c r="D301" s="75" t="str">
        <x:f>IF($B301="","",IFERROR(XLOOKUP($C301,MakerWorld_Verileri!$A:$A,MakerWorld_Verileri!$B:$B,""),""))</x:f>
      </x:c>
      <x:c r="E301" s="75" t="str">
        <x:f>IF($B301="","",IFERROR(XLOOKUP($C301,MakerWorld_Verileri!$A:$A,MakerWorld_Verileri!$C:$C,""),""))</x:f>
      </x:c>
      <x:c r="F301" s="75" t="str"/>
      <x:c r="G301" s="75" t="str">
        <x:f>IF($B301&lt;&gt;"",Ayarlar!$B$7,"")</x:f>
      </x:c>
      <x:c r="H301" s="82" t="str">
        <x:f>IF($B301&lt;&gt;"",1,"")</x:f>
      </x:c>
      <x:c r="I301" s="82" t="str">
        <x:f>IF($B301="","",IFERROR(XLOOKUP($C301,MakerWorld_Verileri!$A:$A,MakerWorld_Verileri!$D:$D,""),""))</x:f>
      </x:c>
      <x:c r="J301" s="82" t="str"/>
      <x:c r="K301" s="82" t="str">
        <x:f>IF($I301&lt;&gt;"",$I301,$J301)</x:f>
      </x:c>
      <x:c r="L301" s="82" t="str">
        <x:f>IF($B301="","",IFERROR(XLOOKUP($C301,MakerWorld_Verileri!$A:$A,MakerWorld_Verileri!$E:$E,""),""))</x:f>
      </x:c>
      <x:c r="M301" s="82" t="str"/>
      <x:c r="N301" s="82" t="str">
        <x:f>IF($L301&lt;&gt;"",$L301,$M301)</x:f>
      </x:c>
      <x:c r="O301" s="82" t="str">
        <x:f>IF($B301&lt;&gt;"",0,"")</x:f>
      </x:c>
      <x:c r="P301" s="75" t="str">
        <x:f>IF($B301&lt;&gt;"","Orta","")</x:f>
      </x:c>
      <x:c r="Q301" s="82" t="str">
        <x:f>IF($B301&lt;&gt;"",10,"")</x:f>
      </x:c>
      <x:c r="R301" s="83" t="str">
        <x:f>IF($B301&lt;&gt;"",Ayarlar!$B$10,"")</x:f>
      </x:c>
      <x:c r="S301" s="83" t="str">
        <x:f>IF($B301&lt;&gt;"",0,"")</x:f>
      </x:c>
      <x:c r="T301" s="83" t="n">
        <x:f>IFERROR(($K301+$O301)*XLOOKUP($G301,Ayarlar!$A$19:$A$28,Ayarlar!$C$19:$C$28,0)*(1+Ayarlar!$B$11),0)</x:f>
        <x:v>0</x:v>
      </x:c>
      <x:c r="U301" s="83" t="n">
        <x:f>IFERROR($N301/60*Ayarlar!$B$8,0)</x:f>
        <x:v>0</x:v>
      </x:c>
      <x:c r="V301" s="83" t="n">
        <x:f>IF($B301&lt;&gt;"",Ayarlar!$B$12+($Q301/60*Ayarlar!$B$9),0)</x:f>
        <x:v>0</x:v>
      </x:c>
      <x:c r="W301" s="83" t="n">
        <x:f>IF($B301&lt;&gt;"",SUM($T301:$V301,$R301:$S301),0)</x:f>
        <x:v>0</x:v>
      </x:c>
      <x:c r="X301" s="83" t="n">
        <x:f>IF($B301&lt;&gt;"",$W301*Ayarlar!$B$15,0)</x:f>
        <x:v>0</x:v>
      </x:c>
      <x:c r="Y301" s="83" t="n">
        <x:f>IF($B301&lt;&gt;"",($W301+$X301)*Ayarlar!$B$13,0)</x:f>
        <x:v>0</x:v>
      </x:c>
      <x:c r="Z301" s="83" t="n">
        <x:f>IF($B301&lt;&gt;"",($W301+$X301+$Y301)*Ayarlar!$B$14,0)</x:f>
        <x:v>0</x:v>
      </x:c>
      <x:c r="AA301" s="83" t="str">
        <x:f>IF($B301="","",IF(OR($K301="",$N301=""),"",CEILING($W301+$X301+$Y301+$Z301,Ayarlar!$B$16)))</x:f>
      </x:c>
      <x:c r="AB301" s="83" t="str">
        <x:f>IFERROR($AA301/$H301,"")</x:f>
      </x:c>
      <x:c r="AC301" s="75" t="str">
        <x:f>IF($B301="","",IF(OR($K301="",$N301=""),"Veri Eksik","Fiyat Hazır"))</x:f>
      </x:c>
      <x:c r="AD301" s="75" t="str">
        <x:f>IF($C301&lt;&gt;"","MW-"&amp;$C301,"")</x:f>
        <x:v>MW-80</x:v>
      </x:c>
      <x:c r="AE301" s="75" t="str">
        <x:f>IF($G301&lt;&gt;"","3D Baskı / "&amp;$G301,"3D Baskı")</x:f>
        <x:v>3D Baskı</x:v>
      </x:c>
      <x:c r="AF301" s="75" t="str">
        <x:f>IF($D301&lt;&gt;"",$D301&amp;" - "&amp;$G301,$AD301&amp;" - "&amp;$G301)</x:f>
        <x:v>MW-80 - </x:v>
      </x:c>
      <x:c r="AG301" s="75" t="str"/>
    </x:row>
    <x:row r="302">
      <x:c r="A302" s="75" t="str">
        <x:f>IF($B302&lt;&gt;"",ROW()-4,"")</x:f>
      </x:c>
      <x:c r="B302" s="75" t="str"/>
      <x:c r="C302" s="75" t="n">
        <x:f>IFERROR(LET(x,MID($B302,FIND("/models/",$B302)+8,80),y,LEFT(x,FIND("-",x&amp;"-")-1),LEFT(y,FIND("?",y&amp;"?")-1)),"")</x:f>
        <x:v>80</x:v>
      </x:c>
      <x:c r="D302" s="75" t="str">
        <x:f>IF($B302="","",IFERROR(XLOOKUP($C302,MakerWorld_Verileri!$A:$A,MakerWorld_Verileri!$B:$B,""),""))</x:f>
      </x:c>
      <x:c r="E302" s="75" t="str">
        <x:f>IF($B302="","",IFERROR(XLOOKUP($C302,MakerWorld_Verileri!$A:$A,MakerWorld_Verileri!$C:$C,""),""))</x:f>
      </x:c>
      <x:c r="F302" s="75" t="str"/>
      <x:c r="G302" s="75" t="str">
        <x:f>IF($B302&lt;&gt;"",Ayarlar!$B$7,"")</x:f>
      </x:c>
      <x:c r="H302" s="82" t="str">
        <x:f>IF($B302&lt;&gt;"",1,"")</x:f>
      </x:c>
      <x:c r="I302" s="82" t="str">
        <x:f>IF($B302="","",IFERROR(XLOOKUP($C302,MakerWorld_Verileri!$A:$A,MakerWorld_Verileri!$D:$D,""),""))</x:f>
      </x:c>
      <x:c r="J302" s="82" t="str"/>
      <x:c r="K302" s="82" t="str">
        <x:f>IF($I302&lt;&gt;"",$I302,$J302)</x:f>
      </x:c>
      <x:c r="L302" s="82" t="str">
        <x:f>IF($B302="","",IFERROR(XLOOKUP($C302,MakerWorld_Verileri!$A:$A,MakerWorld_Verileri!$E:$E,""),""))</x:f>
      </x:c>
      <x:c r="M302" s="82" t="str"/>
      <x:c r="N302" s="82" t="str">
        <x:f>IF($L302&lt;&gt;"",$L302,$M302)</x:f>
      </x:c>
      <x:c r="O302" s="82" t="str">
        <x:f>IF($B302&lt;&gt;"",0,"")</x:f>
      </x:c>
      <x:c r="P302" s="75" t="str">
        <x:f>IF($B302&lt;&gt;"","Orta","")</x:f>
      </x:c>
      <x:c r="Q302" s="82" t="str">
        <x:f>IF($B302&lt;&gt;"",10,"")</x:f>
      </x:c>
      <x:c r="R302" s="83" t="str">
        <x:f>IF($B302&lt;&gt;"",Ayarlar!$B$10,"")</x:f>
      </x:c>
      <x:c r="S302" s="83" t="str">
        <x:f>IF($B302&lt;&gt;"",0,"")</x:f>
      </x:c>
      <x:c r="T302" s="83" t="n">
        <x:f>IFERROR(($K302+$O302)*XLOOKUP($G302,Ayarlar!$A$19:$A$28,Ayarlar!$C$19:$C$28,0)*(1+Ayarlar!$B$11),0)</x:f>
        <x:v>0</x:v>
      </x:c>
      <x:c r="U302" s="83" t="n">
        <x:f>IFERROR($N302/60*Ayarlar!$B$8,0)</x:f>
        <x:v>0</x:v>
      </x:c>
      <x:c r="V302" s="83" t="n">
        <x:f>IF($B302&lt;&gt;"",Ayarlar!$B$12+($Q302/60*Ayarlar!$B$9),0)</x:f>
        <x:v>0</x:v>
      </x:c>
      <x:c r="W302" s="83" t="n">
        <x:f>IF($B302&lt;&gt;"",SUM($T302:$V302,$R302:$S302),0)</x:f>
        <x:v>0</x:v>
      </x:c>
      <x:c r="X302" s="83" t="n">
        <x:f>IF($B302&lt;&gt;"",$W302*Ayarlar!$B$15,0)</x:f>
        <x:v>0</x:v>
      </x:c>
      <x:c r="Y302" s="83" t="n">
        <x:f>IF($B302&lt;&gt;"",($W302+$X302)*Ayarlar!$B$13,0)</x:f>
        <x:v>0</x:v>
      </x:c>
      <x:c r="Z302" s="83" t="n">
        <x:f>IF($B302&lt;&gt;"",($W302+$X302+$Y302)*Ayarlar!$B$14,0)</x:f>
        <x:v>0</x:v>
      </x:c>
      <x:c r="AA302" s="83" t="str">
        <x:f>IF($B302="","",IF(OR($K302="",$N302=""),"",CEILING($W302+$X302+$Y302+$Z302,Ayarlar!$B$16)))</x:f>
      </x:c>
      <x:c r="AB302" s="83" t="str">
        <x:f>IFERROR($AA302/$H302,"")</x:f>
      </x:c>
      <x:c r="AC302" s="75" t="str">
        <x:f>IF($B302="","",IF(OR($K302="",$N302=""),"Veri Eksik","Fiyat Hazır"))</x:f>
      </x:c>
      <x:c r="AD302" s="75" t="str">
        <x:f>IF($C302&lt;&gt;"","MW-"&amp;$C302,"")</x:f>
        <x:v>MW-80</x:v>
      </x:c>
      <x:c r="AE302" s="75" t="str">
        <x:f>IF($G302&lt;&gt;"","3D Baskı / "&amp;$G302,"3D Baskı")</x:f>
        <x:v>3D Baskı</x:v>
      </x:c>
      <x:c r="AF302" s="75" t="str">
        <x:f>IF($D302&lt;&gt;"",$D302&amp;" - "&amp;$G302,$AD302&amp;" - "&amp;$G302)</x:f>
        <x:v>MW-80 - </x:v>
      </x:c>
      <x:c r="AG302" s="75" t="str"/>
    </x:row>
    <x:row r="303">
      <x:c r="A303" s="75" t="str">
        <x:f>IF($B303&lt;&gt;"",ROW()-4,"")</x:f>
      </x:c>
      <x:c r="B303" s="75" t="str"/>
      <x:c r="C303" s="75" t="n">
        <x:f>IFERROR(LET(x,MID($B303,FIND("/models/",$B303)+8,80),y,LEFT(x,FIND("-",x&amp;"-")-1),LEFT(y,FIND("?",y&amp;"?")-1)),"")</x:f>
        <x:v>80</x:v>
      </x:c>
      <x:c r="D303" s="75" t="str">
        <x:f>IF($B303="","",IFERROR(XLOOKUP($C303,MakerWorld_Verileri!$A:$A,MakerWorld_Verileri!$B:$B,""),""))</x:f>
      </x:c>
      <x:c r="E303" s="75" t="str">
        <x:f>IF($B303="","",IFERROR(XLOOKUP($C303,MakerWorld_Verileri!$A:$A,MakerWorld_Verileri!$C:$C,""),""))</x:f>
      </x:c>
      <x:c r="F303" s="75" t="str"/>
      <x:c r="G303" s="75" t="str">
        <x:f>IF($B303&lt;&gt;"",Ayarlar!$B$7,"")</x:f>
      </x:c>
      <x:c r="H303" s="82" t="str">
        <x:f>IF($B303&lt;&gt;"",1,"")</x:f>
      </x:c>
      <x:c r="I303" s="82" t="str">
        <x:f>IF($B303="","",IFERROR(XLOOKUP($C303,MakerWorld_Verileri!$A:$A,MakerWorld_Verileri!$D:$D,""),""))</x:f>
      </x:c>
      <x:c r="J303" s="82" t="str"/>
      <x:c r="K303" s="82" t="str">
        <x:f>IF($I303&lt;&gt;"",$I303,$J303)</x:f>
      </x:c>
      <x:c r="L303" s="82" t="str">
        <x:f>IF($B303="","",IFERROR(XLOOKUP($C303,MakerWorld_Verileri!$A:$A,MakerWorld_Verileri!$E:$E,""),""))</x:f>
      </x:c>
      <x:c r="M303" s="82" t="str"/>
      <x:c r="N303" s="82" t="str">
        <x:f>IF($L303&lt;&gt;"",$L303,$M303)</x:f>
      </x:c>
      <x:c r="O303" s="82" t="str">
        <x:f>IF($B303&lt;&gt;"",0,"")</x:f>
      </x:c>
      <x:c r="P303" s="75" t="str">
        <x:f>IF($B303&lt;&gt;"","Orta","")</x:f>
      </x:c>
      <x:c r="Q303" s="82" t="str">
        <x:f>IF($B303&lt;&gt;"",10,"")</x:f>
      </x:c>
      <x:c r="R303" s="83" t="str">
        <x:f>IF($B303&lt;&gt;"",Ayarlar!$B$10,"")</x:f>
      </x:c>
      <x:c r="S303" s="83" t="str">
        <x:f>IF($B303&lt;&gt;"",0,"")</x:f>
      </x:c>
      <x:c r="T303" s="83" t="n">
        <x:f>IFERROR(($K303+$O303)*XLOOKUP($G303,Ayarlar!$A$19:$A$28,Ayarlar!$C$19:$C$28,0)*(1+Ayarlar!$B$11),0)</x:f>
        <x:v>0</x:v>
      </x:c>
      <x:c r="U303" s="83" t="n">
        <x:f>IFERROR($N303/60*Ayarlar!$B$8,0)</x:f>
        <x:v>0</x:v>
      </x:c>
      <x:c r="V303" s="83" t="n">
        <x:f>IF($B303&lt;&gt;"",Ayarlar!$B$12+($Q303/60*Ayarlar!$B$9),0)</x:f>
        <x:v>0</x:v>
      </x:c>
      <x:c r="W303" s="83" t="n">
        <x:f>IF($B303&lt;&gt;"",SUM($T303:$V303,$R303:$S303),0)</x:f>
        <x:v>0</x:v>
      </x:c>
      <x:c r="X303" s="83" t="n">
        <x:f>IF($B303&lt;&gt;"",$W303*Ayarlar!$B$15,0)</x:f>
        <x:v>0</x:v>
      </x:c>
      <x:c r="Y303" s="83" t="n">
        <x:f>IF($B303&lt;&gt;"",($W303+$X303)*Ayarlar!$B$13,0)</x:f>
        <x:v>0</x:v>
      </x:c>
      <x:c r="Z303" s="83" t="n">
        <x:f>IF($B303&lt;&gt;"",($W303+$X303+$Y303)*Ayarlar!$B$14,0)</x:f>
        <x:v>0</x:v>
      </x:c>
      <x:c r="AA303" s="83" t="str">
        <x:f>IF($B303="","",IF(OR($K303="",$N303=""),"",CEILING($W303+$X303+$Y303+$Z303,Ayarlar!$B$16)))</x:f>
      </x:c>
      <x:c r="AB303" s="83" t="str">
        <x:f>IFERROR($AA303/$H303,"")</x:f>
      </x:c>
      <x:c r="AC303" s="75" t="str">
        <x:f>IF($B303="","",IF(OR($K303="",$N303=""),"Veri Eksik","Fiyat Hazır"))</x:f>
      </x:c>
      <x:c r="AD303" s="75" t="str">
        <x:f>IF($C303&lt;&gt;"","MW-"&amp;$C303,"")</x:f>
        <x:v>MW-80</x:v>
      </x:c>
      <x:c r="AE303" s="75" t="str">
        <x:f>IF($G303&lt;&gt;"","3D Baskı / "&amp;$G303,"3D Baskı")</x:f>
        <x:v>3D Baskı</x:v>
      </x:c>
      <x:c r="AF303" s="75" t="str">
        <x:f>IF($D303&lt;&gt;"",$D303&amp;" - "&amp;$G303,$AD303&amp;" - "&amp;$G303)</x:f>
        <x:v>MW-80 - </x:v>
      </x:c>
      <x:c r="AG303" s="75" t="str"/>
    </x:row>
    <x:row r="304">
      <x:c r="A304" s="75" t="str">
        <x:f>IF($B304&lt;&gt;"",ROW()-4,"")</x:f>
      </x:c>
      <x:c r="B304" s="75" t="str"/>
      <x:c r="C304" s="75" t="n">
        <x:f>IFERROR(LET(x,MID($B304,FIND("/models/",$B304)+8,80),y,LEFT(x,FIND("-",x&amp;"-")-1),LEFT(y,FIND("?",y&amp;"?")-1)),"")</x:f>
        <x:v>80</x:v>
      </x:c>
      <x:c r="D304" s="75" t="str">
        <x:f>IF($B304="","",IFERROR(XLOOKUP($C304,MakerWorld_Verileri!$A:$A,MakerWorld_Verileri!$B:$B,""),""))</x:f>
      </x:c>
      <x:c r="E304" s="75" t="str">
        <x:f>IF($B304="","",IFERROR(XLOOKUP($C304,MakerWorld_Verileri!$A:$A,MakerWorld_Verileri!$C:$C,""),""))</x:f>
      </x:c>
      <x:c r="F304" s="75" t="str"/>
      <x:c r="G304" s="75" t="str">
        <x:f>IF($B304&lt;&gt;"",Ayarlar!$B$7,"")</x:f>
      </x:c>
      <x:c r="H304" s="82" t="str">
        <x:f>IF($B304&lt;&gt;"",1,"")</x:f>
      </x:c>
      <x:c r="I304" s="82" t="str">
        <x:f>IF($B304="","",IFERROR(XLOOKUP($C304,MakerWorld_Verileri!$A:$A,MakerWorld_Verileri!$D:$D,""),""))</x:f>
      </x:c>
      <x:c r="J304" s="82" t="str"/>
      <x:c r="K304" s="82" t="str">
        <x:f>IF($I304&lt;&gt;"",$I304,$J304)</x:f>
      </x:c>
      <x:c r="L304" s="82" t="str">
        <x:f>IF($B304="","",IFERROR(XLOOKUP($C304,MakerWorld_Verileri!$A:$A,MakerWorld_Verileri!$E:$E,""),""))</x:f>
      </x:c>
      <x:c r="M304" s="82" t="str"/>
      <x:c r="N304" s="82" t="str">
        <x:f>IF($L304&lt;&gt;"",$L304,$M304)</x:f>
      </x:c>
      <x:c r="O304" s="82" t="str">
        <x:f>IF($B304&lt;&gt;"",0,"")</x:f>
      </x:c>
      <x:c r="P304" s="75" t="str">
        <x:f>IF($B304&lt;&gt;"","Orta","")</x:f>
      </x:c>
      <x:c r="Q304" s="82" t="str">
        <x:f>IF($B304&lt;&gt;"",10,"")</x:f>
      </x:c>
      <x:c r="R304" s="83" t="str">
        <x:f>IF($B304&lt;&gt;"",Ayarlar!$B$10,"")</x:f>
      </x:c>
      <x:c r="S304" s="83" t="str">
        <x:f>IF($B304&lt;&gt;"",0,"")</x:f>
      </x:c>
      <x:c r="T304" s="83" t="n">
        <x:f>IFERROR(($K304+$O304)*XLOOKUP($G304,Ayarlar!$A$19:$A$28,Ayarlar!$C$19:$C$28,0)*(1+Ayarlar!$B$11),0)</x:f>
        <x:v>0</x:v>
      </x:c>
      <x:c r="U304" s="83" t="n">
        <x:f>IFERROR($N304/60*Ayarlar!$B$8,0)</x:f>
        <x:v>0</x:v>
      </x:c>
      <x:c r="V304" s="83" t="n">
        <x:f>IF($B304&lt;&gt;"",Ayarlar!$B$12+($Q304/60*Ayarlar!$B$9),0)</x:f>
        <x:v>0</x:v>
      </x:c>
      <x:c r="W304" s="83" t="n">
        <x:f>IF($B304&lt;&gt;"",SUM($T304:$V304,$R304:$S304),0)</x:f>
        <x:v>0</x:v>
      </x:c>
      <x:c r="X304" s="83" t="n">
        <x:f>IF($B304&lt;&gt;"",$W304*Ayarlar!$B$15,0)</x:f>
        <x:v>0</x:v>
      </x:c>
      <x:c r="Y304" s="83" t="n">
        <x:f>IF($B304&lt;&gt;"",($W304+$X304)*Ayarlar!$B$13,0)</x:f>
        <x:v>0</x:v>
      </x:c>
      <x:c r="Z304" s="83" t="n">
        <x:f>IF($B304&lt;&gt;"",($W304+$X304+$Y304)*Ayarlar!$B$14,0)</x:f>
        <x:v>0</x:v>
      </x:c>
      <x:c r="AA304" s="83" t="str">
        <x:f>IF($B304="","",IF(OR($K304="",$N304=""),"",CEILING($W304+$X304+$Y304+$Z304,Ayarlar!$B$16)))</x:f>
      </x:c>
      <x:c r="AB304" s="83" t="str">
        <x:f>IFERROR($AA304/$H304,"")</x:f>
      </x:c>
      <x:c r="AC304" s="75" t="str">
        <x:f>IF($B304="","",IF(OR($K304="",$N304=""),"Veri Eksik","Fiyat Hazır"))</x:f>
      </x:c>
      <x:c r="AD304" s="75" t="str">
        <x:f>IF($C304&lt;&gt;"","MW-"&amp;$C304,"")</x:f>
        <x:v>MW-80</x:v>
      </x:c>
      <x:c r="AE304" s="75" t="str">
        <x:f>IF($G304&lt;&gt;"","3D Baskı / "&amp;$G304,"3D Baskı")</x:f>
        <x:v>3D Baskı</x:v>
      </x:c>
      <x:c r="AF304" s="75" t="str">
        <x:f>IF($D304&lt;&gt;"",$D304&amp;" - "&amp;$G304,$AD304&amp;" - "&amp;$G304)</x:f>
        <x:v>MW-80 - </x:v>
      </x:c>
      <x:c r="AG304" s="75" t="str"/>
    </x:row>
    <x:row r="305">
      <x:c r="A305" s="75" t="str">
        <x:f>IF($B305&lt;&gt;"",ROW()-4,"")</x:f>
      </x:c>
      <x:c r="B305" s="75" t="str"/>
      <x:c r="C305" s="75" t="n">
        <x:f>IFERROR(LET(x,MID($B305,FIND("/models/",$B305)+8,80),y,LEFT(x,FIND("-",x&amp;"-")-1),LEFT(y,FIND("?",y&amp;"?")-1)),"")</x:f>
        <x:v>80</x:v>
      </x:c>
      <x:c r="D305" s="75" t="str">
        <x:f>IF($B305="","",IFERROR(XLOOKUP($C305,MakerWorld_Verileri!$A:$A,MakerWorld_Verileri!$B:$B,""),""))</x:f>
      </x:c>
      <x:c r="E305" s="75" t="str">
        <x:f>IF($B305="","",IFERROR(XLOOKUP($C305,MakerWorld_Verileri!$A:$A,MakerWorld_Verileri!$C:$C,""),""))</x:f>
      </x:c>
      <x:c r="F305" s="75" t="str"/>
      <x:c r="G305" s="75" t="str">
        <x:f>IF($B305&lt;&gt;"",Ayarlar!$B$7,"")</x:f>
      </x:c>
      <x:c r="H305" s="82" t="str">
        <x:f>IF($B305&lt;&gt;"",1,"")</x:f>
      </x:c>
      <x:c r="I305" s="82" t="str">
        <x:f>IF($B305="","",IFERROR(XLOOKUP($C305,MakerWorld_Verileri!$A:$A,MakerWorld_Verileri!$D:$D,""),""))</x:f>
      </x:c>
      <x:c r="J305" s="82" t="str"/>
      <x:c r="K305" s="82" t="str">
        <x:f>IF($I305&lt;&gt;"",$I305,$J305)</x:f>
      </x:c>
      <x:c r="L305" s="82" t="str">
        <x:f>IF($B305="","",IFERROR(XLOOKUP($C305,MakerWorld_Verileri!$A:$A,MakerWorld_Verileri!$E:$E,""),""))</x:f>
      </x:c>
      <x:c r="M305" s="82" t="str"/>
      <x:c r="N305" s="82" t="str">
        <x:f>IF($L305&lt;&gt;"",$L305,$M305)</x:f>
      </x:c>
      <x:c r="O305" s="82" t="str">
        <x:f>IF($B305&lt;&gt;"",0,"")</x:f>
      </x:c>
      <x:c r="P305" s="75" t="str">
        <x:f>IF($B305&lt;&gt;"","Orta","")</x:f>
      </x:c>
      <x:c r="Q305" s="82" t="str">
        <x:f>IF($B305&lt;&gt;"",10,"")</x:f>
      </x:c>
      <x:c r="R305" s="83" t="str">
        <x:f>IF($B305&lt;&gt;"",Ayarlar!$B$10,"")</x:f>
      </x:c>
      <x:c r="S305" s="83" t="str">
        <x:f>IF($B305&lt;&gt;"",0,"")</x:f>
      </x:c>
      <x:c r="T305" s="83" t="n">
        <x:f>IFERROR(($K305+$O305)*XLOOKUP($G305,Ayarlar!$A$19:$A$28,Ayarlar!$C$19:$C$28,0)*(1+Ayarlar!$B$11),0)</x:f>
        <x:v>0</x:v>
      </x:c>
      <x:c r="U305" s="83" t="n">
        <x:f>IFERROR($N305/60*Ayarlar!$B$8,0)</x:f>
        <x:v>0</x:v>
      </x:c>
      <x:c r="V305" s="83" t="n">
        <x:f>IF($B305&lt;&gt;"",Ayarlar!$B$12+($Q305/60*Ayarlar!$B$9),0)</x:f>
        <x:v>0</x:v>
      </x:c>
      <x:c r="W305" s="83" t="n">
        <x:f>IF($B305&lt;&gt;"",SUM($T305:$V305,$R305:$S305),0)</x:f>
        <x:v>0</x:v>
      </x:c>
      <x:c r="X305" s="83" t="n">
        <x:f>IF($B305&lt;&gt;"",$W305*Ayarlar!$B$15,0)</x:f>
        <x:v>0</x:v>
      </x:c>
      <x:c r="Y305" s="83" t="n">
        <x:f>IF($B305&lt;&gt;"",($W305+$X305)*Ayarlar!$B$13,0)</x:f>
        <x:v>0</x:v>
      </x:c>
      <x:c r="Z305" s="83" t="n">
        <x:f>IF($B305&lt;&gt;"",($W305+$X305+$Y305)*Ayarlar!$B$14,0)</x:f>
        <x:v>0</x:v>
      </x:c>
      <x:c r="AA305" s="83" t="str">
        <x:f>IF($B305="","",IF(OR($K305="",$N305=""),"",CEILING($W305+$X305+$Y305+$Z305,Ayarlar!$B$16)))</x:f>
      </x:c>
      <x:c r="AB305" s="83" t="str">
        <x:f>IFERROR($AA305/$H305,"")</x:f>
      </x:c>
      <x:c r="AC305" s="75" t="str">
        <x:f>IF($B305="","",IF(OR($K305="",$N305=""),"Veri Eksik","Fiyat Hazır"))</x:f>
      </x:c>
      <x:c r="AD305" s="75" t="str">
        <x:f>IF($C305&lt;&gt;"","MW-"&amp;$C305,"")</x:f>
        <x:v>MW-80</x:v>
      </x:c>
      <x:c r="AE305" s="75" t="str">
        <x:f>IF($G305&lt;&gt;"","3D Baskı / "&amp;$G305,"3D Baskı")</x:f>
        <x:v>3D Baskı</x:v>
      </x:c>
      <x:c r="AF305" s="75" t="str">
        <x:f>IF($D305&lt;&gt;"",$D305&amp;" - "&amp;$G305,$AD305&amp;" - "&amp;$G305)</x:f>
        <x:v>MW-80 - </x:v>
      </x:c>
      <x:c r="AG305" s="75" t="str"/>
    </x:row>
    <x:row r="306">
      <x:c r="A306" s="75" t="str">
        <x:f>IF($B306&lt;&gt;"",ROW()-4,"")</x:f>
      </x:c>
      <x:c r="B306" s="75" t="str"/>
      <x:c r="C306" s="75" t="n">
        <x:f>IFERROR(LET(x,MID($B306,FIND("/models/",$B306)+8,80),y,LEFT(x,FIND("-",x&amp;"-")-1),LEFT(y,FIND("?",y&amp;"?")-1)),"")</x:f>
        <x:v>80</x:v>
      </x:c>
      <x:c r="D306" s="75" t="str">
        <x:f>IF($B306="","",IFERROR(XLOOKUP($C306,MakerWorld_Verileri!$A:$A,MakerWorld_Verileri!$B:$B,""),""))</x:f>
      </x:c>
      <x:c r="E306" s="75" t="str">
        <x:f>IF($B306="","",IFERROR(XLOOKUP($C306,MakerWorld_Verileri!$A:$A,MakerWorld_Verileri!$C:$C,""),""))</x:f>
      </x:c>
      <x:c r="F306" s="75" t="str"/>
      <x:c r="G306" s="75" t="str">
        <x:f>IF($B306&lt;&gt;"",Ayarlar!$B$7,"")</x:f>
      </x:c>
      <x:c r="H306" s="82" t="str">
        <x:f>IF($B306&lt;&gt;"",1,"")</x:f>
      </x:c>
      <x:c r="I306" s="82" t="str">
        <x:f>IF($B306="","",IFERROR(XLOOKUP($C306,MakerWorld_Verileri!$A:$A,MakerWorld_Verileri!$D:$D,""),""))</x:f>
      </x:c>
      <x:c r="J306" s="82" t="str"/>
      <x:c r="K306" s="82" t="str">
        <x:f>IF($I306&lt;&gt;"",$I306,$J306)</x:f>
      </x:c>
      <x:c r="L306" s="82" t="str">
        <x:f>IF($B306="","",IFERROR(XLOOKUP($C306,MakerWorld_Verileri!$A:$A,MakerWorld_Verileri!$E:$E,""),""))</x:f>
      </x:c>
      <x:c r="M306" s="82" t="str"/>
      <x:c r="N306" s="82" t="str">
        <x:f>IF($L306&lt;&gt;"",$L306,$M306)</x:f>
      </x:c>
      <x:c r="O306" s="82" t="str">
        <x:f>IF($B306&lt;&gt;"",0,"")</x:f>
      </x:c>
      <x:c r="P306" s="75" t="str">
        <x:f>IF($B306&lt;&gt;"","Orta","")</x:f>
      </x:c>
      <x:c r="Q306" s="82" t="str">
        <x:f>IF($B306&lt;&gt;"",10,"")</x:f>
      </x:c>
      <x:c r="R306" s="83" t="str">
        <x:f>IF($B306&lt;&gt;"",Ayarlar!$B$10,"")</x:f>
      </x:c>
      <x:c r="S306" s="83" t="str">
        <x:f>IF($B306&lt;&gt;"",0,"")</x:f>
      </x:c>
      <x:c r="T306" s="83" t="n">
        <x:f>IFERROR(($K306+$O306)*XLOOKUP($G306,Ayarlar!$A$19:$A$28,Ayarlar!$C$19:$C$28,0)*(1+Ayarlar!$B$11),0)</x:f>
        <x:v>0</x:v>
      </x:c>
      <x:c r="U306" s="83" t="n">
        <x:f>IFERROR($N306/60*Ayarlar!$B$8,0)</x:f>
        <x:v>0</x:v>
      </x:c>
      <x:c r="V306" s="83" t="n">
        <x:f>IF($B306&lt;&gt;"",Ayarlar!$B$12+($Q306/60*Ayarlar!$B$9),0)</x:f>
        <x:v>0</x:v>
      </x:c>
      <x:c r="W306" s="83" t="n">
        <x:f>IF($B306&lt;&gt;"",SUM($T306:$V306,$R306:$S306),0)</x:f>
        <x:v>0</x:v>
      </x:c>
      <x:c r="X306" s="83" t="n">
        <x:f>IF($B306&lt;&gt;"",$W306*Ayarlar!$B$15,0)</x:f>
        <x:v>0</x:v>
      </x:c>
      <x:c r="Y306" s="83" t="n">
        <x:f>IF($B306&lt;&gt;"",($W306+$X306)*Ayarlar!$B$13,0)</x:f>
        <x:v>0</x:v>
      </x:c>
      <x:c r="Z306" s="83" t="n">
        <x:f>IF($B306&lt;&gt;"",($W306+$X306+$Y306)*Ayarlar!$B$14,0)</x:f>
        <x:v>0</x:v>
      </x:c>
      <x:c r="AA306" s="83" t="str">
        <x:f>IF($B306="","",IF(OR($K306="",$N306=""),"",CEILING($W306+$X306+$Y306+$Z306,Ayarlar!$B$16)))</x:f>
      </x:c>
      <x:c r="AB306" s="83" t="str">
        <x:f>IFERROR($AA306/$H306,"")</x:f>
      </x:c>
      <x:c r="AC306" s="75" t="str">
        <x:f>IF($B306="","",IF(OR($K306="",$N306=""),"Veri Eksik","Fiyat Hazır"))</x:f>
      </x:c>
      <x:c r="AD306" s="75" t="str">
        <x:f>IF($C306&lt;&gt;"","MW-"&amp;$C306,"")</x:f>
        <x:v>MW-80</x:v>
      </x:c>
      <x:c r="AE306" s="75" t="str">
        <x:f>IF($G306&lt;&gt;"","3D Baskı / "&amp;$G306,"3D Baskı")</x:f>
        <x:v>3D Baskı</x:v>
      </x:c>
      <x:c r="AF306" s="75" t="str">
        <x:f>IF($D306&lt;&gt;"",$D306&amp;" - "&amp;$G306,$AD306&amp;" - "&amp;$G306)</x:f>
        <x:v>MW-80 - </x:v>
      </x:c>
      <x:c r="AG306" s="75" t="str"/>
    </x:row>
    <x:row r="307">
      <x:c r="A307" s="75" t="str">
        <x:f>IF($B307&lt;&gt;"",ROW()-4,"")</x:f>
      </x:c>
      <x:c r="B307" s="75" t="str"/>
      <x:c r="C307" s="75" t="n">
        <x:f>IFERROR(LET(x,MID($B307,FIND("/models/",$B307)+8,80),y,LEFT(x,FIND("-",x&amp;"-")-1),LEFT(y,FIND("?",y&amp;"?")-1)),"")</x:f>
        <x:v>80</x:v>
      </x:c>
      <x:c r="D307" s="75" t="str">
        <x:f>IF($B307="","",IFERROR(XLOOKUP($C307,MakerWorld_Verileri!$A:$A,MakerWorld_Verileri!$B:$B,""),""))</x:f>
      </x:c>
      <x:c r="E307" s="75" t="str">
        <x:f>IF($B307="","",IFERROR(XLOOKUP($C307,MakerWorld_Verileri!$A:$A,MakerWorld_Verileri!$C:$C,""),""))</x:f>
      </x:c>
      <x:c r="F307" s="75" t="str"/>
      <x:c r="G307" s="75" t="str">
        <x:f>IF($B307&lt;&gt;"",Ayarlar!$B$7,"")</x:f>
      </x:c>
      <x:c r="H307" s="82" t="str">
        <x:f>IF($B307&lt;&gt;"",1,"")</x:f>
      </x:c>
      <x:c r="I307" s="82" t="str">
        <x:f>IF($B307="","",IFERROR(XLOOKUP($C307,MakerWorld_Verileri!$A:$A,MakerWorld_Verileri!$D:$D,""),""))</x:f>
      </x:c>
      <x:c r="J307" s="82" t="str"/>
      <x:c r="K307" s="82" t="str">
        <x:f>IF($I307&lt;&gt;"",$I307,$J307)</x:f>
      </x:c>
      <x:c r="L307" s="82" t="str">
        <x:f>IF($B307="","",IFERROR(XLOOKUP($C307,MakerWorld_Verileri!$A:$A,MakerWorld_Verileri!$E:$E,""),""))</x:f>
      </x:c>
      <x:c r="M307" s="82" t="str"/>
      <x:c r="N307" s="82" t="str">
        <x:f>IF($L307&lt;&gt;"",$L307,$M307)</x:f>
      </x:c>
      <x:c r="O307" s="82" t="str">
        <x:f>IF($B307&lt;&gt;"",0,"")</x:f>
      </x:c>
      <x:c r="P307" s="75" t="str">
        <x:f>IF($B307&lt;&gt;"","Orta","")</x:f>
      </x:c>
      <x:c r="Q307" s="82" t="str">
        <x:f>IF($B307&lt;&gt;"",10,"")</x:f>
      </x:c>
      <x:c r="R307" s="83" t="str">
        <x:f>IF($B307&lt;&gt;"",Ayarlar!$B$10,"")</x:f>
      </x:c>
      <x:c r="S307" s="83" t="str">
        <x:f>IF($B307&lt;&gt;"",0,"")</x:f>
      </x:c>
      <x:c r="T307" s="83" t="n">
        <x:f>IFERROR(($K307+$O307)*XLOOKUP($G307,Ayarlar!$A$19:$A$28,Ayarlar!$C$19:$C$28,0)*(1+Ayarlar!$B$11),0)</x:f>
        <x:v>0</x:v>
      </x:c>
      <x:c r="U307" s="83" t="n">
        <x:f>IFERROR($N307/60*Ayarlar!$B$8,0)</x:f>
        <x:v>0</x:v>
      </x:c>
      <x:c r="V307" s="83" t="n">
        <x:f>IF($B307&lt;&gt;"",Ayarlar!$B$12+($Q307/60*Ayarlar!$B$9),0)</x:f>
        <x:v>0</x:v>
      </x:c>
      <x:c r="W307" s="83" t="n">
        <x:f>IF($B307&lt;&gt;"",SUM($T307:$V307,$R307:$S307),0)</x:f>
        <x:v>0</x:v>
      </x:c>
      <x:c r="X307" s="83" t="n">
        <x:f>IF($B307&lt;&gt;"",$W307*Ayarlar!$B$15,0)</x:f>
        <x:v>0</x:v>
      </x:c>
      <x:c r="Y307" s="83" t="n">
        <x:f>IF($B307&lt;&gt;"",($W307+$X307)*Ayarlar!$B$13,0)</x:f>
        <x:v>0</x:v>
      </x:c>
      <x:c r="Z307" s="83" t="n">
        <x:f>IF($B307&lt;&gt;"",($W307+$X307+$Y307)*Ayarlar!$B$14,0)</x:f>
        <x:v>0</x:v>
      </x:c>
      <x:c r="AA307" s="83" t="str">
        <x:f>IF($B307="","",IF(OR($K307="",$N307=""),"",CEILING($W307+$X307+$Y307+$Z307,Ayarlar!$B$16)))</x:f>
      </x:c>
      <x:c r="AB307" s="83" t="str">
        <x:f>IFERROR($AA307/$H307,"")</x:f>
      </x:c>
      <x:c r="AC307" s="75" t="str">
        <x:f>IF($B307="","",IF(OR($K307="",$N307=""),"Veri Eksik","Fiyat Hazır"))</x:f>
      </x:c>
      <x:c r="AD307" s="75" t="str">
        <x:f>IF($C307&lt;&gt;"","MW-"&amp;$C307,"")</x:f>
        <x:v>MW-80</x:v>
      </x:c>
      <x:c r="AE307" s="75" t="str">
        <x:f>IF($G307&lt;&gt;"","3D Baskı / "&amp;$G307,"3D Baskı")</x:f>
        <x:v>3D Baskı</x:v>
      </x:c>
      <x:c r="AF307" s="75" t="str">
        <x:f>IF($D307&lt;&gt;"",$D307&amp;" - "&amp;$G307,$AD307&amp;" - "&amp;$G307)</x:f>
        <x:v>MW-80 - </x:v>
      </x:c>
      <x:c r="AG307" s="75" t="str"/>
    </x:row>
    <x:row r="308">
      <x:c r="A308" s="75" t="str">
        <x:f>IF($B308&lt;&gt;"",ROW()-4,"")</x:f>
      </x:c>
      <x:c r="B308" s="75" t="str"/>
      <x:c r="C308" s="75" t="n">
        <x:f>IFERROR(LET(x,MID($B308,FIND("/models/",$B308)+8,80),y,LEFT(x,FIND("-",x&amp;"-")-1),LEFT(y,FIND("?",y&amp;"?")-1)),"")</x:f>
        <x:v>80</x:v>
      </x:c>
      <x:c r="D308" s="75" t="str">
        <x:f>IF($B308="","",IFERROR(XLOOKUP($C308,MakerWorld_Verileri!$A:$A,MakerWorld_Verileri!$B:$B,""),""))</x:f>
      </x:c>
      <x:c r="E308" s="75" t="str">
        <x:f>IF($B308="","",IFERROR(XLOOKUP($C308,MakerWorld_Verileri!$A:$A,MakerWorld_Verileri!$C:$C,""),""))</x:f>
      </x:c>
      <x:c r="F308" s="75" t="str"/>
      <x:c r="G308" s="75" t="str">
        <x:f>IF($B308&lt;&gt;"",Ayarlar!$B$7,"")</x:f>
      </x:c>
      <x:c r="H308" s="82" t="str">
        <x:f>IF($B308&lt;&gt;"",1,"")</x:f>
      </x:c>
      <x:c r="I308" s="82" t="str">
        <x:f>IF($B308="","",IFERROR(XLOOKUP($C308,MakerWorld_Verileri!$A:$A,MakerWorld_Verileri!$D:$D,""),""))</x:f>
      </x:c>
      <x:c r="J308" s="82" t="str"/>
      <x:c r="K308" s="82" t="str">
        <x:f>IF($I308&lt;&gt;"",$I308,$J308)</x:f>
      </x:c>
      <x:c r="L308" s="82" t="str">
        <x:f>IF($B308="","",IFERROR(XLOOKUP($C308,MakerWorld_Verileri!$A:$A,MakerWorld_Verileri!$E:$E,""),""))</x:f>
      </x:c>
      <x:c r="M308" s="82" t="str"/>
      <x:c r="N308" s="82" t="str">
        <x:f>IF($L308&lt;&gt;"",$L308,$M308)</x:f>
      </x:c>
      <x:c r="O308" s="82" t="str">
        <x:f>IF($B308&lt;&gt;"",0,"")</x:f>
      </x:c>
      <x:c r="P308" s="75" t="str">
        <x:f>IF($B308&lt;&gt;"","Orta","")</x:f>
      </x:c>
      <x:c r="Q308" s="82" t="str">
        <x:f>IF($B308&lt;&gt;"",10,"")</x:f>
      </x:c>
      <x:c r="R308" s="83" t="str">
        <x:f>IF($B308&lt;&gt;"",Ayarlar!$B$10,"")</x:f>
      </x:c>
      <x:c r="S308" s="83" t="str">
        <x:f>IF($B308&lt;&gt;"",0,"")</x:f>
      </x:c>
      <x:c r="T308" s="83" t="n">
        <x:f>IFERROR(($K308+$O308)*XLOOKUP($G308,Ayarlar!$A$19:$A$28,Ayarlar!$C$19:$C$28,0)*(1+Ayarlar!$B$11),0)</x:f>
        <x:v>0</x:v>
      </x:c>
      <x:c r="U308" s="83" t="n">
        <x:f>IFERROR($N308/60*Ayarlar!$B$8,0)</x:f>
        <x:v>0</x:v>
      </x:c>
      <x:c r="V308" s="83" t="n">
        <x:f>IF($B308&lt;&gt;"",Ayarlar!$B$12+($Q308/60*Ayarlar!$B$9),0)</x:f>
        <x:v>0</x:v>
      </x:c>
      <x:c r="W308" s="83" t="n">
        <x:f>IF($B308&lt;&gt;"",SUM($T308:$V308,$R308:$S308),0)</x:f>
        <x:v>0</x:v>
      </x:c>
      <x:c r="X308" s="83" t="n">
        <x:f>IF($B308&lt;&gt;"",$W308*Ayarlar!$B$15,0)</x:f>
        <x:v>0</x:v>
      </x:c>
      <x:c r="Y308" s="83" t="n">
        <x:f>IF($B308&lt;&gt;"",($W308+$X308)*Ayarlar!$B$13,0)</x:f>
        <x:v>0</x:v>
      </x:c>
      <x:c r="Z308" s="83" t="n">
        <x:f>IF($B308&lt;&gt;"",($W308+$X308+$Y308)*Ayarlar!$B$14,0)</x:f>
        <x:v>0</x:v>
      </x:c>
      <x:c r="AA308" s="83" t="str">
        <x:f>IF($B308="","",IF(OR($K308="",$N308=""),"",CEILING($W308+$X308+$Y308+$Z308,Ayarlar!$B$16)))</x:f>
      </x:c>
      <x:c r="AB308" s="83" t="str">
        <x:f>IFERROR($AA308/$H308,"")</x:f>
      </x:c>
      <x:c r="AC308" s="75" t="str">
        <x:f>IF($B308="","",IF(OR($K308="",$N308=""),"Veri Eksik","Fiyat Hazır"))</x:f>
      </x:c>
      <x:c r="AD308" s="75" t="str">
        <x:f>IF($C308&lt;&gt;"","MW-"&amp;$C308,"")</x:f>
        <x:v>MW-80</x:v>
      </x:c>
      <x:c r="AE308" s="75" t="str">
        <x:f>IF($G308&lt;&gt;"","3D Baskı / "&amp;$G308,"3D Baskı")</x:f>
        <x:v>3D Baskı</x:v>
      </x:c>
      <x:c r="AF308" s="75" t="str">
        <x:f>IF($D308&lt;&gt;"",$D308&amp;" - "&amp;$G308,$AD308&amp;" - "&amp;$G308)</x:f>
        <x:v>MW-80 - </x:v>
      </x:c>
      <x:c r="AG308" s="75" t="str"/>
    </x:row>
    <x:row r="309">
      <x:c r="A309" s="75" t="str">
        <x:f>IF($B309&lt;&gt;"",ROW()-4,"")</x:f>
      </x:c>
      <x:c r="B309" s="75" t="str"/>
      <x:c r="C309" s="75" t="n">
        <x:f>IFERROR(LET(x,MID($B309,FIND("/models/",$B309)+8,80),y,LEFT(x,FIND("-",x&amp;"-")-1),LEFT(y,FIND("?",y&amp;"?")-1)),"")</x:f>
        <x:v>80</x:v>
      </x:c>
      <x:c r="D309" s="75" t="str">
        <x:f>IF($B309="","",IFERROR(XLOOKUP($C309,MakerWorld_Verileri!$A:$A,MakerWorld_Verileri!$B:$B,""),""))</x:f>
      </x:c>
      <x:c r="E309" s="75" t="str">
        <x:f>IF($B309="","",IFERROR(XLOOKUP($C309,MakerWorld_Verileri!$A:$A,MakerWorld_Verileri!$C:$C,""),""))</x:f>
      </x:c>
      <x:c r="F309" s="75" t="str"/>
      <x:c r="G309" s="75" t="str">
        <x:f>IF($B309&lt;&gt;"",Ayarlar!$B$7,"")</x:f>
      </x:c>
      <x:c r="H309" s="82" t="str">
        <x:f>IF($B309&lt;&gt;"",1,"")</x:f>
      </x:c>
      <x:c r="I309" s="82" t="str">
        <x:f>IF($B309="","",IFERROR(XLOOKUP($C309,MakerWorld_Verileri!$A:$A,MakerWorld_Verileri!$D:$D,""),""))</x:f>
      </x:c>
      <x:c r="J309" s="82" t="str"/>
      <x:c r="K309" s="82" t="str">
        <x:f>IF($I309&lt;&gt;"",$I309,$J309)</x:f>
      </x:c>
      <x:c r="L309" s="82" t="str">
        <x:f>IF($B309="","",IFERROR(XLOOKUP($C309,MakerWorld_Verileri!$A:$A,MakerWorld_Verileri!$E:$E,""),""))</x:f>
      </x:c>
      <x:c r="M309" s="82" t="str"/>
      <x:c r="N309" s="82" t="str">
        <x:f>IF($L309&lt;&gt;"",$L309,$M309)</x:f>
      </x:c>
      <x:c r="O309" s="82" t="str">
        <x:f>IF($B309&lt;&gt;"",0,"")</x:f>
      </x:c>
      <x:c r="P309" s="75" t="str">
        <x:f>IF($B309&lt;&gt;"","Orta","")</x:f>
      </x:c>
      <x:c r="Q309" s="82" t="str">
        <x:f>IF($B309&lt;&gt;"",10,"")</x:f>
      </x:c>
      <x:c r="R309" s="83" t="str">
        <x:f>IF($B309&lt;&gt;"",Ayarlar!$B$10,"")</x:f>
      </x:c>
      <x:c r="S309" s="83" t="str">
        <x:f>IF($B309&lt;&gt;"",0,"")</x:f>
      </x:c>
      <x:c r="T309" s="83" t="n">
        <x:f>IFERROR(($K309+$O309)*XLOOKUP($G309,Ayarlar!$A$19:$A$28,Ayarlar!$C$19:$C$28,0)*(1+Ayarlar!$B$11),0)</x:f>
        <x:v>0</x:v>
      </x:c>
      <x:c r="U309" s="83" t="n">
        <x:f>IFERROR($N309/60*Ayarlar!$B$8,0)</x:f>
        <x:v>0</x:v>
      </x:c>
      <x:c r="V309" s="83" t="n">
        <x:f>IF($B309&lt;&gt;"",Ayarlar!$B$12+($Q309/60*Ayarlar!$B$9),0)</x:f>
        <x:v>0</x:v>
      </x:c>
      <x:c r="W309" s="83" t="n">
        <x:f>IF($B309&lt;&gt;"",SUM($T309:$V309,$R309:$S309),0)</x:f>
        <x:v>0</x:v>
      </x:c>
      <x:c r="X309" s="83" t="n">
        <x:f>IF($B309&lt;&gt;"",$W309*Ayarlar!$B$15,0)</x:f>
        <x:v>0</x:v>
      </x:c>
      <x:c r="Y309" s="83" t="n">
        <x:f>IF($B309&lt;&gt;"",($W309+$X309)*Ayarlar!$B$13,0)</x:f>
        <x:v>0</x:v>
      </x:c>
      <x:c r="Z309" s="83" t="n">
        <x:f>IF($B309&lt;&gt;"",($W309+$X309+$Y309)*Ayarlar!$B$14,0)</x:f>
        <x:v>0</x:v>
      </x:c>
      <x:c r="AA309" s="83" t="str">
        <x:f>IF($B309="","",IF(OR($K309="",$N309=""),"",CEILING($W309+$X309+$Y309+$Z309,Ayarlar!$B$16)))</x:f>
      </x:c>
      <x:c r="AB309" s="83" t="str">
        <x:f>IFERROR($AA309/$H309,"")</x:f>
      </x:c>
      <x:c r="AC309" s="75" t="str">
        <x:f>IF($B309="","",IF(OR($K309="",$N309=""),"Veri Eksik","Fiyat Hazır"))</x:f>
      </x:c>
      <x:c r="AD309" s="75" t="str">
        <x:f>IF($C309&lt;&gt;"","MW-"&amp;$C309,"")</x:f>
        <x:v>MW-80</x:v>
      </x:c>
      <x:c r="AE309" s="75" t="str">
        <x:f>IF($G309&lt;&gt;"","3D Baskı / "&amp;$G309,"3D Baskı")</x:f>
        <x:v>3D Baskı</x:v>
      </x:c>
      <x:c r="AF309" s="75" t="str">
        <x:f>IF($D309&lt;&gt;"",$D309&amp;" - "&amp;$G309,$AD309&amp;" - "&amp;$G309)</x:f>
        <x:v>MW-80 - </x:v>
      </x:c>
      <x:c r="AG309" s="75" t="str"/>
    </x:row>
    <x:row r="310">
      <x:c r="A310" s="75" t="str">
        <x:f>IF($B310&lt;&gt;"",ROW()-4,"")</x:f>
      </x:c>
      <x:c r="B310" s="75" t="str"/>
      <x:c r="C310" s="75" t="n">
        <x:f>IFERROR(LET(x,MID($B310,FIND("/models/",$B310)+8,80),y,LEFT(x,FIND("-",x&amp;"-")-1),LEFT(y,FIND("?",y&amp;"?")-1)),"")</x:f>
        <x:v>80</x:v>
      </x:c>
      <x:c r="D310" s="75" t="str">
        <x:f>IF($B310="","",IFERROR(XLOOKUP($C310,MakerWorld_Verileri!$A:$A,MakerWorld_Verileri!$B:$B,""),""))</x:f>
      </x:c>
      <x:c r="E310" s="75" t="str">
        <x:f>IF($B310="","",IFERROR(XLOOKUP($C310,MakerWorld_Verileri!$A:$A,MakerWorld_Verileri!$C:$C,""),""))</x:f>
      </x:c>
      <x:c r="F310" s="75" t="str"/>
      <x:c r="G310" s="75" t="str">
        <x:f>IF($B310&lt;&gt;"",Ayarlar!$B$7,"")</x:f>
      </x:c>
      <x:c r="H310" s="82" t="str">
        <x:f>IF($B310&lt;&gt;"",1,"")</x:f>
      </x:c>
      <x:c r="I310" s="82" t="str">
        <x:f>IF($B310="","",IFERROR(XLOOKUP($C310,MakerWorld_Verileri!$A:$A,MakerWorld_Verileri!$D:$D,""),""))</x:f>
      </x:c>
      <x:c r="J310" s="82" t="str"/>
      <x:c r="K310" s="82" t="str">
        <x:f>IF($I310&lt;&gt;"",$I310,$J310)</x:f>
      </x:c>
      <x:c r="L310" s="82" t="str">
        <x:f>IF($B310="","",IFERROR(XLOOKUP($C310,MakerWorld_Verileri!$A:$A,MakerWorld_Verileri!$E:$E,""),""))</x:f>
      </x:c>
      <x:c r="M310" s="82" t="str"/>
      <x:c r="N310" s="82" t="str">
        <x:f>IF($L310&lt;&gt;"",$L310,$M310)</x:f>
      </x:c>
      <x:c r="O310" s="82" t="str">
        <x:f>IF($B310&lt;&gt;"",0,"")</x:f>
      </x:c>
      <x:c r="P310" s="75" t="str">
        <x:f>IF($B310&lt;&gt;"","Orta","")</x:f>
      </x:c>
      <x:c r="Q310" s="82" t="str">
        <x:f>IF($B310&lt;&gt;"",10,"")</x:f>
      </x:c>
      <x:c r="R310" s="83" t="str">
        <x:f>IF($B310&lt;&gt;"",Ayarlar!$B$10,"")</x:f>
      </x:c>
      <x:c r="S310" s="83" t="str">
        <x:f>IF($B310&lt;&gt;"",0,"")</x:f>
      </x:c>
      <x:c r="T310" s="83" t="n">
        <x:f>IFERROR(($K310+$O310)*XLOOKUP($G310,Ayarlar!$A$19:$A$28,Ayarlar!$C$19:$C$28,0)*(1+Ayarlar!$B$11),0)</x:f>
        <x:v>0</x:v>
      </x:c>
      <x:c r="U310" s="83" t="n">
        <x:f>IFERROR($N310/60*Ayarlar!$B$8,0)</x:f>
        <x:v>0</x:v>
      </x:c>
      <x:c r="V310" s="83" t="n">
        <x:f>IF($B310&lt;&gt;"",Ayarlar!$B$12+($Q310/60*Ayarlar!$B$9),0)</x:f>
        <x:v>0</x:v>
      </x:c>
      <x:c r="W310" s="83" t="n">
        <x:f>IF($B310&lt;&gt;"",SUM($T310:$V310,$R310:$S310),0)</x:f>
        <x:v>0</x:v>
      </x:c>
      <x:c r="X310" s="83" t="n">
        <x:f>IF($B310&lt;&gt;"",$W310*Ayarlar!$B$15,0)</x:f>
        <x:v>0</x:v>
      </x:c>
      <x:c r="Y310" s="83" t="n">
        <x:f>IF($B310&lt;&gt;"",($W310+$X310)*Ayarlar!$B$13,0)</x:f>
        <x:v>0</x:v>
      </x:c>
      <x:c r="Z310" s="83" t="n">
        <x:f>IF($B310&lt;&gt;"",($W310+$X310+$Y310)*Ayarlar!$B$14,0)</x:f>
        <x:v>0</x:v>
      </x:c>
      <x:c r="AA310" s="83" t="str">
        <x:f>IF($B310="","",IF(OR($K310="",$N310=""),"",CEILING($W310+$X310+$Y310+$Z310,Ayarlar!$B$16)))</x:f>
      </x:c>
      <x:c r="AB310" s="83" t="str">
        <x:f>IFERROR($AA310/$H310,"")</x:f>
      </x:c>
      <x:c r="AC310" s="75" t="str">
        <x:f>IF($B310="","",IF(OR($K310="",$N310=""),"Veri Eksik","Fiyat Hazır"))</x:f>
      </x:c>
      <x:c r="AD310" s="75" t="str">
        <x:f>IF($C310&lt;&gt;"","MW-"&amp;$C310,"")</x:f>
        <x:v>MW-80</x:v>
      </x:c>
      <x:c r="AE310" s="75" t="str">
        <x:f>IF($G310&lt;&gt;"","3D Baskı / "&amp;$G310,"3D Baskı")</x:f>
        <x:v>3D Baskı</x:v>
      </x:c>
      <x:c r="AF310" s="75" t="str">
        <x:f>IF($D310&lt;&gt;"",$D310&amp;" - "&amp;$G310,$AD310&amp;" - "&amp;$G310)</x:f>
        <x:v>MW-80 - </x:v>
      </x:c>
      <x:c r="AG310" s="75" t="str"/>
    </x:row>
    <x:row r="311">
      <x:c r="A311" s="75" t="str">
        <x:f>IF($B311&lt;&gt;"",ROW()-4,"")</x:f>
      </x:c>
      <x:c r="B311" s="75" t="str"/>
      <x:c r="C311" s="75" t="n">
        <x:f>IFERROR(LET(x,MID($B311,FIND("/models/",$B311)+8,80),y,LEFT(x,FIND("-",x&amp;"-")-1),LEFT(y,FIND("?",y&amp;"?")-1)),"")</x:f>
        <x:v>80</x:v>
      </x:c>
      <x:c r="D311" s="75" t="str">
        <x:f>IF($B311="","",IFERROR(XLOOKUP($C311,MakerWorld_Verileri!$A:$A,MakerWorld_Verileri!$B:$B,""),""))</x:f>
      </x:c>
      <x:c r="E311" s="75" t="str">
        <x:f>IF($B311="","",IFERROR(XLOOKUP($C311,MakerWorld_Verileri!$A:$A,MakerWorld_Verileri!$C:$C,""),""))</x:f>
      </x:c>
      <x:c r="F311" s="75" t="str"/>
      <x:c r="G311" s="75" t="str">
        <x:f>IF($B311&lt;&gt;"",Ayarlar!$B$7,"")</x:f>
      </x:c>
      <x:c r="H311" s="82" t="str">
        <x:f>IF($B311&lt;&gt;"",1,"")</x:f>
      </x:c>
      <x:c r="I311" s="82" t="str">
        <x:f>IF($B311="","",IFERROR(XLOOKUP($C311,MakerWorld_Verileri!$A:$A,MakerWorld_Verileri!$D:$D,""),""))</x:f>
      </x:c>
      <x:c r="J311" s="82" t="str"/>
      <x:c r="K311" s="82" t="str">
        <x:f>IF($I311&lt;&gt;"",$I311,$J311)</x:f>
      </x:c>
      <x:c r="L311" s="82" t="str">
        <x:f>IF($B311="","",IFERROR(XLOOKUP($C311,MakerWorld_Verileri!$A:$A,MakerWorld_Verileri!$E:$E,""),""))</x:f>
      </x:c>
      <x:c r="M311" s="82" t="str"/>
      <x:c r="N311" s="82" t="str">
        <x:f>IF($L311&lt;&gt;"",$L311,$M311)</x:f>
      </x:c>
      <x:c r="O311" s="82" t="str">
        <x:f>IF($B311&lt;&gt;"",0,"")</x:f>
      </x:c>
      <x:c r="P311" s="75" t="str">
        <x:f>IF($B311&lt;&gt;"","Orta","")</x:f>
      </x:c>
      <x:c r="Q311" s="82" t="str">
        <x:f>IF($B311&lt;&gt;"",10,"")</x:f>
      </x:c>
      <x:c r="R311" s="83" t="str">
        <x:f>IF($B311&lt;&gt;"",Ayarlar!$B$10,"")</x:f>
      </x:c>
      <x:c r="S311" s="83" t="str">
        <x:f>IF($B311&lt;&gt;"",0,"")</x:f>
      </x:c>
      <x:c r="T311" s="83" t="n">
        <x:f>IFERROR(($K311+$O311)*XLOOKUP($G311,Ayarlar!$A$19:$A$28,Ayarlar!$C$19:$C$28,0)*(1+Ayarlar!$B$11),0)</x:f>
        <x:v>0</x:v>
      </x:c>
      <x:c r="U311" s="83" t="n">
        <x:f>IFERROR($N311/60*Ayarlar!$B$8,0)</x:f>
        <x:v>0</x:v>
      </x:c>
      <x:c r="V311" s="83" t="n">
        <x:f>IF($B311&lt;&gt;"",Ayarlar!$B$12+($Q311/60*Ayarlar!$B$9),0)</x:f>
        <x:v>0</x:v>
      </x:c>
      <x:c r="W311" s="83" t="n">
        <x:f>IF($B311&lt;&gt;"",SUM($T311:$V311,$R311:$S311),0)</x:f>
        <x:v>0</x:v>
      </x:c>
      <x:c r="X311" s="83" t="n">
        <x:f>IF($B311&lt;&gt;"",$W311*Ayarlar!$B$15,0)</x:f>
        <x:v>0</x:v>
      </x:c>
      <x:c r="Y311" s="83" t="n">
        <x:f>IF($B311&lt;&gt;"",($W311+$X311)*Ayarlar!$B$13,0)</x:f>
        <x:v>0</x:v>
      </x:c>
      <x:c r="Z311" s="83" t="n">
        <x:f>IF($B311&lt;&gt;"",($W311+$X311+$Y311)*Ayarlar!$B$14,0)</x:f>
        <x:v>0</x:v>
      </x:c>
      <x:c r="AA311" s="83" t="str">
        <x:f>IF($B311="","",IF(OR($K311="",$N311=""),"",CEILING($W311+$X311+$Y311+$Z311,Ayarlar!$B$16)))</x:f>
      </x:c>
      <x:c r="AB311" s="83" t="str">
        <x:f>IFERROR($AA311/$H311,"")</x:f>
      </x:c>
      <x:c r="AC311" s="75" t="str">
        <x:f>IF($B311="","",IF(OR($K311="",$N311=""),"Veri Eksik","Fiyat Hazır"))</x:f>
      </x:c>
      <x:c r="AD311" s="75" t="str">
        <x:f>IF($C311&lt;&gt;"","MW-"&amp;$C311,"")</x:f>
        <x:v>MW-80</x:v>
      </x:c>
      <x:c r="AE311" s="75" t="str">
        <x:f>IF($G311&lt;&gt;"","3D Baskı / "&amp;$G311,"3D Baskı")</x:f>
        <x:v>3D Baskı</x:v>
      </x:c>
      <x:c r="AF311" s="75" t="str">
        <x:f>IF($D311&lt;&gt;"",$D311&amp;" - "&amp;$G311,$AD311&amp;" - "&amp;$G311)</x:f>
        <x:v>MW-80 - </x:v>
      </x:c>
      <x:c r="AG311" s="75" t="str"/>
    </x:row>
    <x:row r="312">
      <x:c r="A312" s="75" t="str">
        <x:f>IF($B312&lt;&gt;"",ROW()-4,"")</x:f>
      </x:c>
      <x:c r="B312" s="75" t="str"/>
      <x:c r="C312" s="75" t="n">
        <x:f>IFERROR(LET(x,MID($B312,FIND("/models/",$B312)+8,80),y,LEFT(x,FIND("-",x&amp;"-")-1),LEFT(y,FIND("?",y&amp;"?")-1)),"")</x:f>
        <x:v>80</x:v>
      </x:c>
      <x:c r="D312" s="75" t="str">
        <x:f>IF($B312="","",IFERROR(XLOOKUP($C312,MakerWorld_Verileri!$A:$A,MakerWorld_Verileri!$B:$B,""),""))</x:f>
      </x:c>
      <x:c r="E312" s="75" t="str">
        <x:f>IF($B312="","",IFERROR(XLOOKUP($C312,MakerWorld_Verileri!$A:$A,MakerWorld_Verileri!$C:$C,""),""))</x:f>
      </x:c>
      <x:c r="F312" s="75" t="str"/>
      <x:c r="G312" s="75" t="str">
        <x:f>IF($B312&lt;&gt;"",Ayarlar!$B$7,"")</x:f>
      </x:c>
      <x:c r="H312" s="82" t="str">
        <x:f>IF($B312&lt;&gt;"",1,"")</x:f>
      </x:c>
      <x:c r="I312" s="82" t="str">
        <x:f>IF($B312="","",IFERROR(XLOOKUP($C312,MakerWorld_Verileri!$A:$A,MakerWorld_Verileri!$D:$D,""),""))</x:f>
      </x:c>
      <x:c r="J312" s="82" t="str"/>
      <x:c r="K312" s="82" t="str">
        <x:f>IF($I312&lt;&gt;"",$I312,$J312)</x:f>
      </x:c>
      <x:c r="L312" s="82" t="str">
        <x:f>IF($B312="","",IFERROR(XLOOKUP($C312,MakerWorld_Verileri!$A:$A,MakerWorld_Verileri!$E:$E,""),""))</x:f>
      </x:c>
      <x:c r="M312" s="82" t="str"/>
      <x:c r="N312" s="82" t="str">
        <x:f>IF($L312&lt;&gt;"",$L312,$M312)</x:f>
      </x:c>
      <x:c r="O312" s="82" t="str">
        <x:f>IF($B312&lt;&gt;"",0,"")</x:f>
      </x:c>
      <x:c r="P312" s="75" t="str">
        <x:f>IF($B312&lt;&gt;"","Orta","")</x:f>
      </x:c>
      <x:c r="Q312" s="82" t="str">
        <x:f>IF($B312&lt;&gt;"",10,"")</x:f>
      </x:c>
      <x:c r="R312" s="83" t="str">
        <x:f>IF($B312&lt;&gt;"",Ayarlar!$B$10,"")</x:f>
      </x:c>
      <x:c r="S312" s="83" t="str">
        <x:f>IF($B312&lt;&gt;"",0,"")</x:f>
      </x:c>
      <x:c r="T312" s="83" t="n">
        <x:f>IFERROR(($K312+$O312)*XLOOKUP($G312,Ayarlar!$A$19:$A$28,Ayarlar!$C$19:$C$28,0)*(1+Ayarlar!$B$11),0)</x:f>
        <x:v>0</x:v>
      </x:c>
      <x:c r="U312" s="83" t="n">
        <x:f>IFERROR($N312/60*Ayarlar!$B$8,0)</x:f>
        <x:v>0</x:v>
      </x:c>
      <x:c r="V312" s="83" t="n">
        <x:f>IF($B312&lt;&gt;"",Ayarlar!$B$12+($Q312/60*Ayarlar!$B$9),0)</x:f>
        <x:v>0</x:v>
      </x:c>
      <x:c r="W312" s="83" t="n">
        <x:f>IF($B312&lt;&gt;"",SUM($T312:$V312,$R312:$S312),0)</x:f>
        <x:v>0</x:v>
      </x:c>
      <x:c r="X312" s="83" t="n">
        <x:f>IF($B312&lt;&gt;"",$W312*Ayarlar!$B$15,0)</x:f>
        <x:v>0</x:v>
      </x:c>
      <x:c r="Y312" s="83" t="n">
        <x:f>IF($B312&lt;&gt;"",($W312+$X312)*Ayarlar!$B$13,0)</x:f>
        <x:v>0</x:v>
      </x:c>
      <x:c r="Z312" s="83" t="n">
        <x:f>IF($B312&lt;&gt;"",($W312+$X312+$Y312)*Ayarlar!$B$14,0)</x:f>
        <x:v>0</x:v>
      </x:c>
      <x:c r="AA312" s="83" t="str">
        <x:f>IF($B312="","",IF(OR($K312="",$N312=""),"",CEILING($W312+$X312+$Y312+$Z312,Ayarlar!$B$16)))</x:f>
      </x:c>
      <x:c r="AB312" s="83" t="str">
        <x:f>IFERROR($AA312/$H312,"")</x:f>
      </x:c>
      <x:c r="AC312" s="75" t="str">
        <x:f>IF($B312="","",IF(OR($K312="",$N312=""),"Veri Eksik","Fiyat Hazır"))</x:f>
      </x:c>
      <x:c r="AD312" s="75" t="str">
        <x:f>IF($C312&lt;&gt;"","MW-"&amp;$C312,"")</x:f>
        <x:v>MW-80</x:v>
      </x:c>
      <x:c r="AE312" s="75" t="str">
        <x:f>IF($G312&lt;&gt;"","3D Baskı / "&amp;$G312,"3D Baskı")</x:f>
        <x:v>3D Baskı</x:v>
      </x:c>
      <x:c r="AF312" s="75" t="str">
        <x:f>IF($D312&lt;&gt;"",$D312&amp;" - "&amp;$G312,$AD312&amp;" - "&amp;$G312)</x:f>
        <x:v>MW-80 - </x:v>
      </x:c>
      <x:c r="AG312" s="75" t="str"/>
    </x:row>
    <x:row r="313">
      <x:c r="A313" s="75" t="str">
        <x:f>IF($B313&lt;&gt;"",ROW()-4,"")</x:f>
      </x:c>
      <x:c r="B313" s="75" t="str"/>
      <x:c r="C313" s="75" t="n">
        <x:f>IFERROR(LET(x,MID($B313,FIND("/models/",$B313)+8,80),y,LEFT(x,FIND("-",x&amp;"-")-1),LEFT(y,FIND("?",y&amp;"?")-1)),"")</x:f>
        <x:v>80</x:v>
      </x:c>
      <x:c r="D313" s="75" t="str">
        <x:f>IF($B313="","",IFERROR(XLOOKUP($C313,MakerWorld_Verileri!$A:$A,MakerWorld_Verileri!$B:$B,""),""))</x:f>
      </x:c>
      <x:c r="E313" s="75" t="str">
        <x:f>IF($B313="","",IFERROR(XLOOKUP($C313,MakerWorld_Verileri!$A:$A,MakerWorld_Verileri!$C:$C,""),""))</x:f>
      </x:c>
      <x:c r="F313" s="75" t="str"/>
      <x:c r="G313" s="75" t="str">
        <x:f>IF($B313&lt;&gt;"",Ayarlar!$B$7,"")</x:f>
      </x:c>
      <x:c r="H313" s="82" t="str">
        <x:f>IF($B313&lt;&gt;"",1,"")</x:f>
      </x:c>
      <x:c r="I313" s="82" t="str">
        <x:f>IF($B313="","",IFERROR(XLOOKUP($C313,MakerWorld_Verileri!$A:$A,MakerWorld_Verileri!$D:$D,""),""))</x:f>
      </x:c>
      <x:c r="J313" s="82" t="str"/>
      <x:c r="K313" s="82" t="str">
        <x:f>IF($I313&lt;&gt;"",$I313,$J313)</x:f>
      </x:c>
      <x:c r="L313" s="82" t="str">
        <x:f>IF($B313="","",IFERROR(XLOOKUP($C313,MakerWorld_Verileri!$A:$A,MakerWorld_Verileri!$E:$E,""),""))</x:f>
      </x:c>
      <x:c r="M313" s="82" t="str"/>
      <x:c r="N313" s="82" t="str">
        <x:f>IF($L313&lt;&gt;"",$L313,$M313)</x:f>
      </x:c>
      <x:c r="O313" s="82" t="str">
        <x:f>IF($B313&lt;&gt;"",0,"")</x:f>
      </x:c>
      <x:c r="P313" s="75" t="str">
        <x:f>IF($B313&lt;&gt;"","Orta","")</x:f>
      </x:c>
      <x:c r="Q313" s="82" t="str">
        <x:f>IF($B313&lt;&gt;"",10,"")</x:f>
      </x:c>
      <x:c r="R313" s="83" t="str">
        <x:f>IF($B313&lt;&gt;"",Ayarlar!$B$10,"")</x:f>
      </x:c>
      <x:c r="S313" s="83" t="str">
        <x:f>IF($B313&lt;&gt;"",0,"")</x:f>
      </x:c>
      <x:c r="T313" s="83" t="n">
        <x:f>IFERROR(($K313+$O313)*XLOOKUP($G313,Ayarlar!$A$19:$A$28,Ayarlar!$C$19:$C$28,0)*(1+Ayarlar!$B$11),0)</x:f>
        <x:v>0</x:v>
      </x:c>
      <x:c r="U313" s="83" t="n">
        <x:f>IFERROR($N313/60*Ayarlar!$B$8,0)</x:f>
        <x:v>0</x:v>
      </x:c>
      <x:c r="V313" s="83" t="n">
        <x:f>IF($B313&lt;&gt;"",Ayarlar!$B$12+($Q313/60*Ayarlar!$B$9),0)</x:f>
        <x:v>0</x:v>
      </x:c>
      <x:c r="W313" s="83" t="n">
        <x:f>IF($B313&lt;&gt;"",SUM($T313:$V313,$R313:$S313),0)</x:f>
        <x:v>0</x:v>
      </x:c>
      <x:c r="X313" s="83" t="n">
        <x:f>IF($B313&lt;&gt;"",$W313*Ayarlar!$B$15,0)</x:f>
        <x:v>0</x:v>
      </x:c>
      <x:c r="Y313" s="83" t="n">
        <x:f>IF($B313&lt;&gt;"",($W313+$X313)*Ayarlar!$B$13,0)</x:f>
        <x:v>0</x:v>
      </x:c>
      <x:c r="Z313" s="83" t="n">
        <x:f>IF($B313&lt;&gt;"",($W313+$X313+$Y313)*Ayarlar!$B$14,0)</x:f>
        <x:v>0</x:v>
      </x:c>
      <x:c r="AA313" s="83" t="str">
        <x:f>IF($B313="","",IF(OR($K313="",$N313=""),"",CEILING($W313+$X313+$Y313+$Z313,Ayarlar!$B$16)))</x:f>
      </x:c>
      <x:c r="AB313" s="83" t="str">
        <x:f>IFERROR($AA313/$H313,"")</x:f>
      </x:c>
      <x:c r="AC313" s="75" t="str">
        <x:f>IF($B313="","",IF(OR($K313="",$N313=""),"Veri Eksik","Fiyat Hazır"))</x:f>
      </x:c>
      <x:c r="AD313" s="75" t="str">
        <x:f>IF($C313&lt;&gt;"","MW-"&amp;$C313,"")</x:f>
        <x:v>MW-80</x:v>
      </x:c>
      <x:c r="AE313" s="75" t="str">
        <x:f>IF($G313&lt;&gt;"","3D Baskı / "&amp;$G313,"3D Baskı")</x:f>
        <x:v>3D Baskı</x:v>
      </x:c>
      <x:c r="AF313" s="75" t="str">
        <x:f>IF($D313&lt;&gt;"",$D313&amp;" - "&amp;$G313,$AD313&amp;" - "&amp;$G313)</x:f>
        <x:v>MW-80 - </x:v>
      </x:c>
      <x:c r="AG313" s="75" t="str"/>
    </x:row>
    <x:row r="314">
      <x:c r="A314" s="75" t="str">
        <x:f>IF($B314&lt;&gt;"",ROW()-4,"")</x:f>
      </x:c>
      <x:c r="B314" s="75" t="str"/>
      <x:c r="C314" s="75" t="n">
        <x:f>IFERROR(LET(x,MID($B314,FIND("/models/",$B314)+8,80),y,LEFT(x,FIND("-",x&amp;"-")-1),LEFT(y,FIND("?",y&amp;"?")-1)),"")</x:f>
        <x:v>80</x:v>
      </x:c>
      <x:c r="D314" s="75" t="str">
        <x:f>IF($B314="","",IFERROR(XLOOKUP($C314,MakerWorld_Verileri!$A:$A,MakerWorld_Verileri!$B:$B,""),""))</x:f>
      </x:c>
      <x:c r="E314" s="75" t="str">
        <x:f>IF($B314="","",IFERROR(XLOOKUP($C314,MakerWorld_Verileri!$A:$A,MakerWorld_Verileri!$C:$C,""),""))</x:f>
      </x:c>
      <x:c r="F314" s="75" t="str"/>
      <x:c r="G314" s="75" t="str">
        <x:f>IF($B314&lt;&gt;"",Ayarlar!$B$7,"")</x:f>
      </x:c>
      <x:c r="H314" s="82" t="str">
        <x:f>IF($B314&lt;&gt;"",1,"")</x:f>
      </x:c>
      <x:c r="I314" s="82" t="str">
        <x:f>IF($B314="","",IFERROR(XLOOKUP($C314,MakerWorld_Verileri!$A:$A,MakerWorld_Verileri!$D:$D,""),""))</x:f>
      </x:c>
      <x:c r="J314" s="82" t="str"/>
      <x:c r="K314" s="82" t="str">
        <x:f>IF($I314&lt;&gt;"",$I314,$J314)</x:f>
      </x:c>
      <x:c r="L314" s="82" t="str">
        <x:f>IF($B314="","",IFERROR(XLOOKUP($C314,MakerWorld_Verileri!$A:$A,MakerWorld_Verileri!$E:$E,""),""))</x:f>
      </x:c>
      <x:c r="M314" s="82" t="str"/>
      <x:c r="N314" s="82" t="str">
        <x:f>IF($L314&lt;&gt;"",$L314,$M314)</x:f>
      </x:c>
      <x:c r="O314" s="82" t="str">
        <x:f>IF($B314&lt;&gt;"",0,"")</x:f>
      </x:c>
      <x:c r="P314" s="75" t="str">
        <x:f>IF($B314&lt;&gt;"","Orta","")</x:f>
      </x:c>
      <x:c r="Q314" s="82" t="str">
        <x:f>IF($B314&lt;&gt;"",10,"")</x:f>
      </x:c>
      <x:c r="R314" s="83" t="str">
        <x:f>IF($B314&lt;&gt;"",Ayarlar!$B$10,"")</x:f>
      </x:c>
      <x:c r="S314" s="83" t="str">
        <x:f>IF($B314&lt;&gt;"",0,"")</x:f>
      </x:c>
      <x:c r="T314" s="83" t="n">
        <x:f>IFERROR(($K314+$O314)*XLOOKUP($G314,Ayarlar!$A$19:$A$28,Ayarlar!$C$19:$C$28,0)*(1+Ayarlar!$B$11),0)</x:f>
        <x:v>0</x:v>
      </x:c>
      <x:c r="U314" s="83" t="n">
        <x:f>IFERROR($N314/60*Ayarlar!$B$8,0)</x:f>
        <x:v>0</x:v>
      </x:c>
      <x:c r="V314" s="83" t="n">
        <x:f>IF($B314&lt;&gt;"",Ayarlar!$B$12+($Q314/60*Ayarlar!$B$9),0)</x:f>
        <x:v>0</x:v>
      </x:c>
      <x:c r="W314" s="83" t="n">
        <x:f>IF($B314&lt;&gt;"",SUM($T314:$V314,$R314:$S314),0)</x:f>
        <x:v>0</x:v>
      </x:c>
      <x:c r="X314" s="83" t="n">
        <x:f>IF($B314&lt;&gt;"",$W314*Ayarlar!$B$15,0)</x:f>
        <x:v>0</x:v>
      </x:c>
      <x:c r="Y314" s="83" t="n">
        <x:f>IF($B314&lt;&gt;"",($W314+$X314)*Ayarlar!$B$13,0)</x:f>
        <x:v>0</x:v>
      </x:c>
      <x:c r="Z314" s="83" t="n">
        <x:f>IF($B314&lt;&gt;"",($W314+$X314+$Y314)*Ayarlar!$B$14,0)</x:f>
        <x:v>0</x:v>
      </x:c>
      <x:c r="AA314" s="83" t="str">
        <x:f>IF($B314="","",IF(OR($K314="",$N314=""),"",CEILING($W314+$X314+$Y314+$Z314,Ayarlar!$B$16)))</x:f>
      </x:c>
      <x:c r="AB314" s="83" t="str">
        <x:f>IFERROR($AA314/$H314,"")</x:f>
      </x:c>
      <x:c r="AC314" s="75" t="str">
        <x:f>IF($B314="","",IF(OR($K314="",$N314=""),"Veri Eksik","Fiyat Hazır"))</x:f>
      </x:c>
      <x:c r="AD314" s="75" t="str">
        <x:f>IF($C314&lt;&gt;"","MW-"&amp;$C314,"")</x:f>
        <x:v>MW-80</x:v>
      </x:c>
      <x:c r="AE314" s="75" t="str">
        <x:f>IF($G314&lt;&gt;"","3D Baskı / "&amp;$G314,"3D Baskı")</x:f>
        <x:v>3D Baskı</x:v>
      </x:c>
      <x:c r="AF314" s="75" t="str">
        <x:f>IF($D314&lt;&gt;"",$D314&amp;" - "&amp;$G314,$AD314&amp;" - "&amp;$G314)</x:f>
        <x:v>MW-80 - </x:v>
      </x:c>
      <x:c r="AG314" s="75" t="str"/>
    </x:row>
    <x:row r="315">
      <x:c r="A315" s="75" t="str">
        <x:f>IF($B315&lt;&gt;"",ROW()-4,"")</x:f>
      </x:c>
      <x:c r="B315" s="75" t="str"/>
      <x:c r="C315" s="75" t="n">
        <x:f>IFERROR(LET(x,MID($B315,FIND("/models/",$B315)+8,80),y,LEFT(x,FIND("-",x&amp;"-")-1),LEFT(y,FIND("?",y&amp;"?")-1)),"")</x:f>
        <x:v>80</x:v>
      </x:c>
      <x:c r="D315" s="75" t="str">
        <x:f>IF($B315="","",IFERROR(XLOOKUP($C315,MakerWorld_Verileri!$A:$A,MakerWorld_Verileri!$B:$B,""),""))</x:f>
      </x:c>
      <x:c r="E315" s="75" t="str">
        <x:f>IF($B315="","",IFERROR(XLOOKUP($C315,MakerWorld_Verileri!$A:$A,MakerWorld_Verileri!$C:$C,""),""))</x:f>
      </x:c>
      <x:c r="F315" s="75" t="str"/>
      <x:c r="G315" s="75" t="str">
        <x:f>IF($B315&lt;&gt;"",Ayarlar!$B$7,"")</x:f>
      </x:c>
      <x:c r="H315" s="82" t="str">
        <x:f>IF($B315&lt;&gt;"",1,"")</x:f>
      </x:c>
      <x:c r="I315" s="82" t="str">
        <x:f>IF($B315="","",IFERROR(XLOOKUP($C315,MakerWorld_Verileri!$A:$A,MakerWorld_Verileri!$D:$D,""),""))</x:f>
      </x:c>
      <x:c r="J315" s="82" t="str"/>
      <x:c r="K315" s="82" t="str">
        <x:f>IF($I315&lt;&gt;"",$I315,$J315)</x:f>
      </x:c>
      <x:c r="L315" s="82" t="str">
        <x:f>IF($B315="","",IFERROR(XLOOKUP($C315,MakerWorld_Verileri!$A:$A,MakerWorld_Verileri!$E:$E,""),""))</x:f>
      </x:c>
      <x:c r="M315" s="82" t="str"/>
      <x:c r="N315" s="82" t="str">
        <x:f>IF($L315&lt;&gt;"",$L315,$M315)</x:f>
      </x:c>
      <x:c r="O315" s="82" t="str">
        <x:f>IF($B315&lt;&gt;"",0,"")</x:f>
      </x:c>
      <x:c r="P315" s="75" t="str">
        <x:f>IF($B315&lt;&gt;"","Orta","")</x:f>
      </x:c>
      <x:c r="Q315" s="82" t="str">
        <x:f>IF($B315&lt;&gt;"",10,"")</x:f>
      </x:c>
      <x:c r="R315" s="83" t="str">
        <x:f>IF($B315&lt;&gt;"",Ayarlar!$B$10,"")</x:f>
      </x:c>
      <x:c r="S315" s="83" t="str">
        <x:f>IF($B315&lt;&gt;"",0,"")</x:f>
      </x:c>
      <x:c r="T315" s="83" t="n">
        <x:f>IFERROR(($K315+$O315)*XLOOKUP($G315,Ayarlar!$A$19:$A$28,Ayarlar!$C$19:$C$28,0)*(1+Ayarlar!$B$11),0)</x:f>
        <x:v>0</x:v>
      </x:c>
      <x:c r="U315" s="83" t="n">
        <x:f>IFERROR($N315/60*Ayarlar!$B$8,0)</x:f>
        <x:v>0</x:v>
      </x:c>
      <x:c r="V315" s="83" t="n">
        <x:f>IF($B315&lt;&gt;"",Ayarlar!$B$12+($Q315/60*Ayarlar!$B$9),0)</x:f>
        <x:v>0</x:v>
      </x:c>
      <x:c r="W315" s="83" t="n">
        <x:f>IF($B315&lt;&gt;"",SUM($T315:$V315,$R315:$S315),0)</x:f>
        <x:v>0</x:v>
      </x:c>
      <x:c r="X315" s="83" t="n">
        <x:f>IF($B315&lt;&gt;"",$W315*Ayarlar!$B$15,0)</x:f>
        <x:v>0</x:v>
      </x:c>
      <x:c r="Y315" s="83" t="n">
        <x:f>IF($B315&lt;&gt;"",($W315+$X315)*Ayarlar!$B$13,0)</x:f>
        <x:v>0</x:v>
      </x:c>
      <x:c r="Z315" s="83" t="n">
        <x:f>IF($B315&lt;&gt;"",($W315+$X315+$Y315)*Ayarlar!$B$14,0)</x:f>
        <x:v>0</x:v>
      </x:c>
      <x:c r="AA315" s="83" t="str">
        <x:f>IF($B315="","",IF(OR($K315="",$N315=""),"",CEILING($W315+$X315+$Y315+$Z315,Ayarlar!$B$16)))</x:f>
      </x:c>
      <x:c r="AB315" s="83" t="str">
        <x:f>IFERROR($AA315/$H315,"")</x:f>
      </x:c>
      <x:c r="AC315" s="75" t="str">
        <x:f>IF($B315="","",IF(OR($K315="",$N315=""),"Veri Eksik","Fiyat Hazır"))</x:f>
      </x:c>
      <x:c r="AD315" s="75" t="str">
        <x:f>IF($C315&lt;&gt;"","MW-"&amp;$C315,"")</x:f>
        <x:v>MW-80</x:v>
      </x:c>
      <x:c r="AE315" s="75" t="str">
        <x:f>IF($G315&lt;&gt;"","3D Baskı / "&amp;$G315,"3D Baskı")</x:f>
        <x:v>3D Baskı</x:v>
      </x:c>
      <x:c r="AF315" s="75" t="str">
        <x:f>IF($D315&lt;&gt;"",$D315&amp;" - "&amp;$G315,$AD315&amp;" - "&amp;$G315)</x:f>
        <x:v>MW-80 - </x:v>
      </x:c>
      <x:c r="AG315" s="75" t="str"/>
    </x:row>
    <x:row r="316">
      <x:c r="A316" s="75" t="str">
        <x:f>IF($B316&lt;&gt;"",ROW()-4,"")</x:f>
      </x:c>
      <x:c r="B316" s="75" t="str"/>
      <x:c r="C316" s="75" t="n">
        <x:f>IFERROR(LET(x,MID($B316,FIND("/models/",$B316)+8,80),y,LEFT(x,FIND("-",x&amp;"-")-1),LEFT(y,FIND("?",y&amp;"?")-1)),"")</x:f>
        <x:v>80</x:v>
      </x:c>
      <x:c r="D316" s="75" t="str">
        <x:f>IF($B316="","",IFERROR(XLOOKUP($C316,MakerWorld_Verileri!$A:$A,MakerWorld_Verileri!$B:$B,""),""))</x:f>
      </x:c>
      <x:c r="E316" s="75" t="str">
        <x:f>IF($B316="","",IFERROR(XLOOKUP($C316,MakerWorld_Verileri!$A:$A,MakerWorld_Verileri!$C:$C,""),""))</x:f>
      </x:c>
      <x:c r="F316" s="75" t="str"/>
      <x:c r="G316" s="75" t="str">
        <x:f>IF($B316&lt;&gt;"",Ayarlar!$B$7,"")</x:f>
      </x:c>
      <x:c r="H316" s="82" t="str">
        <x:f>IF($B316&lt;&gt;"",1,"")</x:f>
      </x:c>
      <x:c r="I316" s="82" t="str">
        <x:f>IF($B316="","",IFERROR(XLOOKUP($C316,MakerWorld_Verileri!$A:$A,MakerWorld_Verileri!$D:$D,""),""))</x:f>
      </x:c>
      <x:c r="J316" s="82" t="str"/>
      <x:c r="K316" s="82" t="str">
        <x:f>IF($I316&lt;&gt;"",$I316,$J316)</x:f>
      </x:c>
      <x:c r="L316" s="82" t="str">
        <x:f>IF($B316="","",IFERROR(XLOOKUP($C316,MakerWorld_Verileri!$A:$A,MakerWorld_Verileri!$E:$E,""),""))</x:f>
      </x:c>
      <x:c r="M316" s="82" t="str"/>
      <x:c r="N316" s="82" t="str">
        <x:f>IF($L316&lt;&gt;"",$L316,$M316)</x:f>
      </x:c>
      <x:c r="O316" s="82" t="str">
        <x:f>IF($B316&lt;&gt;"",0,"")</x:f>
      </x:c>
      <x:c r="P316" s="75" t="str">
        <x:f>IF($B316&lt;&gt;"","Orta","")</x:f>
      </x:c>
      <x:c r="Q316" s="82" t="str">
        <x:f>IF($B316&lt;&gt;"",10,"")</x:f>
      </x:c>
      <x:c r="R316" s="83" t="str">
        <x:f>IF($B316&lt;&gt;"",Ayarlar!$B$10,"")</x:f>
      </x:c>
      <x:c r="S316" s="83" t="str">
        <x:f>IF($B316&lt;&gt;"",0,"")</x:f>
      </x:c>
      <x:c r="T316" s="83" t="n">
        <x:f>IFERROR(($K316+$O316)*XLOOKUP($G316,Ayarlar!$A$19:$A$28,Ayarlar!$C$19:$C$28,0)*(1+Ayarlar!$B$11),0)</x:f>
        <x:v>0</x:v>
      </x:c>
      <x:c r="U316" s="83" t="n">
        <x:f>IFERROR($N316/60*Ayarlar!$B$8,0)</x:f>
        <x:v>0</x:v>
      </x:c>
      <x:c r="V316" s="83" t="n">
        <x:f>IF($B316&lt;&gt;"",Ayarlar!$B$12+($Q316/60*Ayarlar!$B$9),0)</x:f>
        <x:v>0</x:v>
      </x:c>
      <x:c r="W316" s="83" t="n">
        <x:f>IF($B316&lt;&gt;"",SUM($T316:$V316,$R316:$S316),0)</x:f>
        <x:v>0</x:v>
      </x:c>
      <x:c r="X316" s="83" t="n">
        <x:f>IF($B316&lt;&gt;"",$W316*Ayarlar!$B$15,0)</x:f>
        <x:v>0</x:v>
      </x:c>
      <x:c r="Y316" s="83" t="n">
        <x:f>IF($B316&lt;&gt;"",($W316+$X316)*Ayarlar!$B$13,0)</x:f>
        <x:v>0</x:v>
      </x:c>
      <x:c r="Z316" s="83" t="n">
        <x:f>IF($B316&lt;&gt;"",($W316+$X316+$Y316)*Ayarlar!$B$14,0)</x:f>
        <x:v>0</x:v>
      </x:c>
      <x:c r="AA316" s="83" t="str">
        <x:f>IF($B316="","",IF(OR($K316="",$N316=""),"",CEILING($W316+$X316+$Y316+$Z316,Ayarlar!$B$16)))</x:f>
      </x:c>
      <x:c r="AB316" s="83" t="str">
        <x:f>IFERROR($AA316/$H316,"")</x:f>
      </x:c>
      <x:c r="AC316" s="75" t="str">
        <x:f>IF($B316="","",IF(OR($K316="",$N316=""),"Veri Eksik","Fiyat Hazır"))</x:f>
      </x:c>
      <x:c r="AD316" s="75" t="str">
        <x:f>IF($C316&lt;&gt;"","MW-"&amp;$C316,"")</x:f>
        <x:v>MW-80</x:v>
      </x:c>
      <x:c r="AE316" s="75" t="str">
        <x:f>IF($G316&lt;&gt;"","3D Baskı / "&amp;$G316,"3D Baskı")</x:f>
        <x:v>3D Baskı</x:v>
      </x:c>
      <x:c r="AF316" s="75" t="str">
        <x:f>IF($D316&lt;&gt;"",$D316&amp;" - "&amp;$G316,$AD316&amp;" - "&amp;$G316)</x:f>
        <x:v>MW-80 - </x:v>
      </x:c>
      <x:c r="AG316" s="75" t="str"/>
    </x:row>
    <x:row r="317">
      <x:c r="A317" s="75" t="str">
        <x:f>IF($B317&lt;&gt;"",ROW()-4,"")</x:f>
      </x:c>
      <x:c r="B317" s="75" t="str"/>
      <x:c r="C317" s="75" t="n">
        <x:f>IFERROR(LET(x,MID($B317,FIND("/models/",$B317)+8,80),y,LEFT(x,FIND("-",x&amp;"-")-1),LEFT(y,FIND("?",y&amp;"?")-1)),"")</x:f>
        <x:v>80</x:v>
      </x:c>
      <x:c r="D317" s="75" t="str">
        <x:f>IF($B317="","",IFERROR(XLOOKUP($C317,MakerWorld_Verileri!$A:$A,MakerWorld_Verileri!$B:$B,""),""))</x:f>
      </x:c>
      <x:c r="E317" s="75" t="str">
        <x:f>IF($B317="","",IFERROR(XLOOKUP($C317,MakerWorld_Verileri!$A:$A,MakerWorld_Verileri!$C:$C,""),""))</x:f>
      </x:c>
      <x:c r="F317" s="75" t="str"/>
      <x:c r="G317" s="75" t="str">
        <x:f>IF($B317&lt;&gt;"",Ayarlar!$B$7,"")</x:f>
      </x:c>
      <x:c r="H317" s="82" t="str">
        <x:f>IF($B317&lt;&gt;"",1,"")</x:f>
      </x:c>
      <x:c r="I317" s="82" t="str">
        <x:f>IF($B317="","",IFERROR(XLOOKUP($C317,MakerWorld_Verileri!$A:$A,MakerWorld_Verileri!$D:$D,""),""))</x:f>
      </x:c>
      <x:c r="J317" s="82" t="str"/>
      <x:c r="K317" s="82" t="str">
        <x:f>IF($I317&lt;&gt;"",$I317,$J317)</x:f>
      </x:c>
      <x:c r="L317" s="82" t="str">
        <x:f>IF($B317="","",IFERROR(XLOOKUP($C317,MakerWorld_Verileri!$A:$A,MakerWorld_Verileri!$E:$E,""),""))</x:f>
      </x:c>
      <x:c r="M317" s="82" t="str"/>
      <x:c r="N317" s="82" t="str">
        <x:f>IF($L317&lt;&gt;"",$L317,$M317)</x:f>
      </x:c>
      <x:c r="O317" s="82" t="str">
        <x:f>IF($B317&lt;&gt;"",0,"")</x:f>
      </x:c>
      <x:c r="P317" s="75" t="str">
        <x:f>IF($B317&lt;&gt;"","Orta","")</x:f>
      </x:c>
      <x:c r="Q317" s="82" t="str">
        <x:f>IF($B317&lt;&gt;"",10,"")</x:f>
      </x:c>
      <x:c r="R317" s="83" t="str">
        <x:f>IF($B317&lt;&gt;"",Ayarlar!$B$10,"")</x:f>
      </x:c>
      <x:c r="S317" s="83" t="str">
        <x:f>IF($B317&lt;&gt;"",0,"")</x:f>
      </x:c>
      <x:c r="T317" s="83" t="n">
        <x:f>IFERROR(($K317+$O317)*XLOOKUP($G317,Ayarlar!$A$19:$A$28,Ayarlar!$C$19:$C$28,0)*(1+Ayarlar!$B$11),0)</x:f>
        <x:v>0</x:v>
      </x:c>
      <x:c r="U317" s="83" t="n">
        <x:f>IFERROR($N317/60*Ayarlar!$B$8,0)</x:f>
        <x:v>0</x:v>
      </x:c>
      <x:c r="V317" s="83" t="n">
        <x:f>IF($B317&lt;&gt;"",Ayarlar!$B$12+($Q317/60*Ayarlar!$B$9),0)</x:f>
        <x:v>0</x:v>
      </x:c>
      <x:c r="W317" s="83" t="n">
        <x:f>IF($B317&lt;&gt;"",SUM($T317:$V317,$R317:$S317),0)</x:f>
        <x:v>0</x:v>
      </x:c>
      <x:c r="X317" s="83" t="n">
        <x:f>IF($B317&lt;&gt;"",$W317*Ayarlar!$B$15,0)</x:f>
        <x:v>0</x:v>
      </x:c>
      <x:c r="Y317" s="83" t="n">
        <x:f>IF($B317&lt;&gt;"",($W317+$X317)*Ayarlar!$B$13,0)</x:f>
        <x:v>0</x:v>
      </x:c>
      <x:c r="Z317" s="83" t="n">
        <x:f>IF($B317&lt;&gt;"",($W317+$X317+$Y317)*Ayarlar!$B$14,0)</x:f>
        <x:v>0</x:v>
      </x:c>
      <x:c r="AA317" s="83" t="str">
        <x:f>IF($B317="","",IF(OR($K317="",$N317=""),"",CEILING($W317+$X317+$Y317+$Z317,Ayarlar!$B$16)))</x:f>
      </x:c>
      <x:c r="AB317" s="83" t="str">
        <x:f>IFERROR($AA317/$H317,"")</x:f>
      </x:c>
      <x:c r="AC317" s="75" t="str">
        <x:f>IF($B317="","",IF(OR($K317="",$N317=""),"Veri Eksik","Fiyat Hazır"))</x:f>
      </x:c>
      <x:c r="AD317" s="75" t="str">
        <x:f>IF($C317&lt;&gt;"","MW-"&amp;$C317,"")</x:f>
        <x:v>MW-80</x:v>
      </x:c>
      <x:c r="AE317" s="75" t="str">
        <x:f>IF($G317&lt;&gt;"","3D Baskı / "&amp;$G317,"3D Baskı")</x:f>
        <x:v>3D Baskı</x:v>
      </x:c>
      <x:c r="AF317" s="75" t="str">
        <x:f>IF($D317&lt;&gt;"",$D317&amp;" - "&amp;$G317,$AD317&amp;" - "&amp;$G317)</x:f>
        <x:v>MW-80 - </x:v>
      </x:c>
      <x:c r="AG317" s="75" t="str"/>
    </x:row>
    <x:row r="318">
      <x:c r="A318" s="75" t="str">
        <x:f>IF($B318&lt;&gt;"",ROW()-4,"")</x:f>
      </x:c>
      <x:c r="B318" s="75" t="str"/>
      <x:c r="C318" s="75" t="n">
        <x:f>IFERROR(LET(x,MID($B318,FIND("/models/",$B318)+8,80),y,LEFT(x,FIND("-",x&amp;"-")-1),LEFT(y,FIND("?",y&amp;"?")-1)),"")</x:f>
        <x:v>80</x:v>
      </x:c>
      <x:c r="D318" s="75" t="str">
        <x:f>IF($B318="","",IFERROR(XLOOKUP($C318,MakerWorld_Verileri!$A:$A,MakerWorld_Verileri!$B:$B,""),""))</x:f>
      </x:c>
      <x:c r="E318" s="75" t="str">
        <x:f>IF($B318="","",IFERROR(XLOOKUP($C318,MakerWorld_Verileri!$A:$A,MakerWorld_Verileri!$C:$C,""),""))</x:f>
      </x:c>
      <x:c r="F318" s="75" t="str"/>
      <x:c r="G318" s="75" t="str">
        <x:f>IF($B318&lt;&gt;"",Ayarlar!$B$7,"")</x:f>
      </x:c>
      <x:c r="H318" s="82" t="str">
        <x:f>IF($B318&lt;&gt;"",1,"")</x:f>
      </x:c>
      <x:c r="I318" s="82" t="str">
        <x:f>IF($B318="","",IFERROR(XLOOKUP($C318,MakerWorld_Verileri!$A:$A,MakerWorld_Verileri!$D:$D,""),""))</x:f>
      </x:c>
      <x:c r="J318" s="82" t="str"/>
      <x:c r="K318" s="82" t="str">
        <x:f>IF($I318&lt;&gt;"",$I318,$J318)</x:f>
      </x:c>
      <x:c r="L318" s="82" t="str">
        <x:f>IF($B318="","",IFERROR(XLOOKUP($C318,MakerWorld_Verileri!$A:$A,MakerWorld_Verileri!$E:$E,""),""))</x:f>
      </x:c>
      <x:c r="M318" s="82" t="str"/>
      <x:c r="N318" s="82" t="str">
        <x:f>IF($L318&lt;&gt;"",$L318,$M318)</x:f>
      </x:c>
      <x:c r="O318" s="82" t="str">
        <x:f>IF($B318&lt;&gt;"",0,"")</x:f>
      </x:c>
      <x:c r="P318" s="75" t="str">
        <x:f>IF($B318&lt;&gt;"","Orta","")</x:f>
      </x:c>
      <x:c r="Q318" s="82" t="str">
        <x:f>IF($B318&lt;&gt;"",10,"")</x:f>
      </x:c>
      <x:c r="R318" s="83" t="str">
        <x:f>IF($B318&lt;&gt;"",Ayarlar!$B$10,"")</x:f>
      </x:c>
      <x:c r="S318" s="83" t="str">
        <x:f>IF($B318&lt;&gt;"",0,"")</x:f>
      </x:c>
      <x:c r="T318" s="83" t="n">
        <x:f>IFERROR(($K318+$O318)*XLOOKUP($G318,Ayarlar!$A$19:$A$28,Ayarlar!$C$19:$C$28,0)*(1+Ayarlar!$B$11),0)</x:f>
        <x:v>0</x:v>
      </x:c>
      <x:c r="U318" s="83" t="n">
        <x:f>IFERROR($N318/60*Ayarlar!$B$8,0)</x:f>
        <x:v>0</x:v>
      </x:c>
      <x:c r="V318" s="83" t="n">
        <x:f>IF($B318&lt;&gt;"",Ayarlar!$B$12+($Q318/60*Ayarlar!$B$9),0)</x:f>
        <x:v>0</x:v>
      </x:c>
      <x:c r="W318" s="83" t="n">
        <x:f>IF($B318&lt;&gt;"",SUM($T318:$V318,$R318:$S318),0)</x:f>
        <x:v>0</x:v>
      </x:c>
      <x:c r="X318" s="83" t="n">
        <x:f>IF($B318&lt;&gt;"",$W318*Ayarlar!$B$15,0)</x:f>
        <x:v>0</x:v>
      </x:c>
      <x:c r="Y318" s="83" t="n">
        <x:f>IF($B318&lt;&gt;"",($W318+$X318)*Ayarlar!$B$13,0)</x:f>
        <x:v>0</x:v>
      </x:c>
      <x:c r="Z318" s="83" t="n">
        <x:f>IF($B318&lt;&gt;"",($W318+$X318+$Y318)*Ayarlar!$B$14,0)</x:f>
        <x:v>0</x:v>
      </x:c>
      <x:c r="AA318" s="83" t="str">
        <x:f>IF($B318="","",IF(OR($K318="",$N318=""),"",CEILING($W318+$X318+$Y318+$Z318,Ayarlar!$B$16)))</x:f>
      </x:c>
      <x:c r="AB318" s="83" t="str">
        <x:f>IFERROR($AA318/$H318,"")</x:f>
      </x:c>
      <x:c r="AC318" s="75" t="str">
        <x:f>IF($B318="","",IF(OR($K318="",$N318=""),"Veri Eksik","Fiyat Hazır"))</x:f>
      </x:c>
      <x:c r="AD318" s="75" t="str">
        <x:f>IF($C318&lt;&gt;"","MW-"&amp;$C318,"")</x:f>
        <x:v>MW-80</x:v>
      </x:c>
      <x:c r="AE318" s="75" t="str">
        <x:f>IF($G318&lt;&gt;"","3D Baskı / "&amp;$G318,"3D Baskı")</x:f>
        <x:v>3D Baskı</x:v>
      </x:c>
      <x:c r="AF318" s="75" t="str">
        <x:f>IF($D318&lt;&gt;"",$D318&amp;" - "&amp;$G318,$AD318&amp;" - "&amp;$G318)</x:f>
        <x:v>MW-80 - </x:v>
      </x:c>
      <x:c r="AG318" s="75" t="str"/>
    </x:row>
    <x:row r="319">
      <x:c r="A319" s="75" t="str">
        <x:f>IF($B319&lt;&gt;"",ROW()-4,"")</x:f>
      </x:c>
      <x:c r="B319" s="75" t="str"/>
      <x:c r="C319" s="75" t="n">
        <x:f>IFERROR(LET(x,MID($B319,FIND("/models/",$B319)+8,80),y,LEFT(x,FIND("-",x&amp;"-")-1),LEFT(y,FIND("?",y&amp;"?")-1)),"")</x:f>
        <x:v>80</x:v>
      </x:c>
      <x:c r="D319" s="75" t="str">
        <x:f>IF($B319="","",IFERROR(XLOOKUP($C319,MakerWorld_Verileri!$A:$A,MakerWorld_Verileri!$B:$B,""),""))</x:f>
      </x:c>
      <x:c r="E319" s="75" t="str">
        <x:f>IF($B319="","",IFERROR(XLOOKUP($C319,MakerWorld_Verileri!$A:$A,MakerWorld_Verileri!$C:$C,""),""))</x:f>
      </x:c>
      <x:c r="F319" s="75" t="str"/>
      <x:c r="G319" s="75" t="str">
        <x:f>IF($B319&lt;&gt;"",Ayarlar!$B$7,"")</x:f>
      </x:c>
      <x:c r="H319" s="82" t="str">
        <x:f>IF($B319&lt;&gt;"",1,"")</x:f>
      </x:c>
      <x:c r="I319" s="82" t="str">
        <x:f>IF($B319="","",IFERROR(XLOOKUP($C319,MakerWorld_Verileri!$A:$A,MakerWorld_Verileri!$D:$D,""),""))</x:f>
      </x:c>
      <x:c r="J319" s="82" t="str"/>
      <x:c r="K319" s="82" t="str">
        <x:f>IF($I319&lt;&gt;"",$I319,$J319)</x:f>
      </x:c>
      <x:c r="L319" s="82" t="str">
        <x:f>IF($B319="","",IFERROR(XLOOKUP($C319,MakerWorld_Verileri!$A:$A,MakerWorld_Verileri!$E:$E,""),""))</x:f>
      </x:c>
      <x:c r="M319" s="82" t="str"/>
      <x:c r="N319" s="82" t="str">
        <x:f>IF($L319&lt;&gt;"",$L319,$M319)</x:f>
      </x:c>
      <x:c r="O319" s="82" t="str">
        <x:f>IF($B319&lt;&gt;"",0,"")</x:f>
      </x:c>
      <x:c r="P319" s="75" t="str">
        <x:f>IF($B319&lt;&gt;"","Orta","")</x:f>
      </x:c>
      <x:c r="Q319" s="82" t="str">
        <x:f>IF($B319&lt;&gt;"",10,"")</x:f>
      </x:c>
      <x:c r="R319" s="83" t="str">
        <x:f>IF($B319&lt;&gt;"",Ayarlar!$B$10,"")</x:f>
      </x:c>
      <x:c r="S319" s="83" t="str">
        <x:f>IF($B319&lt;&gt;"",0,"")</x:f>
      </x:c>
      <x:c r="T319" s="83" t="n">
        <x:f>IFERROR(($K319+$O319)*XLOOKUP($G319,Ayarlar!$A$19:$A$28,Ayarlar!$C$19:$C$28,0)*(1+Ayarlar!$B$11),0)</x:f>
        <x:v>0</x:v>
      </x:c>
      <x:c r="U319" s="83" t="n">
        <x:f>IFERROR($N319/60*Ayarlar!$B$8,0)</x:f>
        <x:v>0</x:v>
      </x:c>
      <x:c r="V319" s="83" t="n">
        <x:f>IF($B319&lt;&gt;"",Ayarlar!$B$12+($Q319/60*Ayarlar!$B$9),0)</x:f>
        <x:v>0</x:v>
      </x:c>
      <x:c r="W319" s="83" t="n">
        <x:f>IF($B319&lt;&gt;"",SUM($T319:$V319,$R319:$S319),0)</x:f>
        <x:v>0</x:v>
      </x:c>
      <x:c r="X319" s="83" t="n">
        <x:f>IF($B319&lt;&gt;"",$W319*Ayarlar!$B$15,0)</x:f>
        <x:v>0</x:v>
      </x:c>
      <x:c r="Y319" s="83" t="n">
        <x:f>IF($B319&lt;&gt;"",($W319+$X319)*Ayarlar!$B$13,0)</x:f>
        <x:v>0</x:v>
      </x:c>
      <x:c r="Z319" s="83" t="n">
        <x:f>IF($B319&lt;&gt;"",($W319+$X319+$Y319)*Ayarlar!$B$14,0)</x:f>
        <x:v>0</x:v>
      </x:c>
      <x:c r="AA319" s="83" t="str">
        <x:f>IF($B319="","",IF(OR($K319="",$N319=""),"",CEILING($W319+$X319+$Y319+$Z319,Ayarlar!$B$16)))</x:f>
      </x:c>
      <x:c r="AB319" s="83" t="str">
        <x:f>IFERROR($AA319/$H319,"")</x:f>
      </x:c>
      <x:c r="AC319" s="75" t="str">
        <x:f>IF($B319="","",IF(OR($K319="",$N319=""),"Veri Eksik","Fiyat Hazır"))</x:f>
      </x:c>
      <x:c r="AD319" s="75" t="str">
        <x:f>IF($C319&lt;&gt;"","MW-"&amp;$C319,"")</x:f>
        <x:v>MW-80</x:v>
      </x:c>
      <x:c r="AE319" s="75" t="str">
        <x:f>IF($G319&lt;&gt;"","3D Baskı / "&amp;$G319,"3D Baskı")</x:f>
        <x:v>3D Baskı</x:v>
      </x:c>
      <x:c r="AF319" s="75" t="str">
        <x:f>IF($D319&lt;&gt;"",$D319&amp;" - "&amp;$G319,$AD319&amp;" - "&amp;$G319)</x:f>
        <x:v>MW-80 - </x:v>
      </x:c>
      <x:c r="AG319" s="75" t="str"/>
    </x:row>
    <x:row r="320">
      <x:c r="A320" s="75" t="str">
        <x:f>IF($B320&lt;&gt;"",ROW()-4,"")</x:f>
      </x:c>
      <x:c r="B320" s="75" t="str"/>
      <x:c r="C320" s="75" t="n">
        <x:f>IFERROR(LET(x,MID($B320,FIND("/models/",$B320)+8,80),y,LEFT(x,FIND("-",x&amp;"-")-1),LEFT(y,FIND("?",y&amp;"?")-1)),"")</x:f>
        <x:v>80</x:v>
      </x:c>
      <x:c r="D320" s="75" t="str">
        <x:f>IF($B320="","",IFERROR(XLOOKUP($C320,MakerWorld_Verileri!$A:$A,MakerWorld_Verileri!$B:$B,""),""))</x:f>
      </x:c>
      <x:c r="E320" s="75" t="str">
        <x:f>IF($B320="","",IFERROR(XLOOKUP($C320,MakerWorld_Verileri!$A:$A,MakerWorld_Verileri!$C:$C,""),""))</x:f>
      </x:c>
      <x:c r="F320" s="75" t="str"/>
      <x:c r="G320" s="75" t="str">
        <x:f>IF($B320&lt;&gt;"",Ayarlar!$B$7,"")</x:f>
      </x:c>
      <x:c r="H320" s="82" t="str">
        <x:f>IF($B320&lt;&gt;"",1,"")</x:f>
      </x:c>
      <x:c r="I320" s="82" t="str">
        <x:f>IF($B320="","",IFERROR(XLOOKUP($C320,MakerWorld_Verileri!$A:$A,MakerWorld_Verileri!$D:$D,""),""))</x:f>
      </x:c>
      <x:c r="J320" s="82" t="str"/>
      <x:c r="K320" s="82" t="str">
        <x:f>IF($I320&lt;&gt;"",$I320,$J320)</x:f>
      </x:c>
      <x:c r="L320" s="82" t="str">
        <x:f>IF($B320="","",IFERROR(XLOOKUP($C320,MakerWorld_Verileri!$A:$A,MakerWorld_Verileri!$E:$E,""),""))</x:f>
      </x:c>
      <x:c r="M320" s="82" t="str"/>
      <x:c r="N320" s="82" t="str">
        <x:f>IF($L320&lt;&gt;"",$L320,$M320)</x:f>
      </x:c>
      <x:c r="O320" s="82" t="str">
        <x:f>IF($B320&lt;&gt;"",0,"")</x:f>
      </x:c>
      <x:c r="P320" s="75" t="str">
        <x:f>IF($B320&lt;&gt;"","Orta","")</x:f>
      </x:c>
      <x:c r="Q320" s="82" t="str">
        <x:f>IF($B320&lt;&gt;"",10,"")</x:f>
      </x:c>
      <x:c r="R320" s="83" t="str">
        <x:f>IF($B320&lt;&gt;"",Ayarlar!$B$10,"")</x:f>
      </x:c>
      <x:c r="S320" s="83" t="str">
        <x:f>IF($B320&lt;&gt;"",0,"")</x:f>
      </x:c>
      <x:c r="T320" s="83" t="n">
        <x:f>IFERROR(($K320+$O320)*XLOOKUP($G320,Ayarlar!$A$19:$A$28,Ayarlar!$C$19:$C$28,0)*(1+Ayarlar!$B$11),0)</x:f>
        <x:v>0</x:v>
      </x:c>
      <x:c r="U320" s="83" t="n">
        <x:f>IFERROR($N320/60*Ayarlar!$B$8,0)</x:f>
        <x:v>0</x:v>
      </x:c>
      <x:c r="V320" s="83" t="n">
        <x:f>IF($B320&lt;&gt;"",Ayarlar!$B$12+($Q320/60*Ayarlar!$B$9),0)</x:f>
        <x:v>0</x:v>
      </x:c>
      <x:c r="W320" s="83" t="n">
        <x:f>IF($B320&lt;&gt;"",SUM($T320:$V320,$R320:$S320),0)</x:f>
        <x:v>0</x:v>
      </x:c>
      <x:c r="X320" s="83" t="n">
        <x:f>IF($B320&lt;&gt;"",$W320*Ayarlar!$B$15,0)</x:f>
        <x:v>0</x:v>
      </x:c>
      <x:c r="Y320" s="83" t="n">
        <x:f>IF($B320&lt;&gt;"",($W320+$X320)*Ayarlar!$B$13,0)</x:f>
        <x:v>0</x:v>
      </x:c>
      <x:c r="Z320" s="83" t="n">
        <x:f>IF($B320&lt;&gt;"",($W320+$X320+$Y320)*Ayarlar!$B$14,0)</x:f>
        <x:v>0</x:v>
      </x:c>
      <x:c r="AA320" s="83" t="str">
        <x:f>IF($B320="","",IF(OR($K320="",$N320=""),"",CEILING($W320+$X320+$Y320+$Z320,Ayarlar!$B$16)))</x:f>
      </x:c>
      <x:c r="AB320" s="83" t="str">
        <x:f>IFERROR($AA320/$H320,"")</x:f>
      </x:c>
      <x:c r="AC320" s="75" t="str">
        <x:f>IF($B320="","",IF(OR($K320="",$N320=""),"Veri Eksik","Fiyat Hazır"))</x:f>
      </x:c>
      <x:c r="AD320" s="75" t="str">
        <x:f>IF($C320&lt;&gt;"","MW-"&amp;$C320,"")</x:f>
        <x:v>MW-80</x:v>
      </x:c>
      <x:c r="AE320" s="75" t="str">
        <x:f>IF($G320&lt;&gt;"","3D Baskı / "&amp;$G320,"3D Baskı")</x:f>
        <x:v>3D Baskı</x:v>
      </x:c>
      <x:c r="AF320" s="75" t="str">
        <x:f>IF($D320&lt;&gt;"",$D320&amp;" - "&amp;$G320,$AD320&amp;" - "&amp;$G320)</x:f>
        <x:v>MW-80 - </x:v>
      </x:c>
      <x:c r="AG320" s="75" t="str"/>
    </x:row>
    <x:row r="321">
      <x:c r="A321" s="75" t="str">
        <x:f>IF($B321&lt;&gt;"",ROW()-4,"")</x:f>
      </x:c>
      <x:c r="B321" s="75" t="str"/>
      <x:c r="C321" s="75" t="n">
        <x:f>IFERROR(LET(x,MID($B321,FIND("/models/",$B321)+8,80),y,LEFT(x,FIND("-",x&amp;"-")-1),LEFT(y,FIND("?",y&amp;"?")-1)),"")</x:f>
        <x:v>80</x:v>
      </x:c>
      <x:c r="D321" s="75" t="str">
        <x:f>IF($B321="","",IFERROR(XLOOKUP($C321,MakerWorld_Verileri!$A:$A,MakerWorld_Verileri!$B:$B,""),""))</x:f>
      </x:c>
      <x:c r="E321" s="75" t="str">
        <x:f>IF($B321="","",IFERROR(XLOOKUP($C321,MakerWorld_Verileri!$A:$A,MakerWorld_Verileri!$C:$C,""),""))</x:f>
      </x:c>
      <x:c r="F321" s="75" t="str"/>
      <x:c r="G321" s="75" t="str">
        <x:f>IF($B321&lt;&gt;"",Ayarlar!$B$7,"")</x:f>
      </x:c>
      <x:c r="H321" s="82" t="str">
        <x:f>IF($B321&lt;&gt;"",1,"")</x:f>
      </x:c>
      <x:c r="I321" s="82" t="str">
        <x:f>IF($B321="","",IFERROR(XLOOKUP($C321,MakerWorld_Verileri!$A:$A,MakerWorld_Verileri!$D:$D,""),""))</x:f>
      </x:c>
      <x:c r="J321" s="82" t="str"/>
      <x:c r="K321" s="82" t="str">
        <x:f>IF($I321&lt;&gt;"",$I321,$J321)</x:f>
      </x:c>
      <x:c r="L321" s="82" t="str">
        <x:f>IF($B321="","",IFERROR(XLOOKUP($C321,MakerWorld_Verileri!$A:$A,MakerWorld_Verileri!$E:$E,""),""))</x:f>
      </x:c>
      <x:c r="M321" s="82" t="str"/>
      <x:c r="N321" s="82" t="str">
        <x:f>IF($L321&lt;&gt;"",$L321,$M321)</x:f>
      </x:c>
      <x:c r="O321" s="82" t="str">
        <x:f>IF($B321&lt;&gt;"",0,"")</x:f>
      </x:c>
      <x:c r="P321" s="75" t="str">
        <x:f>IF($B321&lt;&gt;"","Orta","")</x:f>
      </x:c>
      <x:c r="Q321" s="82" t="str">
        <x:f>IF($B321&lt;&gt;"",10,"")</x:f>
      </x:c>
      <x:c r="R321" s="83" t="str">
        <x:f>IF($B321&lt;&gt;"",Ayarlar!$B$10,"")</x:f>
      </x:c>
      <x:c r="S321" s="83" t="str">
        <x:f>IF($B321&lt;&gt;"",0,"")</x:f>
      </x:c>
      <x:c r="T321" s="83" t="n">
        <x:f>IFERROR(($K321+$O321)*XLOOKUP($G321,Ayarlar!$A$19:$A$28,Ayarlar!$C$19:$C$28,0)*(1+Ayarlar!$B$11),0)</x:f>
        <x:v>0</x:v>
      </x:c>
      <x:c r="U321" s="83" t="n">
        <x:f>IFERROR($N321/60*Ayarlar!$B$8,0)</x:f>
        <x:v>0</x:v>
      </x:c>
      <x:c r="V321" s="83" t="n">
        <x:f>IF($B321&lt;&gt;"",Ayarlar!$B$12+($Q321/60*Ayarlar!$B$9),0)</x:f>
        <x:v>0</x:v>
      </x:c>
      <x:c r="W321" s="83" t="n">
        <x:f>IF($B321&lt;&gt;"",SUM($T321:$V321,$R321:$S321),0)</x:f>
        <x:v>0</x:v>
      </x:c>
      <x:c r="X321" s="83" t="n">
        <x:f>IF($B321&lt;&gt;"",$W321*Ayarlar!$B$15,0)</x:f>
        <x:v>0</x:v>
      </x:c>
      <x:c r="Y321" s="83" t="n">
        <x:f>IF($B321&lt;&gt;"",($W321+$X321)*Ayarlar!$B$13,0)</x:f>
        <x:v>0</x:v>
      </x:c>
      <x:c r="Z321" s="83" t="n">
        <x:f>IF($B321&lt;&gt;"",($W321+$X321+$Y321)*Ayarlar!$B$14,0)</x:f>
        <x:v>0</x:v>
      </x:c>
      <x:c r="AA321" s="83" t="str">
        <x:f>IF($B321="","",IF(OR($K321="",$N321=""),"",CEILING($W321+$X321+$Y321+$Z321,Ayarlar!$B$16)))</x:f>
      </x:c>
      <x:c r="AB321" s="83" t="str">
        <x:f>IFERROR($AA321/$H321,"")</x:f>
      </x:c>
      <x:c r="AC321" s="75" t="str">
        <x:f>IF($B321="","",IF(OR($K321="",$N321=""),"Veri Eksik","Fiyat Hazır"))</x:f>
      </x:c>
      <x:c r="AD321" s="75" t="str">
        <x:f>IF($C321&lt;&gt;"","MW-"&amp;$C321,"")</x:f>
        <x:v>MW-80</x:v>
      </x:c>
      <x:c r="AE321" s="75" t="str">
        <x:f>IF($G321&lt;&gt;"","3D Baskı / "&amp;$G321,"3D Baskı")</x:f>
        <x:v>3D Baskı</x:v>
      </x:c>
      <x:c r="AF321" s="75" t="str">
        <x:f>IF($D321&lt;&gt;"",$D321&amp;" - "&amp;$G321,$AD321&amp;" - "&amp;$G321)</x:f>
        <x:v>MW-80 - </x:v>
      </x:c>
      <x:c r="AG321" s="75" t="str"/>
    </x:row>
    <x:row r="322">
      <x:c r="A322" s="75" t="str">
        <x:f>IF($B322&lt;&gt;"",ROW()-4,"")</x:f>
      </x:c>
      <x:c r="B322" s="75" t="str"/>
      <x:c r="C322" s="75" t="n">
        <x:f>IFERROR(LET(x,MID($B322,FIND("/models/",$B322)+8,80),y,LEFT(x,FIND("-",x&amp;"-")-1),LEFT(y,FIND("?",y&amp;"?")-1)),"")</x:f>
        <x:v>80</x:v>
      </x:c>
      <x:c r="D322" s="75" t="str">
        <x:f>IF($B322="","",IFERROR(XLOOKUP($C322,MakerWorld_Verileri!$A:$A,MakerWorld_Verileri!$B:$B,""),""))</x:f>
      </x:c>
      <x:c r="E322" s="75" t="str">
        <x:f>IF($B322="","",IFERROR(XLOOKUP($C322,MakerWorld_Verileri!$A:$A,MakerWorld_Verileri!$C:$C,""),""))</x:f>
      </x:c>
      <x:c r="F322" s="75" t="str"/>
      <x:c r="G322" s="75" t="str">
        <x:f>IF($B322&lt;&gt;"",Ayarlar!$B$7,"")</x:f>
      </x:c>
      <x:c r="H322" s="82" t="str">
        <x:f>IF($B322&lt;&gt;"",1,"")</x:f>
      </x:c>
      <x:c r="I322" s="82" t="str">
        <x:f>IF($B322="","",IFERROR(XLOOKUP($C322,MakerWorld_Verileri!$A:$A,MakerWorld_Verileri!$D:$D,""),""))</x:f>
      </x:c>
      <x:c r="J322" s="82" t="str"/>
      <x:c r="K322" s="82" t="str">
        <x:f>IF($I322&lt;&gt;"",$I322,$J322)</x:f>
      </x:c>
      <x:c r="L322" s="82" t="str">
        <x:f>IF($B322="","",IFERROR(XLOOKUP($C322,MakerWorld_Verileri!$A:$A,MakerWorld_Verileri!$E:$E,""),""))</x:f>
      </x:c>
      <x:c r="M322" s="82" t="str"/>
      <x:c r="N322" s="82" t="str">
        <x:f>IF($L322&lt;&gt;"",$L322,$M322)</x:f>
      </x:c>
      <x:c r="O322" s="82" t="str">
        <x:f>IF($B322&lt;&gt;"",0,"")</x:f>
      </x:c>
      <x:c r="P322" s="75" t="str">
        <x:f>IF($B322&lt;&gt;"","Orta","")</x:f>
      </x:c>
      <x:c r="Q322" s="82" t="str">
        <x:f>IF($B322&lt;&gt;"",10,"")</x:f>
      </x:c>
      <x:c r="R322" s="83" t="str">
        <x:f>IF($B322&lt;&gt;"",Ayarlar!$B$10,"")</x:f>
      </x:c>
      <x:c r="S322" s="83" t="str">
        <x:f>IF($B322&lt;&gt;"",0,"")</x:f>
      </x:c>
      <x:c r="T322" s="83" t="n">
        <x:f>IFERROR(($K322+$O322)*XLOOKUP($G322,Ayarlar!$A$19:$A$28,Ayarlar!$C$19:$C$28,0)*(1+Ayarlar!$B$11),0)</x:f>
        <x:v>0</x:v>
      </x:c>
      <x:c r="U322" s="83" t="n">
        <x:f>IFERROR($N322/60*Ayarlar!$B$8,0)</x:f>
        <x:v>0</x:v>
      </x:c>
      <x:c r="V322" s="83" t="n">
        <x:f>IF($B322&lt;&gt;"",Ayarlar!$B$12+($Q322/60*Ayarlar!$B$9),0)</x:f>
        <x:v>0</x:v>
      </x:c>
      <x:c r="W322" s="83" t="n">
        <x:f>IF($B322&lt;&gt;"",SUM($T322:$V322,$R322:$S322),0)</x:f>
        <x:v>0</x:v>
      </x:c>
      <x:c r="X322" s="83" t="n">
        <x:f>IF($B322&lt;&gt;"",$W322*Ayarlar!$B$15,0)</x:f>
        <x:v>0</x:v>
      </x:c>
      <x:c r="Y322" s="83" t="n">
        <x:f>IF($B322&lt;&gt;"",($W322+$X322)*Ayarlar!$B$13,0)</x:f>
        <x:v>0</x:v>
      </x:c>
      <x:c r="Z322" s="83" t="n">
        <x:f>IF($B322&lt;&gt;"",($W322+$X322+$Y322)*Ayarlar!$B$14,0)</x:f>
        <x:v>0</x:v>
      </x:c>
      <x:c r="AA322" s="83" t="str">
        <x:f>IF($B322="","",IF(OR($K322="",$N322=""),"",CEILING($W322+$X322+$Y322+$Z322,Ayarlar!$B$16)))</x:f>
      </x:c>
      <x:c r="AB322" s="83" t="str">
        <x:f>IFERROR($AA322/$H322,"")</x:f>
      </x:c>
      <x:c r="AC322" s="75" t="str">
        <x:f>IF($B322="","",IF(OR($K322="",$N322=""),"Veri Eksik","Fiyat Hazır"))</x:f>
      </x:c>
      <x:c r="AD322" s="75" t="str">
        <x:f>IF($C322&lt;&gt;"","MW-"&amp;$C322,"")</x:f>
        <x:v>MW-80</x:v>
      </x:c>
      <x:c r="AE322" s="75" t="str">
        <x:f>IF($G322&lt;&gt;"","3D Baskı / "&amp;$G322,"3D Baskı")</x:f>
        <x:v>3D Baskı</x:v>
      </x:c>
      <x:c r="AF322" s="75" t="str">
        <x:f>IF($D322&lt;&gt;"",$D322&amp;" - "&amp;$G322,$AD322&amp;" - "&amp;$G322)</x:f>
        <x:v>MW-80 - </x:v>
      </x:c>
      <x:c r="AG322" s="75" t="str"/>
    </x:row>
    <x:row r="323">
      <x:c r="A323" s="75" t="str">
        <x:f>IF($B323&lt;&gt;"",ROW()-4,"")</x:f>
      </x:c>
      <x:c r="B323" s="75" t="str"/>
      <x:c r="C323" s="75" t="n">
        <x:f>IFERROR(LET(x,MID($B323,FIND("/models/",$B323)+8,80),y,LEFT(x,FIND("-",x&amp;"-")-1),LEFT(y,FIND("?",y&amp;"?")-1)),"")</x:f>
        <x:v>80</x:v>
      </x:c>
      <x:c r="D323" s="75" t="str">
        <x:f>IF($B323="","",IFERROR(XLOOKUP($C323,MakerWorld_Verileri!$A:$A,MakerWorld_Verileri!$B:$B,""),""))</x:f>
      </x:c>
      <x:c r="E323" s="75" t="str">
        <x:f>IF($B323="","",IFERROR(XLOOKUP($C323,MakerWorld_Verileri!$A:$A,MakerWorld_Verileri!$C:$C,""),""))</x:f>
      </x:c>
      <x:c r="F323" s="75" t="str"/>
      <x:c r="G323" s="75" t="str">
        <x:f>IF($B323&lt;&gt;"",Ayarlar!$B$7,"")</x:f>
      </x:c>
      <x:c r="H323" s="82" t="str">
        <x:f>IF($B323&lt;&gt;"",1,"")</x:f>
      </x:c>
      <x:c r="I323" s="82" t="str">
        <x:f>IF($B323="","",IFERROR(XLOOKUP($C323,MakerWorld_Verileri!$A:$A,MakerWorld_Verileri!$D:$D,""),""))</x:f>
      </x:c>
      <x:c r="J323" s="82" t="str"/>
      <x:c r="K323" s="82" t="str">
        <x:f>IF($I323&lt;&gt;"",$I323,$J323)</x:f>
      </x:c>
      <x:c r="L323" s="82" t="str">
        <x:f>IF($B323="","",IFERROR(XLOOKUP($C323,MakerWorld_Verileri!$A:$A,MakerWorld_Verileri!$E:$E,""),""))</x:f>
      </x:c>
      <x:c r="M323" s="82" t="str"/>
      <x:c r="N323" s="82" t="str">
        <x:f>IF($L323&lt;&gt;"",$L323,$M323)</x:f>
      </x:c>
      <x:c r="O323" s="82" t="str">
        <x:f>IF($B323&lt;&gt;"",0,"")</x:f>
      </x:c>
      <x:c r="P323" s="75" t="str">
        <x:f>IF($B323&lt;&gt;"","Orta","")</x:f>
      </x:c>
      <x:c r="Q323" s="82" t="str">
        <x:f>IF($B323&lt;&gt;"",10,"")</x:f>
      </x:c>
      <x:c r="R323" s="83" t="str">
        <x:f>IF($B323&lt;&gt;"",Ayarlar!$B$10,"")</x:f>
      </x:c>
      <x:c r="S323" s="83" t="str">
        <x:f>IF($B323&lt;&gt;"",0,"")</x:f>
      </x:c>
      <x:c r="T323" s="83" t="n">
        <x:f>IFERROR(($K323+$O323)*XLOOKUP($G323,Ayarlar!$A$19:$A$28,Ayarlar!$C$19:$C$28,0)*(1+Ayarlar!$B$11),0)</x:f>
        <x:v>0</x:v>
      </x:c>
      <x:c r="U323" s="83" t="n">
        <x:f>IFERROR($N323/60*Ayarlar!$B$8,0)</x:f>
        <x:v>0</x:v>
      </x:c>
      <x:c r="V323" s="83" t="n">
        <x:f>IF($B323&lt;&gt;"",Ayarlar!$B$12+($Q323/60*Ayarlar!$B$9),0)</x:f>
        <x:v>0</x:v>
      </x:c>
      <x:c r="W323" s="83" t="n">
        <x:f>IF($B323&lt;&gt;"",SUM($T323:$V323,$R323:$S323),0)</x:f>
        <x:v>0</x:v>
      </x:c>
      <x:c r="X323" s="83" t="n">
        <x:f>IF($B323&lt;&gt;"",$W323*Ayarlar!$B$15,0)</x:f>
        <x:v>0</x:v>
      </x:c>
      <x:c r="Y323" s="83" t="n">
        <x:f>IF($B323&lt;&gt;"",($W323+$X323)*Ayarlar!$B$13,0)</x:f>
        <x:v>0</x:v>
      </x:c>
      <x:c r="Z323" s="83" t="n">
        <x:f>IF($B323&lt;&gt;"",($W323+$X323+$Y323)*Ayarlar!$B$14,0)</x:f>
        <x:v>0</x:v>
      </x:c>
      <x:c r="AA323" s="83" t="str">
        <x:f>IF($B323="","",IF(OR($K323="",$N323=""),"",CEILING($W323+$X323+$Y323+$Z323,Ayarlar!$B$16)))</x:f>
      </x:c>
      <x:c r="AB323" s="83" t="str">
        <x:f>IFERROR($AA323/$H323,"")</x:f>
      </x:c>
      <x:c r="AC323" s="75" t="str">
        <x:f>IF($B323="","",IF(OR($K323="",$N323=""),"Veri Eksik","Fiyat Hazır"))</x:f>
      </x:c>
      <x:c r="AD323" s="75" t="str">
        <x:f>IF($C323&lt;&gt;"","MW-"&amp;$C323,"")</x:f>
        <x:v>MW-80</x:v>
      </x:c>
      <x:c r="AE323" s="75" t="str">
        <x:f>IF($G323&lt;&gt;"","3D Baskı / "&amp;$G323,"3D Baskı")</x:f>
        <x:v>3D Baskı</x:v>
      </x:c>
      <x:c r="AF323" s="75" t="str">
        <x:f>IF($D323&lt;&gt;"",$D323&amp;" - "&amp;$G323,$AD323&amp;" - "&amp;$G323)</x:f>
        <x:v>MW-80 - </x:v>
      </x:c>
      <x:c r="AG323" s="75" t="str"/>
    </x:row>
    <x:row r="324">
      <x:c r="A324" s="75" t="str">
        <x:f>IF($B324&lt;&gt;"",ROW()-4,"")</x:f>
      </x:c>
      <x:c r="B324" s="75" t="str"/>
      <x:c r="C324" s="75" t="n">
        <x:f>IFERROR(LET(x,MID($B324,FIND("/models/",$B324)+8,80),y,LEFT(x,FIND("-",x&amp;"-")-1),LEFT(y,FIND("?",y&amp;"?")-1)),"")</x:f>
        <x:v>80</x:v>
      </x:c>
      <x:c r="D324" s="75" t="str">
        <x:f>IF($B324="","",IFERROR(XLOOKUP($C324,MakerWorld_Verileri!$A:$A,MakerWorld_Verileri!$B:$B,""),""))</x:f>
      </x:c>
      <x:c r="E324" s="75" t="str">
        <x:f>IF($B324="","",IFERROR(XLOOKUP($C324,MakerWorld_Verileri!$A:$A,MakerWorld_Verileri!$C:$C,""),""))</x:f>
      </x:c>
      <x:c r="F324" s="75" t="str"/>
      <x:c r="G324" s="75" t="str">
        <x:f>IF($B324&lt;&gt;"",Ayarlar!$B$7,"")</x:f>
      </x:c>
      <x:c r="H324" s="82" t="str">
        <x:f>IF($B324&lt;&gt;"",1,"")</x:f>
      </x:c>
      <x:c r="I324" s="82" t="str">
        <x:f>IF($B324="","",IFERROR(XLOOKUP($C324,MakerWorld_Verileri!$A:$A,MakerWorld_Verileri!$D:$D,""),""))</x:f>
      </x:c>
      <x:c r="J324" s="82" t="str"/>
      <x:c r="K324" s="82" t="str">
        <x:f>IF($I324&lt;&gt;"",$I324,$J324)</x:f>
      </x:c>
      <x:c r="L324" s="82" t="str">
        <x:f>IF($B324="","",IFERROR(XLOOKUP($C324,MakerWorld_Verileri!$A:$A,MakerWorld_Verileri!$E:$E,""),""))</x:f>
      </x:c>
      <x:c r="M324" s="82" t="str"/>
      <x:c r="N324" s="82" t="str">
        <x:f>IF($L324&lt;&gt;"",$L324,$M324)</x:f>
      </x:c>
      <x:c r="O324" s="82" t="str">
        <x:f>IF($B324&lt;&gt;"",0,"")</x:f>
      </x:c>
      <x:c r="P324" s="75" t="str">
        <x:f>IF($B324&lt;&gt;"","Orta","")</x:f>
      </x:c>
      <x:c r="Q324" s="82" t="str">
        <x:f>IF($B324&lt;&gt;"",10,"")</x:f>
      </x:c>
      <x:c r="R324" s="83" t="str">
        <x:f>IF($B324&lt;&gt;"",Ayarlar!$B$10,"")</x:f>
      </x:c>
      <x:c r="S324" s="83" t="str">
        <x:f>IF($B324&lt;&gt;"",0,"")</x:f>
      </x:c>
      <x:c r="T324" s="83" t="n">
        <x:f>IFERROR(($K324+$O324)*XLOOKUP($G324,Ayarlar!$A$19:$A$28,Ayarlar!$C$19:$C$28,0)*(1+Ayarlar!$B$11),0)</x:f>
        <x:v>0</x:v>
      </x:c>
      <x:c r="U324" s="83" t="n">
        <x:f>IFERROR($N324/60*Ayarlar!$B$8,0)</x:f>
        <x:v>0</x:v>
      </x:c>
      <x:c r="V324" s="83" t="n">
        <x:f>IF($B324&lt;&gt;"",Ayarlar!$B$12+($Q324/60*Ayarlar!$B$9),0)</x:f>
        <x:v>0</x:v>
      </x:c>
      <x:c r="W324" s="83" t="n">
        <x:f>IF($B324&lt;&gt;"",SUM($T324:$V324,$R324:$S324),0)</x:f>
        <x:v>0</x:v>
      </x:c>
      <x:c r="X324" s="83" t="n">
        <x:f>IF($B324&lt;&gt;"",$W324*Ayarlar!$B$15,0)</x:f>
        <x:v>0</x:v>
      </x:c>
      <x:c r="Y324" s="83" t="n">
        <x:f>IF($B324&lt;&gt;"",($W324+$X324)*Ayarlar!$B$13,0)</x:f>
        <x:v>0</x:v>
      </x:c>
      <x:c r="Z324" s="83" t="n">
        <x:f>IF($B324&lt;&gt;"",($W324+$X324+$Y324)*Ayarlar!$B$14,0)</x:f>
        <x:v>0</x:v>
      </x:c>
      <x:c r="AA324" s="83" t="str">
        <x:f>IF($B324="","",IF(OR($K324="",$N324=""),"",CEILING($W324+$X324+$Y324+$Z324,Ayarlar!$B$16)))</x:f>
      </x:c>
      <x:c r="AB324" s="83" t="str">
        <x:f>IFERROR($AA324/$H324,"")</x:f>
      </x:c>
      <x:c r="AC324" s="75" t="str">
        <x:f>IF($B324="","",IF(OR($K324="",$N324=""),"Veri Eksik","Fiyat Hazır"))</x:f>
      </x:c>
      <x:c r="AD324" s="75" t="str">
        <x:f>IF($C324&lt;&gt;"","MW-"&amp;$C324,"")</x:f>
        <x:v>MW-80</x:v>
      </x:c>
      <x:c r="AE324" s="75" t="str">
        <x:f>IF($G324&lt;&gt;"","3D Baskı / "&amp;$G324,"3D Baskı")</x:f>
        <x:v>3D Baskı</x:v>
      </x:c>
      <x:c r="AF324" s="75" t="str">
        <x:f>IF($D324&lt;&gt;"",$D324&amp;" - "&amp;$G324,$AD324&amp;" - "&amp;$G324)</x:f>
        <x:v>MW-80 - </x:v>
      </x:c>
      <x:c r="AG324" s="75" t="str"/>
    </x:row>
    <x:row r="325">
      <x:c r="A325" s="75" t="str">
        <x:f>IF($B325&lt;&gt;"",ROW()-4,"")</x:f>
      </x:c>
      <x:c r="B325" s="75" t="str"/>
      <x:c r="C325" s="75" t="n">
        <x:f>IFERROR(LET(x,MID($B325,FIND("/models/",$B325)+8,80),y,LEFT(x,FIND("-",x&amp;"-")-1),LEFT(y,FIND("?",y&amp;"?")-1)),"")</x:f>
        <x:v>80</x:v>
      </x:c>
      <x:c r="D325" s="75" t="str">
        <x:f>IF($B325="","",IFERROR(XLOOKUP($C325,MakerWorld_Verileri!$A:$A,MakerWorld_Verileri!$B:$B,""),""))</x:f>
      </x:c>
      <x:c r="E325" s="75" t="str">
        <x:f>IF($B325="","",IFERROR(XLOOKUP($C325,MakerWorld_Verileri!$A:$A,MakerWorld_Verileri!$C:$C,""),""))</x:f>
      </x:c>
      <x:c r="F325" s="75" t="str"/>
      <x:c r="G325" s="75" t="str">
        <x:f>IF($B325&lt;&gt;"",Ayarlar!$B$7,"")</x:f>
      </x:c>
      <x:c r="H325" s="82" t="str">
        <x:f>IF($B325&lt;&gt;"",1,"")</x:f>
      </x:c>
      <x:c r="I325" s="82" t="str">
        <x:f>IF($B325="","",IFERROR(XLOOKUP($C325,MakerWorld_Verileri!$A:$A,MakerWorld_Verileri!$D:$D,""),""))</x:f>
      </x:c>
      <x:c r="J325" s="82" t="str"/>
      <x:c r="K325" s="82" t="str">
        <x:f>IF($I325&lt;&gt;"",$I325,$J325)</x:f>
      </x:c>
      <x:c r="L325" s="82" t="str">
        <x:f>IF($B325="","",IFERROR(XLOOKUP($C325,MakerWorld_Verileri!$A:$A,MakerWorld_Verileri!$E:$E,""),""))</x:f>
      </x:c>
      <x:c r="M325" s="82" t="str"/>
      <x:c r="N325" s="82" t="str">
        <x:f>IF($L325&lt;&gt;"",$L325,$M325)</x:f>
      </x:c>
      <x:c r="O325" s="82" t="str">
        <x:f>IF($B325&lt;&gt;"",0,"")</x:f>
      </x:c>
      <x:c r="P325" s="75" t="str">
        <x:f>IF($B325&lt;&gt;"","Orta","")</x:f>
      </x:c>
      <x:c r="Q325" s="82" t="str">
        <x:f>IF($B325&lt;&gt;"",10,"")</x:f>
      </x:c>
      <x:c r="R325" s="83" t="str">
        <x:f>IF($B325&lt;&gt;"",Ayarlar!$B$10,"")</x:f>
      </x:c>
      <x:c r="S325" s="83" t="str">
        <x:f>IF($B325&lt;&gt;"",0,"")</x:f>
      </x:c>
      <x:c r="T325" s="83" t="n">
        <x:f>IFERROR(($K325+$O325)*XLOOKUP($G325,Ayarlar!$A$19:$A$28,Ayarlar!$C$19:$C$28,0)*(1+Ayarlar!$B$11),0)</x:f>
        <x:v>0</x:v>
      </x:c>
      <x:c r="U325" s="83" t="n">
        <x:f>IFERROR($N325/60*Ayarlar!$B$8,0)</x:f>
        <x:v>0</x:v>
      </x:c>
      <x:c r="V325" s="83" t="n">
        <x:f>IF($B325&lt;&gt;"",Ayarlar!$B$12+($Q325/60*Ayarlar!$B$9),0)</x:f>
        <x:v>0</x:v>
      </x:c>
      <x:c r="W325" s="83" t="n">
        <x:f>IF($B325&lt;&gt;"",SUM($T325:$V325,$R325:$S325),0)</x:f>
        <x:v>0</x:v>
      </x:c>
      <x:c r="X325" s="83" t="n">
        <x:f>IF($B325&lt;&gt;"",$W325*Ayarlar!$B$15,0)</x:f>
        <x:v>0</x:v>
      </x:c>
      <x:c r="Y325" s="83" t="n">
        <x:f>IF($B325&lt;&gt;"",($W325+$X325)*Ayarlar!$B$13,0)</x:f>
        <x:v>0</x:v>
      </x:c>
      <x:c r="Z325" s="83" t="n">
        <x:f>IF($B325&lt;&gt;"",($W325+$X325+$Y325)*Ayarlar!$B$14,0)</x:f>
        <x:v>0</x:v>
      </x:c>
      <x:c r="AA325" s="83" t="str">
        <x:f>IF($B325="","",IF(OR($K325="",$N325=""),"",CEILING($W325+$X325+$Y325+$Z325,Ayarlar!$B$16)))</x:f>
      </x:c>
      <x:c r="AB325" s="83" t="str">
        <x:f>IFERROR($AA325/$H325,"")</x:f>
      </x:c>
      <x:c r="AC325" s="75" t="str">
        <x:f>IF($B325="","",IF(OR($K325="",$N325=""),"Veri Eksik","Fiyat Hazır"))</x:f>
      </x:c>
      <x:c r="AD325" s="75" t="str">
        <x:f>IF($C325&lt;&gt;"","MW-"&amp;$C325,"")</x:f>
        <x:v>MW-80</x:v>
      </x:c>
      <x:c r="AE325" s="75" t="str">
        <x:f>IF($G325&lt;&gt;"","3D Baskı / "&amp;$G325,"3D Baskı")</x:f>
        <x:v>3D Baskı</x:v>
      </x:c>
      <x:c r="AF325" s="75" t="str">
        <x:f>IF($D325&lt;&gt;"",$D325&amp;" - "&amp;$G325,$AD325&amp;" - "&amp;$G325)</x:f>
        <x:v>MW-80 - </x:v>
      </x:c>
      <x:c r="AG325" s="75" t="str"/>
    </x:row>
    <x:row r="326">
      <x:c r="A326" s="75" t="str">
        <x:f>IF($B326&lt;&gt;"",ROW()-4,"")</x:f>
      </x:c>
      <x:c r="B326" s="75" t="str"/>
      <x:c r="C326" s="75" t="n">
        <x:f>IFERROR(LET(x,MID($B326,FIND("/models/",$B326)+8,80),y,LEFT(x,FIND("-",x&amp;"-")-1),LEFT(y,FIND("?",y&amp;"?")-1)),"")</x:f>
        <x:v>80</x:v>
      </x:c>
      <x:c r="D326" s="75" t="str">
        <x:f>IF($B326="","",IFERROR(XLOOKUP($C326,MakerWorld_Verileri!$A:$A,MakerWorld_Verileri!$B:$B,""),""))</x:f>
      </x:c>
      <x:c r="E326" s="75" t="str">
        <x:f>IF($B326="","",IFERROR(XLOOKUP($C326,MakerWorld_Verileri!$A:$A,MakerWorld_Verileri!$C:$C,""),""))</x:f>
      </x:c>
      <x:c r="F326" s="75" t="str"/>
      <x:c r="G326" s="75" t="str">
        <x:f>IF($B326&lt;&gt;"",Ayarlar!$B$7,"")</x:f>
      </x:c>
      <x:c r="H326" s="82" t="str">
        <x:f>IF($B326&lt;&gt;"",1,"")</x:f>
      </x:c>
      <x:c r="I326" s="82" t="str">
        <x:f>IF($B326="","",IFERROR(XLOOKUP($C326,MakerWorld_Verileri!$A:$A,MakerWorld_Verileri!$D:$D,""),""))</x:f>
      </x:c>
      <x:c r="J326" s="82" t="str"/>
      <x:c r="K326" s="82" t="str">
        <x:f>IF($I326&lt;&gt;"",$I326,$J326)</x:f>
      </x:c>
      <x:c r="L326" s="82" t="str">
        <x:f>IF($B326="","",IFERROR(XLOOKUP($C326,MakerWorld_Verileri!$A:$A,MakerWorld_Verileri!$E:$E,""),""))</x:f>
      </x:c>
      <x:c r="M326" s="82" t="str"/>
      <x:c r="N326" s="82" t="str">
        <x:f>IF($L326&lt;&gt;"",$L326,$M326)</x:f>
      </x:c>
      <x:c r="O326" s="82" t="str">
        <x:f>IF($B326&lt;&gt;"",0,"")</x:f>
      </x:c>
      <x:c r="P326" s="75" t="str">
        <x:f>IF($B326&lt;&gt;"","Orta","")</x:f>
      </x:c>
      <x:c r="Q326" s="82" t="str">
        <x:f>IF($B326&lt;&gt;"",10,"")</x:f>
      </x:c>
      <x:c r="R326" s="83" t="str">
        <x:f>IF($B326&lt;&gt;"",Ayarlar!$B$10,"")</x:f>
      </x:c>
      <x:c r="S326" s="83" t="str">
        <x:f>IF($B326&lt;&gt;"",0,"")</x:f>
      </x:c>
      <x:c r="T326" s="83" t="n">
        <x:f>IFERROR(($K326+$O326)*XLOOKUP($G326,Ayarlar!$A$19:$A$28,Ayarlar!$C$19:$C$28,0)*(1+Ayarlar!$B$11),0)</x:f>
        <x:v>0</x:v>
      </x:c>
      <x:c r="U326" s="83" t="n">
        <x:f>IFERROR($N326/60*Ayarlar!$B$8,0)</x:f>
        <x:v>0</x:v>
      </x:c>
      <x:c r="V326" s="83" t="n">
        <x:f>IF($B326&lt;&gt;"",Ayarlar!$B$12+($Q326/60*Ayarlar!$B$9),0)</x:f>
        <x:v>0</x:v>
      </x:c>
      <x:c r="W326" s="83" t="n">
        <x:f>IF($B326&lt;&gt;"",SUM($T326:$V326,$R326:$S326),0)</x:f>
        <x:v>0</x:v>
      </x:c>
      <x:c r="X326" s="83" t="n">
        <x:f>IF($B326&lt;&gt;"",$W326*Ayarlar!$B$15,0)</x:f>
        <x:v>0</x:v>
      </x:c>
      <x:c r="Y326" s="83" t="n">
        <x:f>IF($B326&lt;&gt;"",($W326+$X326)*Ayarlar!$B$13,0)</x:f>
        <x:v>0</x:v>
      </x:c>
      <x:c r="Z326" s="83" t="n">
        <x:f>IF($B326&lt;&gt;"",($W326+$X326+$Y326)*Ayarlar!$B$14,0)</x:f>
        <x:v>0</x:v>
      </x:c>
      <x:c r="AA326" s="83" t="str">
        <x:f>IF($B326="","",IF(OR($K326="",$N326=""),"",CEILING($W326+$X326+$Y326+$Z326,Ayarlar!$B$16)))</x:f>
      </x:c>
      <x:c r="AB326" s="83" t="str">
        <x:f>IFERROR($AA326/$H326,"")</x:f>
      </x:c>
      <x:c r="AC326" s="75" t="str">
        <x:f>IF($B326="","",IF(OR($K326="",$N326=""),"Veri Eksik","Fiyat Hazır"))</x:f>
      </x:c>
      <x:c r="AD326" s="75" t="str">
        <x:f>IF($C326&lt;&gt;"","MW-"&amp;$C326,"")</x:f>
        <x:v>MW-80</x:v>
      </x:c>
      <x:c r="AE326" s="75" t="str">
        <x:f>IF($G326&lt;&gt;"","3D Baskı / "&amp;$G326,"3D Baskı")</x:f>
        <x:v>3D Baskı</x:v>
      </x:c>
      <x:c r="AF326" s="75" t="str">
        <x:f>IF($D326&lt;&gt;"",$D326&amp;" - "&amp;$G326,$AD326&amp;" - "&amp;$G326)</x:f>
        <x:v>MW-80 - </x:v>
      </x:c>
      <x:c r="AG326" s="75" t="str"/>
    </x:row>
    <x:row r="327">
      <x:c r="A327" s="75" t="str">
        <x:f>IF($B327&lt;&gt;"",ROW()-4,"")</x:f>
      </x:c>
      <x:c r="B327" s="75" t="str"/>
      <x:c r="C327" s="75" t="n">
        <x:f>IFERROR(LET(x,MID($B327,FIND("/models/",$B327)+8,80),y,LEFT(x,FIND("-",x&amp;"-")-1),LEFT(y,FIND("?",y&amp;"?")-1)),"")</x:f>
        <x:v>80</x:v>
      </x:c>
      <x:c r="D327" s="75" t="str">
        <x:f>IF($B327="","",IFERROR(XLOOKUP($C327,MakerWorld_Verileri!$A:$A,MakerWorld_Verileri!$B:$B,""),""))</x:f>
      </x:c>
      <x:c r="E327" s="75" t="str">
        <x:f>IF($B327="","",IFERROR(XLOOKUP($C327,MakerWorld_Verileri!$A:$A,MakerWorld_Verileri!$C:$C,""),""))</x:f>
      </x:c>
      <x:c r="F327" s="75" t="str"/>
      <x:c r="G327" s="75" t="str">
        <x:f>IF($B327&lt;&gt;"",Ayarlar!$B$7,"")</x:f>
      </x:c>
      <x:c r="H327" s="82" t="str">
        <x:f>IF($B327&lt;&gt;"",1,"")</x:f>
      </x:c>
      <x:c r="I327" s="82" t="str">
        <x:f>IF($B327="","",IFERROR(XLOOKUP($C327,MakerWorld_Verileri!$A:$A,MakerWorld_Verileri!$D:$D,""),""))</x:f>
      </x:c>
      <x:c r="J327" s="82" t="str"/>
      <x:c r="K327" s="82" t="str">
        <x:f>IF($I327&lt;&gt;"",$I327,$J327)</x:f>
      </x:c>
      <x:c r="L327" s="82" t="str">
        <x:f>IF($B327="","",IFERROR(XLOOKUP($C327,MakerWorld_Verileri!$A:$A,MakerWorld_Verileri!$E:$E,""),""))</x:f>
      </x:c>
      <x:c r="M327" s="82" t="str"/>
      <x:c r="N327" s="82" t="str">
        <x:f>IF($L327&lt;&gt;"",$L327,$M327)</x:f>
      </x:c>
      <x:c r="O327" s="82" t="str">
        <x:f>IF($B327&lt;&gt;"",0,"")</x:f>
      </x:c>
      <x:c r="P327" s="75" t="str">
        <x:f>IF($B327&lt;&gt;"","Orta","")</x:f>
      </x:c>
      <x:c r="Q327" s="82" t="str">
        <x:f>IF($B327&lt;&gt;"",10,"")</x:f>
      </x:c>
      <x:c r="R327" s="83" t="str">
        <x:f>IF($B327&lt;&gt;"",Ayarlar!$B$10,"")</x:f>
      </x:c>
      <x:c r="S327" s="83" t="str">
        <x:f>IF($B327&lt;&gt;"",0,"")</x:f>
      </x:c>
      <x:c r="T327" s="83" t="n">
        <x:f>IFERROR(($K327+$O327)*XLOOKUP($G327,Ayarlar!$A$19:$A$28,Ayarlar!$C$19:$C$28,0)*(1+Ayarlar!$B$11),0)</x:f>
        <x:v>0</x:v>
      </x:c>
      <x:c r="U327" s="83" t="n">
        <x:f>IFERROR($N327/60*Ayarlar!$B$8,0)</x:f>
        <x:v>0</x:v>
      </x:c>
      <x:c r="V327" s="83" t="n">
        <x:f>IF($B327&lt;&gt;"",Ayarlar!$B$12+($Q327/60*Ayarlar!$B$9),0)</x:f>
        <x:v>0</x:v>
      </x:c>
      <x:c r="W327" s="83" t="n">
        <x:f>IF($B327&lt;&gt;"",SUM($T327:$V327,$R327:$S327),0)</x:f>
        <x:v>0</x:v>
      </x:c>
      <x:c r="X327" s="83" t="n">
        <x:f>IF($B327&lt;&gt;"",$W327*Ayarlar!$B$15,0)</x:f>
        <x:v>0</x:v>
      </x:c>
      <x:c r="Y327" s="83" t="n">
        <x:f>IF($B327&lt;&gt;"",($W327+$X327)*Ayarlar!$B$13,0)</x:f>
        <x:v>0</x:v>
      </x:c>
      <x:c r="Z327" s="83" t="n">
        <x:f>IF($B327&lt;&gt;"",($W327+$X327+$Y327)*Ayarlar!$B$14,0)</x:f>
        <x:v>0</x:v>
      </x:c>
      <x:c r="AA327" s="83" t="str">
        <x:f>IF($B327="","",IF(OR($K327="",$N327=""),"",CEILING($W327+$X327+$Y327+$Z327,Ayarlar!$B$16)))</x:f>
      </x:c>
      <x:c r="AB327" s="83" t="str">
        <x:f>IFERROR($AA327/$H327,"")</x:f>
      </x:c>
      <x:c r="AC327" s="75" t="str">
        <x:f>IF($B327="","",IF(OR($K327="",$N327=""),"Veri Eksik","Fiyat Hazır"))</x:f>
      </x:c>
      <x:c r="AD327" s="75" t="str">
        <x:f>IF($C327&lt;&gt;"","MW-"&amp;$C327,"")</x:f>
        <x:v>MW-80</x:v>
      </x:c>
      <x:c r="AE327" s="75" t="str">
        <x:f>IF($G327&lt;&gt;"","3D Baskı / "&amp;$G327,"3D Baskı")</x:f>
        <x:v>3D Baskı</x:v>
      </x:c>
      <x:c r="AF327" s="75" t="str">
        <x:f>IF($D327&lt;&gt;"",$D327&amp;" - "&amp;$G327,$AD327&amp;" - "&amp;$G327)</x:f>
        <x:v>MW-80 - </x:v>
      </x:c>
      <x:c r="AG327" s="75" t="str"/>
    </x:row>
    <x:row r="328">
      <x:c r="A328" s="75" t="str">
        <x:f>IF($B328&lt;&gt;"",ROW()-4,"")</x:f>
      </x:c>
      <x:c r="B328" s="75" t="str"/>
      <x:c r="C328" s="75" t="n">
        <x:f>IFERROR(LET(x,MID($B328,FIND("/models/",$B328)+8,80),y,LEFT(x,FIND("-",x&amp;"-")-1),LEFT(y,FIND("?",y&amp;"?")-1)),"")</x:f>
        <x:v>80</x:v>
      </x:c>
      <x:c r="D328" s="75" t="str">
        <x:f>IF($B328="","",IFERROR(XLOOKUP($C328,MakerWorld_Verileri!$A:$A,MakerWorld_Verileri!$B:$B,""),""))</x:f>
      </x:c>
      <x:c r="E328" s="75" t="str">
        <x:f>IF($B328="","",IFERROR(XLOOKUP($C328,MakerWorld_Verileri!$A:$A,MakerWorld_Verileri!$C:$C,""),""))</x:f>
      </x:c>
      <x:c r="F328" s="75" t="str"/>
      <x:c r="G328" s="75" t="str">
        <x:f>IF($B328&lt;&gt;"",Ayarlar!$B$7,"")</x:f>
      </x:c>
      <x:c r="H328" s="82" t="str">
        <x:f>IF($B328&lt;&gt;"",1,"")</x:f>
      </x:c>
      <x:c r="I328" s="82" t="str">
        <x:f>IF($B328="","",IFERROR(XLOOKUP($C328,MakerWorld_Verileri!$A:$A,MakerWorld_Verileri!$D:$D,""),""))</x:f>
      </x:c>
      <x:c r="J328" s="82" t="str"/>
      <x:c r="K328" s="82" t="str">
        <x:f>IF($I328&lt;&gt;"",$I328,$J328)</x:f>
      </x:c>
      <x:c r="L328" s="82" t="str">
        <x:f>IF($B328="","",IFERROR(XLOOKUP($C328,MakerWorld_Verileri!$A:$A,MakerWorld_Verileri!$E:$E,""),""))</x:f>
      </x:c>
      <x:c r="M328" s="82" t="str"/>
      <x:c r="N328" s="82" t="str">
        <x:f>IF($L328&lt;&gt;"",$L328,$M328)</x:f>
      </x:c>
      <x:c r="O328" s="82" t="str">
        <x:f>IF($B328&lt;&gt;"",0,"")</x:f>
      </x:c>
      <x:c r="P328" s="75" t="str">
        <x:f>IF($B328&lt;&gt;"","Orta","")</x:f>
      </x:c>
      <x:c r="Q328" s="82" t="str">
        <x:f>IF($B328&lt;&gt;"",10,"")</x:f>
      </x:c>
      <x:c r="R328" s="83" t="str">
        <x:f>IF($B328&lt;&gt;"",Ayarlar!$B$10,"")</x:f>
      </x:c>
      <x:c r="S328" s="83" t="str">
        <x:f>IF($B328&lt;&gt;"",0,"")</x:f>
      </x:c>
      <x:c r="T328" s="83" t="n">
        <x:f>IFERROR(($K328+$O328)*XLOOKUP($G328,Ayarlar!$A$19:$A$28,Ayarlar!$C$19:$C$28,0)*(1+Ayarlar!$B$11),0)</x:f>
        <x:v>0</x:v>
      </x:c>
      <x:c r="U328" s="83" t="n">
        <x:f>IFERROR($N328/60*Ayarlar!$B$8,0)</x:f>
        <x:v>0</x:v>
      </x:c>
      <x:c r="V328" s="83" t="n">
        <x:f>IF($B328&lt;&gt;"",Ayarlar!$B$12+($Q328/60*Ayarlar!$B$9),0)</x:f>
        <x:v>0</x:v>
      </x:c>
      <x:c r="W328" s="83" t="n">
        <x:f>IF($B328&lt;&gt;"",SUM($T328:$V328,$R328:$S328),0)</x:f>
        <x:v>0</x:v>
      </x:c>
      <x:c r="X328" s="83" t="n">
        <x:f>IF($B328&lt;&gt;"",$W328*Ayarlar!$B$15,0)</x:f>
        <x:v>0</x:v>
      </x:c>
      <x:c r="Y328" s="83" t="n">
        <x:f>IF($B328&lt;&gt;"",($W328+$X328)*Ayarlar!$B$13,0)</x:f>
        <x:v>0</x:v>
      </x:c>
      <x:c r="Z328" s="83" t="n">
        <x:f>IF($B328&lt;&gt;"",($W328+$X328+$Y328)*Ayarlar!$B$14,0)</x:f>
        <x:v>0</x:v>
      </x:c>
      <x:c r="AA328" s="83" t="str">
        <x:f>IF($B328="","",IF(OR($K328="",$N328=""),"",CEILING($W328+$X328+$Y328+$Z328,Ayarlar!$B$16)))</x:f>
      </x:c>
      <x:c r="AB328" s="83" t="str">
        <x:f>IFERROR($AA328/$H328,"")</x:f>
      </x:c>
      <x:c r="AC328" s="75" t="str">
        <x:f>IF($B328="","",IF(OR($K328="",$N328=""),"Veri Eksik","Fiyat Hazır"))</x:f>
      </x:c>
      <x:c r="AD328" s="75" t="str">
        <x:f>IF($C328&lt;&gt;"","MW-"&amp;$C328,"")</x:f>
        <x:v>MW-80</x:v>
      </x:c>
      <x:c r="AE328" s="75" t="str">
        <x:f>IF($G328&lt;&gt;"","3D Baskı / "&amp;$G328,"3D Baskı")</x:f>
        <x:v>3D Baskı</x:v>
      </x:c>
      <x:c r="AF328" s="75" t="str">
        <x:f>IF($D328&lt;&gt;"",$D328&amp;" - "&amp;$G328,$AD328&amp;" - "&amp;$G328)</x:f>
        <x:v>MW-80 - </x:v>
      </x:c>
      <x:c r="AG328" s="75" t="str"/>
    </x:row>
    <x:row r="329">
      <x:c r="A329" s="75" t="str">
        <x:f>IF($B329&lt;&gt;"",ROW()-4,"")</x:f>
      </x:c>
      <x:c r="B329" s="75" t="str"/>
      <x:c r="C329" s="75" t="n">
        <x:f>IFERROR(LET(x,MID($B329,FIND("/models/",$B329)+8,80),y,LEFT(x,FIND("-",x&amp;"-")-1),LEFT(y,FIND("?",y&amp;"?")-1)),"")</x:f>
        <x:v>80</x:v>
      </x:c>
      <x:c r="D329" s="75" t="str">
        <x:f>IF($B329="","",IFERROR(XLOOKUP($C329,MakerWorld_Verileri!$A:$A,MakerWorld_Verileri!$B:$B,""),""))</x:f>
      </x:c>
      <x:c r="E329" s="75" t="str">
        <x:f>IF($B329="","",IFERROR(XLOOKUP($C329,MakerWorld_Verileri!$A:$A,MakerWorld_Verileri!$C:$C,""),""))</x:f>
      </x:c>
      <x:c r="F329" s="75" t="str"/>
      <x:c r="G329" s="75" t="str">
        <x:f>IF($B329&lt;&gt;"",Ayarlar!$B$7,"")</x:f>
      </x:c>
      <x:c r="H329" s="82" t="str">
        <x:f>IF($B329&lt;&gt;"",1,"")</x:f>
      </x:c>
      <x:c r="I329" s="82" t="str">
        <x:f>IF($B329="","",IFERROR(XLOOKUP($C329,MakerWorld_Verileri!$A:$A,MakerWorld_Verileri!$D:$D,""),""))</x:f>
      </x:c>
      <x:c r="J329" s="82" t="str"/>
      <x:c r="K329" s="82" t="str">
        <x:f>IF($I329&lt;&gt;"",$I329,$J329)</x:f>
      </x:c>
      <x:c r="L329" s="82" t="str">
        <x:f>IF($B329="","",IFERROR(XLOOKUP($C329,MakerWorld_Verileri!$A:$A,MakerWorld_Verileri!$E:$E,""),""))</x:f>
      </x:c>
      <x:c r="M329" s="82" t="str"/>
      <x:c r="N329" s="82" t="str">
        <x:f>IF($L329&lt;&gt;"",$L329,$M329)</x:f>
      </x:c>
      <x:c r="O329" s="82" t="str">
        <x:f>IF($B329&lt;&gt;"",0,"")</x:f>
      </x:c>
      <x:c r="P329" s="75" t="str">
        <x:f>IF($B329&lt;&gt;"","Orta","")</x:f>
      </x:c>
      <x:c r="Q329" s="82" t="str">
        <x:f>IF($B329&lt;&gt;"",10,"")</x:f>
      </x:c>
      <x:c r="R329" s="83" t="str">
        <x:f>IF($B329&lt;&gt;"",Ayarlar!$B$10,"")</x:f>
      </x:c>
      <x:c r="S329" s="83" t="str">
        <x:f>IF($B329&lt;&gt;"",0,"")</x:f>
      </x:c>
      <x:c r="T329" s="83" t="n">
        <x:f>IFERROR(($K329+$O329)*XLOOKUP($G329,Ayarlar!$A$19:$A$28,Ayarlar!$C$19:$C$28,0)*(1+Ayarlar!$B$11),0)</x:f>
        <x:v>0</x:v>
      </x:c>
      <x:c r="U329" s="83" t="n">
        <x:f>IFERROR($N329/60*Ayarlar!$B$8,0)</x:f>
        <x:v>0</x:v>
      </x:c>
      <x:c r="V329" s="83" t="n">
        <x:f>IF($B329&lt;&gt;"",Ayarlar!$B$12+($Q329/60*Ayarlar!$B$9),0)</x:f>
        <x:v>0</x:v>
      </x:c>
      <x:c r="W329" s="83" t="n">
        <x:f>IF($B329&lt;&gt;"",SUM($T329:$V329,$R329:$S329),0)</x:f>
        <x:v>0</x:v>
      </x:c>
      <x:c r="X329" s="83" t="n">
        <x:f>IF($B329&lt;&gt;"",$W329*Ayarlar!$B$15,0)</x:f>
        <x:v>0</x:v>
      </x:c>
      <x:c r="Y329" s="83" t="n">
        <x:f>IF($B329&lt;&gt;"",($W329+$X329)*Ayarlar!$B$13,0)</x:f>
        <x:v>0</x:v>
      </x:c>
      <x:c r="Z329" s="83" t="n">
        <x:f>IF($B329&lt;&gt;"",($W329+$X329+$Y329)*Ayarlar!$B$14,0)</x:f>
        <x:v>0</x:v>
      </x:c>
      <x:c r="AA329" s="83" t="str">
        <x:f>IF($B329="","",IF(OR($K329="",$N329=""),"",CEILING($W329+$X329+$Y329+$Z329,Ayarlar!$B$16)))</x:f>
      </x:c>
      <x:c r="AB329" s="83" t="str">
        <x:f>IFERROR($AA329/$H329,"")</x:f>
      </x:c>
      <x:c r="AC329" s="75" t="str">
        <x:f>IF($B329="","",IF(OR($K329="",$N329=""),"Veri Eksik","Fiyat Hazır"))</x:f>
      </x:c>
      <x:c r="AD329" s="75" t="str">
        <x:f>IF($C329&lt;&gt;"","MW-"&amp;$C329,"")</x:f>
        <x:v>MW-80</x:v>
      </x:c>
      <x:c r="AE329" s="75" t="str">
        <x:f>IF($G329&lt;&gt;"","3D Baskı / "&amp;$G329,"3D Baskı")</x:f>
        <x:v>3D Baskı</x:v>
      </x:c>
      <x:c r="AF329" s="75" t="str">
        <x:f>IF($D329&lt;&gt;"",$D329&amp;" - "&amp;$G329,$AD329&amp;" - "&amp;$G329)</x:f>
        <x:v>MW-80 - </x:v>
      </x:c>
      <x:c r="AG329" s="75" t="str"/>
    </x:row>
    <x:row r="330">
      <x:c r="A330" s="75" t="str">
        <x:f>IF($B330&lt;&gt;"",ROW()-4,"")</x:f>
      </x:c>
      <x:c r="B330" s="75" t="str"/>
      <x:c r="C330" s="75" t="n">
        <x:f>IFERROR(LET(x,MID($B330,FIND("/models/",$B330)+8,80),y,LEFT(x,FIND("-",x&amp;"-")-1),LEFT(y,FIND("?",y&amp;"?")-1)),"")</x:f>
        <x:v>80</x:v>
      </x:c>
      <x:c r="D330" s="75" t="str">
        <x:f>IF($B330="","",IFERROR(XLOOKUP($C330,MakerWorld_Verileri!$A:$A,MakerWorld_Verileri!$B:$B,""),""))</x:f>
      </x:c>
      <x:c r="E330" s="75" t="str">
        <x:f>IF($B330="","",IFERROR(XLOOKUP($C330,MakerWorld_Verileri!$A:$A,MakerWorld_Verileri!$C:$C,""),""))</x:f>
      </x:c>
      <x:c r="F330" s="75" t="str"/>
      <x:c r="G330" s="75" t="str">
        <x:f>IF($B330&lt;&gt;"",Ayarlar!$B$7,"")</x:f>
      </x:c>
      <x:c r="H330" s="82" t="str">
        <x:f>IF($B330&lt;&gt;"",1,"")</x:f>
      </x:c>
      <x:c r="I330" s="82" t="str">
        <x:f>IF($B330="","",IFERROR(XLOOKUP($C330,MakerWorld_Verileri!$A:$A,MakerWorld_Verileri!$D:$D,""),""))</x:f>
      </x:c>
      <x:c r="J330" s="82" t="str"/>
      <x:c r="K330" s="82" t="str">
        <x:f>IF($I330&lt;&gt;"",$I330,$J330)</x:f>
      </x:c>
      <x:c r="L330" s="82" t="str">
        <x:f>IF($B330="","",IFERROR(XLOOKUP($C330,MakerWorld_Verileri!$A:$A,MakerWorld_Verileri!$E:$E,""),""))</x:f>
      </x:c>
      <x:c r="M330" s="82" t="str"/>
      <x:c r="N330" s="82" t="str">
        <x:f>IF($L330&lt;&gt;"",$L330,$M330)</x:f>
      </x:c>
      <x:c r="O330" s="82" t="str">
        <x:f>IF($B330&lt;&gt;"",0,"")</x:f>
      </x:c>
      <x:c r="P330" s="75" t="str">
        <x:f>IF($B330&lt;&gt;"","Orta","")</x:f>
      </x:c>
      <x:c r="Q330" s="82" t="str">
        <x:f>IF($B330&lt;&gt;"",10,"")</x:f>
      </x:c>
      <x:c r="R330" s="83" t="str">
        <x:f>IF($B330&lt;&gt;"",Ayarlar!$B$10,"")</x:f>
      </x:c>
      <x:c r="S330" s="83" t="str">
        <x:f>IF($B330&lt;&gt;"",0,"")</x:f>
      </x:c>
      <x:c r="T330" s="83" t="n">
        <x:f>IFERROR(($K330+$O330)*XLOOKUP($G330,Ayarlar!$A$19:$A$28,Ayarlar!$C$19:$C$28,0)*(1+Ayarlar!$B$11),0)</x:f>
        <x:v>0</x:v>
      </x:c>
      <x:c r="U330" s="83" t="n">
        <x:f>IFERROR($N330/60*Ayarlar!$B$8,0)</x:f>
        <x:v>0</x:v>
      </x:c>
      <x:c r="V330" s="83" t="n">
        <x:f>IF($B330&lt;&gt;"",Ayarlar!$B$12+($Q330/60*Ayarlar!$B$9),0)</x:f>
        <x:v>0</x:v>
      </x:c>
      <x:c r="W330" s="83" t="n">
        <x:f>IF($B330&lt;&gt;"",SUM($T330:$V330,$R330:$S330),0)</x:f>
        <x:v>0</x:v>
      </x:c>
      <x:c r="X330" s="83" t="n">
        <x:f>IF($B330&lt;&gt;"",$W330*Ayarlar!$B$15,0)</x:f>
        <x:v>0</x:v>
      </x:c>
      <x:c r="Y330" s="83" t="n">
        <x:f>IF($B330&lt;&gt;"",($W330+$X330)*Ayarlar!$B$13,0)</x:f>
        <x:v>0</x:v>
      </x:c>
      <x:c r="Z330" s="83" t="n">
        <x:f>IF($B330&lt;&gt;"",($W330+$X330+$Y330)*Ayarlar!$B$14,0)</x:f>
        <x:v>0</x:v>
      </x:c>
      <x:c r="AA330" s="83" t="str">
        <x:f>IF($B330="","",IF(OR($K330="",$N330=""),"",CEILING($W330+$X330+$Y330+$Z330,Ayarlar!$B$16)))</x:f>
      </x:c>
      <x:c r="AB330" s="83" t="str">
        <x:f>IFERROR($AA330/$H330,"")</x:f>
      </x:c>
      <x:c r="AC330" s="75" t="str">
        <x:f>IF($B330="","",IF(OR($K330="",$N330=""),"Veri Eksik","Fiyat Hazır"))</x:f>
      </x:c>
      <x:c r="AD330" s="75" t="str">
        <x:f>IF($C330&lt;&gt;"","MW-"&amp;$C330,"")</x:f>
        <x:v>MW-80</x:v>
      </x:c>
      <x:c r="AE330" s="75" t="str">
        <x:f>IF($G330&lt;&gt;"","3D Baskı / "&amp;$G330,"3D Baskı")</x:f>
        <x:v>3D Baskı</x:v>
      </x:c>
      <x:c r="AF330" s="75" t="str">
        <x:f>IF($D330&lt;&gt;"",$D330&amp;" - "&amp;$G330,$AD330&amp;" - "&amp;$G330)</x:f>
        <x:v>MW-80 - </x:v>
      </x:c>
      <x:c r="AG330" s="75" t="str"/>
    </x:row>
    <x:row r="331">
      <x:c r="A331" s="75" t="str">
        <x:f>IF($B331&lt;&gt;"",ROW()-4,"")</x:f>
      </x:c>
      <x:c r="B331" s="75" t="str"/>
      <x:c r="C331" s="75" t="n">
        <x:f>IFERROR(LET(x,MID($B331,FIND("/models/",$B331)+8,80),y,LEFT(x,FIND("-",x&amp;"-")-1),LEFT(y,FIND("?",y&amp;"?")-1)),"")</x:f>
        <x:v>80</x:v>
      </x:c>
      <x:c r="D331" s="75" t="str">
        <x:f>IF($B331="","",IFERROR(XLOOKUP($C331,MakerWorld_Verileri!$A:$A,MakerWorld_Verileri!$B:$B,""),""))</x:f>
      </x:c>
      <x:c r="E331" s="75" t="str">
        <x:f>IF($B331="","",IFERROR(XLOOKUP($C331,MakerWorld_Verileri!$A:$A,MakerWorld_Verileri!$C:$C,""),""))</x:f>
      </x:c>
      <x:c r="F331" s="75" t="str"/>
      <x:c r="G331" s="75" t="str">
        <x:f>IF($B331&lt;&gt;"",Ayarlar!$B$7,"")</x:f>
      </x:c>
      <x:c r="H331" s="82" t="str">
        <x:f>IF($B331&lt;&gt;"",1,"")</x:f>
      </x:c>
      <x:c r="I331" s="82" t="str">
        <x:f>IF($B331="","",IFERROR(XLOOKUP($C331,MakerWorld_Verileri!$A:$A,MakerWorld_Verileri!$D:$D,""),""))</x:f>
      </x:c>
      <x:c r="J331" s="82" t="str"/>
      <x:c r="K331" s="82" t="str">
        <x:f>IF($I331&lt;&gt;"",$I331,$J331)</x:f>
      </x:c>
      <x:c r="L331" s="82" t="str">
        <x:f>IF($B331="","",IFERROR(XLOOKUP($C331,MakerWorld_Verileri!$A:$A,MakerWorld_Verileri!$E:$E,""),""))</x:f>
      </x:c>
      <x:c r="M331" s="82" t="str"/>
      <x:c r="N331" s="82" t="str">
        <x:f>IF($L331&lt;&gt;"",$L331,$M331)</x:f>
      </x:c>
      <x:c r="O331" s="82" t="str">
        <x:f>IF($B331&lt;&gt;"",0,"")</x:f>
      </x:c>
      <x:c r="P331" s="75" t="str">
        <x:f>IF($B331&lt;&gt;"","Orta","")</x:f>
      </x:c>
      <x:c r="Q331" s="82" t="str">
        <x:f>IF($B331&lt;&gt;"",10,"")</x:f>
      </x:c>
      <x:c r="R331" s="83" t="str">
        <x:f>IF($B331&lt;&gt;"",Ayarlar!$B$10,"")</x:f>
      </x:c>
      <x:c r="S331" s="83" t="str">
        <x:f>IF($B331&lt;&gt;"",0,"")</x:f>
      </x:c>
      <x:c r="T331" s="83" t="n">
        <x:f>IFERROR(($K331+$O331)*XLOOKUP($G331,Ayarlar!$A$19:$A$28,Ayarlar!$C$19:$C$28,0)*(1+Ayarlar!$B$11),0)</x:f>
        <x:v>0</x:v>
      </x:c>
      <x:c r="U331" s="83" t="n">
        <x:f>IFERROR($N331/60*Ayarlar!$B$8,0)</x:f>
        <x:v>0</x:v>
      </x:c>
      <x:c r="V331" s="83" t="n">
        <x:f>IF($B331&lt;&gt;"",Ayarlar!$B$12+($Q331/60*Ayarlar!$B$9),0)</x:f>
        <x:v>0</x:v>
      </x:c>
      <x:c r="W331" s="83" t="n">
        <x:f>IF($B331&lt;&gt;"",SUM($T331:$V331,$R331:$S331),0)</x:f>
        <x:v>0</x:v>
      </x:c>
      <x:c r="X331" s="83" t="n">
        <x:f>IF($B331&lt;&gt;"",$W331*Ayarlar!$B$15,0)</x:f>
        <x:v>0</x:v>
      </x:c>
      <x:c r="Y331" s="83" t="n">
        <x:f>IF($B331&lt;&gt;"",($W331+$X331)*Ayarlar!$B$13,0)</x:f>
        <x:v>0</x:v>
      </x:c>
      <x:c r="Z331" s="83" t="n">
        <x:f>IF($B331&lt;&gt;"",($W331+$X331+$Y331)*Ayarlar!$B$14,0)</x:f>
        <x:v>0</x:v>
      </x:c>
      <x:c r="AA331" s="83" t="str">
        <x:f>IF($B331="","",IF(OR($K331="",$N331=""),"",CEILING($W331+$X331+$Y331+$Z331,Ayarlar!$B$16)))</x:f>
      </x:c>
      <x:c r="AB331" s="83" t="str">
        <x:f>IFERROR($AA331/$H331,"")</x:f>
      </x:c>
      <x:c r="AC331" s="75" t="str">
        <x:f>IF($B331="","",IF(OR($K331="",$N331=""),"Veri Eksik","Fiyat Hazır"))</x:f>
      </x:c>
      <x:c r="AD331" s="75" t="str">
        <x:f>IF($C331&lt;&gt;"","MW-"&amp;$C331,"")</x:f>
        <x:v>MW-80</x:v>
      </x:c>
      <x:c r="AE331" s="75" t="str">
        <x:f>IF($G331&lt;&gt;"","3D Baskı / "&amp;$G331,"3D Baskı")</x:f>
        <x:v>3D Baskı</x:v>
      </x:c>
      <x:c r="AF331" s="75" t="str">
        <x:f>IF($D331&lt;&gt;"",$D331&amp;" - "&amp;$G331,$AD331&amp;" - "&amp;$G331)</x:f>
        <x:v>MW-80 - </x:v>
      </x:c>
      <x:c r="AG331" s="75" t="str"/>
    </x:row>
    <x:row r="332">
      <x:c r="A332" s="75" t="str">
        <x:f>IF($B332&lt;&gt;"",ROW()-4,"")</x:f>
      </x:c>
      <x:c r="B332" s="75" t="str"/>
      <x:c r="C332" s="75" t="n">
        <x:f>IFERROR(LET(x,MID($B332,FIND("/models/",$B332)+8,80),y,LEFT(x,FIND("-",x&amp;"-")-1),LEFT(y,FIND("?",y&amp;"?")-1)),"")</x:f>
        <x:v>80</x:v>
      </x:c>
      <x:c r="D332" s="75" t="str">
        <x:f>IF($B332="","",IFERROR(XLOOKUP($C332,MakerWorld_Verileri!$A:$A,MakerWorld_Verileri!$B:$B,""),""))</x:f>
      </x:c>
      <x:c r="E332" s="75" t="str">
        <x:f>IF($B332="","",IFERROR(XLOOKUP($C332,MakerWorld_Verileri!$A:$A,MakerWorld_Verileri!$C:$C,""),""))</x:f>
      </x:c>
      <x:c r="F332" s="75" t="str"/>
      <x:c r="G332" s="75" t="str">
        <x:f>IF($B332&lt;&gt;"",Ayarlar!$B$7,"")</x:f>
      </x:c>
      <x:c r="H332" s="82" t="str">
        <x:f>IF($B332&lt;&gt;"",1,"")</x:f>
      </x:c>
      <x:c r="I332" s="82" t="str">
        <x:f>IF($B332="","",IFERROR(XLOOKUP($C332,MakerWorld_Verileri!$A:$A,MakerWorld_Verileri!$D:$D,""),""))</x:f>
      </x:c>
      <x:c r="J332" s="82" t="str"/>
      <x:c r="K332" s="82" t="str">
        <x:f>IF($I332&lt;&gt;"",$I332,$J332)</x:f>
      </x:c>
      <x:c r="L332" s="82" t="str">
        <x:f>IF($B332="","",IFERROR(XLOOKUP($C332,MakerWorld_Verileri!$A:$A,MakerWorld_Verileri!$E:$E,""),""))</x:f>
      </x:c>
      <x:c r="M332" s="82" t="str"/>
      <x:c r="N332" s="82" t="str">
        <x:f>IF($L332&lt;&gt;"",$L332,$M332)</x:f>
      </x:c>
      <x:c r="O332" s="82" t="str">
        <x:f>IF($B332&lt;&gt;"",0,"")</x:f>
      </x:c>
      <x:c r="P332" s="75" t="str">
        <x:f>IF($B332&lt;&gt;"","Orta","")</x:f>
      </x:c>
      <x:c r="Q332" s="82" t="str">
        <x:f>IF($B332&lt;&gt;"",10,"")</x:f>
      </x:c>
      <x:c r="R332" s="83" t="str">
        <x:f>IF($B332&lt;&gt;"",Ayarlar!$B$10,"")</x:f>
      </x:c>
      <x:c r="S332" s="83" t="str">
        <x:f>IF($B332&lt;&gt;"",0,"")</x:f>
      </x:c>
      <x:c r="T332" s="83" t="n">
        <x:f>IFERROR(($K332+$O332)*XLOOKUP($G332,Ayarlar!$A$19:$A$28,Ayarlar!$C$19:$C$28,0)*(1+Ayarlar!$B$11),0)</x:f>
        <x:v>0</x:v>
      </x:c>
      <x:c r="U332" s="83" t="n">
        <x:f>IFERROR($N332/60*Ayarlar!$B$8,0)</x:f>
        <x:v>0</x:v>
      </x:c>
      <x:c r="V332" s="83" t="n">
        <x:f>IF($B332&lt;&gt;"",Ayarlar!$B$12+($Q332/60*Ayarlar!$B$9),0)</x:f>
        <x:v>0</x:v>
      </x:c>
      <x:c r="W332" s="83" t="n">
        <x:f>IF($B332&lt;&gt;"",SUM($T332:$V332,$R332:$S332),0)</x:f>
        <x:v>0</x:v>
      </x:c>
      <x:c r="X332" s="83" t="n">
        <x:f>IF($B332&lt;&gt;"",$W332*Ayarlar!$B$15,0)</x:f>
        <x:v>0</x:v>
      </x:c>
      <x:c r="Y332" s="83" t="n">
        <x:f>IF($B332&lt;&gt;"",($W332+$X332)*Ayarlar!$B$13,0)</x:f>
        <x:v>0</x:v>
      </x:c>
      <x:c r="Z332" s="83" t="n">
        <x:f>IF($B332&lt;&gt;"",($W332+$X332+$Y332)*Ayarlar!$B$14,0)</x:f>
        <x:v>0</x:v>
      </x:c>
      <x:c r="AA332" s="83" t="str">
        <x:f>IF($B332="","",IF(OR($K332="",$N332=""),"",CEILING($W332+$X332+$Y332+$Z332,Ayarlar!$B$16)))</x:f>
      </x:c>
      <x:c r="AB332" s="83" t="str">
        <x:f>IFERROR($AA332/$H332,"")</x:f>
      </x:c>
      <x:c r="AC332" s="75" t="str">
        <x:f>IF($B332="","",IF(OR($K332="",$N332=""),"Veri Eksik","Fiyat Hazır"))</x:f>
      </x:c>
      <x:c r="AD332" s="75" t="str">
        <x:f>IF($C332&lt;&gt;"","MW-"&amp;$C332,"")</x:f>
        <x:v>MW-80</x:v>
      </x:c>
      <x:c r="AE332" s="75" t="str">
        <x:f>IF($G332&lt;&gt;"","3D Baskı / "&amp;$G332,"3D Baskı")</x:f>
        <x:v>3D Baskı</x:v>
      </x:c>
      <x:c r="AF332" s="75" t="str">
        <x:f>IF($D332&lt;&gt;"",$D332&amp;" - "&amp;$G332,$AD332&amp;" - "&amp;$G332)</x:f>
        <x:v>MW-80 - </x:v>
      </x:c>
      <x:c r="AG332" s="75" t="str"/>
    </x:row>
    <x:row r="333">
      <x:c r="A333" s="75" t="str">
        <x:f>IF($B333&lt;&gt;"",ROW()-4,"")</x:f>
      </x:c>
      <x:c r="B333" s="75" t="str"/>
      <x:c r="C333" s="75" t="n">
        <x:f>IFERROR(LET(x,MID($B333,FIND("/models/",$B333)+8,80),y,LEFT(x,FIND("-",x&amp;"-")-1),LEFT(y,FIND("?",y&amp;"?")-1)),"")</x:f>
        <x:v>80</x:v>
      </x:c>
      <x:c r="D333" s="75" t="str">
        <x:f>IF($B333="","",IFERROR(XLOOKUP($C333,MakerWorld_Verileri!$A:$A,MakerWorld_Verileri!$B:$B,""),""))</x:f>
      </x:c>
      <x:c r="E333" s="75" t="str">
        <x:f>IF($B333="","",IFERROR(XLOOKUP($C333,MakerWorld_Verileri!$A:$A,MakerWorld_Verileri!$C:$C,""),""))</x:f>
      </x:c>
      <x:c r="F333" s="75" t="str"/>
      <x:c r="G333" s="75" t="str">
        <x:f>IF($B333&lt;&gt;"",Ayarlar!$B$7,"")</x:f>
      </x:c>
      <x:c r="H333" s="82" t="str">
        <x:f>IF($B333&lt;&gt;"",1,"")</x:f>
      </x:c>
      <x:c r="I333" s="82" t="str">
        <x:f>IF($B333="","",IFERROR(XLOOKUP($C333,MakerWorld_Verileri!$A:$A,MakerWorld_Verileri!$D:$D,""),""))</x:f>
      </x:c>
      <x:c r="J333" s="82" t="str"/>
      <x:c r="K333" s="82" t="str">
        <x:f>IF($I333&lt;&gt;"",$I333,$J333)</x:f>
      </x:c>
      <x:c r="L333" s="82" t="str">
        <x:f>IF($B333="","",IFERROR(XLOOKUP($C333,MakerWorld_Verileri!$A:$A,MakerWorld_Verileri!$E:$E,""),""))</x:f>
      </x:c>
      <x:c r="M333" s="82" t="str"/>
      <x:c r="N333" s="82" t="str">
        <x:f>IF($L333&lt;&gt;"",$L333,$M333)</x:f>
      </x:c>
      <x:c r="O333" s="82" t="str">
        <x:f>IF($B333&lt;&gt;"",0,"")</x:f>
      </x:c>
      <x:c r="P333" s="75" t="str">
        <x:f>IF($B333&lt;&gt;"","Orta","")</x:f>
      </x:c>
      <x:c r="Q333" s="82" t="str">
        <x:f>IF($B333&lt;&gt;"",10,"")</x:f>
      </x:c>
      <x:c r="R333" s="83" t="str">
        <x:f>IF($B333&lt;&gt;"",Ayarlar!$B$10,"")</x:f>
      </x:c>
      <x:c r="S333" s="83" t="str">
        <x:f>IF($B333&lt;&gt;"",0,"")</x:f>
      </x:c>
      <x:c r="T333" s="83" t="n">
        <x:f>IFERROR(($K333+$O333)*XLOOKUP($G333,Ayarlar!$A$19:$A$28,Ayarlar!$C$19:$C$28,0)*(1+Ayarlar!$B$11),0)</x:f>
        <x:v>0</x:v>
      </x:c>
      <x:c r="U333" s="83" t="n">
        <x:f>IFERROR($N333/60*Ayarlar!$B$8,0)</x:f>
        <x:v>0</x:v>
      </x:c>
      <x:c r="V333" s="83" t="n">
        <x:f>IF($B333&lt;&gt;"",Ayarlar!$B$12+($Q333/60*Ayarlar!$B$9),0)</x:f>
        <x:v>0</x:v>
      </x:c>
      <x:c r="W333" s="83" t="n">
        <x:f>IF($B333&lt;&gt;"",SUM($T333:$V333,$R333:$S333),0)</x:f>
        <x:v>0</x:v>
      </x:c>
      <x:c r="X333" s="83" t="n">
        <x:f>IF($B333&lt;&gt;"",$W333*Ayarlar!$B$15,0)</x:f>
        <x:v>0</x:v>
      </x:c>
      <x:c r="Y333" s="83" t="n">
        <x:f>IF($B333&lt;&gt;"",($W333+$X333)*Ayarlar!$B$13,0)</x:f>
        <x:v>0</x:v>
      </x:c>
      <x:c r="Z333" s="83" t="n">
        <x:f>IF($B333&lt;&gt;"",($W333+$X333+$Y333)*Ayarlar!$B$14,0)</x:f>
        <x:v>0</x:v>
      </x:c>
      <x:c r="AA333" s="83" t="str">
        <x:f>IF($B333="","",IF(OR($K333="",$N333=""),"",CEILING($W333+$X333+$Y333+$Z333,Ayarlar!$B$16)))</x:f>
      </x:c>
      <x:c r="AB333" s="83" t="str">
        <x:f>IFERROR($AA333/$H333,"")</x:f>
      </x:c>
      <x:c r="AC333" s="75" t="str">
        <x:f>IF($B333="","",IF(OR($K333="",$N333=""),"Veri Eksik","Fiyat Hazır"))</x:f>
      </x:c>
      <x:c r="AD333" s="75" t="str">
        <x:f>IF($C333&lt;&gt;"","MW-"&amp;$C333,"")</x:f>
        <x:v>MW-80</x:v>
      </x:c>
      <x:c r="AE333" s="75" t="str">
        <x:f>IF($G333&lt;&gt;"","3D Baskı / "&amp;$G333,"3D Baskı")</x:f>
        <x:v>3D Baskı</x:v>
      </x:c>
      <x:c r="AF333" s="75" t="str">
        <x:f>IF($D333&lt;&gt;"",$D333&amp;" - "&amp;$G333,$AD333&amp;" - "&amp;$G333)</x:f>
        <x:v>MW-80 - </x:v>
      </x:c>
      <x:c r="AG333" s="75" t="str"/>
    </x:row>
    <x:row r="334">
      <x:c r="A334" s="75" t="str">
        <x:f>IF($B334&lt;&gt;"",ROW()-4,"")</x:f>
      </x:c>
      <x:c r="B334" s="75" t="str"/>
      <x:c r="C334" s="75" t="n">
        <x:f>IFERROR(LET(x,MID($B334,FIND("/models/",$B334)+8,80),y,LEFT(x,FIND("-",x&amp;"-")-1),LEFT(y,FIND("?",y&amp;"?")-1)),"")</x:f>
        <x:v>80</x:v>
      </x:c>
      <x:c r="D334" s="75" t="str">
        <x:f>IF($B334="","",IFERROR(XLOOKUP($C334,MakerWorld_Verileri!$A:$A,MakerWorld_Verileri!$B:$B,""),""))</x:f>
      </x:c>
      <x:c r="E334" s="75" t="str">
        <x:f>IF($B334="","",IFERROR(XLOOKUP($C334,MakerWorld_Verileri!$A:$A,MakerWorld_Verileri!$C:$C,""),""))</x:f>
      </x:c>
      <x:c r="F334" s="75" t="str"/>
      <x:c r="G334" s="75" t="str">
        <x:f>IF($B334&lt;&gt;"",Ayarlar!$B$7,"")</x:f>
      </x:c>
      <x:c r="H334" s="82" t="str">
        <x:f>IF($B334&lt;&gt;"",1,"")</x:f>
      </x:c>
      <x:c r="I334" s="82" t="str">
        <x:f>IF($B334="","",IFERROR(XLOOKUP($C334,MakerWorld_Verileri!$A:$A,MakerWorld_Verileri!$D:$D,""),""))</x:f>
      </x:c>
      <x:c r="J334" s="82" t="str"/>
      <x:c r="K334" s="82" t="str">
        <x:f>IF($I334&lt;&gt;"",$I334,$J334)</x:f>
      </x:c>
      <x:c r="L334" s="82" t="str">
        <x:f>IF($B334="","",IFERROR(XLOOKUP($C334,MakerWorld_Verileri!$A:$A,MakerWorld_Verileri!$E:$E,""),""))</x:f>
      </x:c>
      <x:c r="M334" s="82" t="str"/>
      <x:c r="N334" s="82" t="str">
        <x:f>IF($L334&lt;&gt;"",$L334,$M334)</x:f>
      </x:c>
      <x:c r="O334" s="82" t="str">
        <x:f>IF($B334&lt;&gt;"",0,"")</x:f>
      </x:c>
      <x:c r="P334" s="75" t="str">
        <x:f>IF($B334&lt;&gt;"","Orta","")</x:f>
      </x:c>
      <x:c r="Q334" s="82" t="str">
        <x:f>IF($B334&lt;&gt;"",10,"")</x:f>
      </x:c>
      <x:c r="R334" s="83" t="str">
        <x:f>IF($B334&lt;&gt;"",Ayarlar!$B$10,"")</x:f>
      </x:c>
      <x:c r="S334" s="83" t="str">
        <x:f>IF($B334&lt;&gt;"",0,"")</x:f>
      </x:c>
      <x:c r="T334" s="83" t="n">
        <x:f>IFERROR(($K334+$O334)*XLOOKUP($G334,Ayarlar!$A$19:$A$28,Ayarlar!$C$19:$C$28,0)*(1+Ayarlar!$B$11),0)</x:f>
        <x:v>0</x:v>
      </x:c>
      <x:c r="U334" s="83" t="n">
        <x:f>IFERROR($N334/60*Ayarlar!$B$8,0)</x:f>
        <x:v>0</x:v>
      </x:c>
      <x:c r="V334" s="83" t="n">
        <x:f>IF($B334&lt;&gt;"",Ayarlar!$B$12+($Q334/60*Ayarlar!$B$9),0)</x:f>
        <x:v>0</x:v>
      </x:c>
      <x:c r="W334" s="83" t="n">
        <x:f>IF($B334&lt;&gt;"",SUM($T334:$V334,$R334:$S334),0)</x:f>
        <x:v>0</x:v>
      </x:c>
      <x:c r="X334" s="83" t="n">
        <x:f>IF($B334&lt;&gt;"",$W334*Ayarlar!$B$15,0)</x:f>
        <x:v>0</x:v>
      </x:c>
      <x:c r="Y334" s="83" t="n">
        <x:f>IF($B334&lt;&gt;"",($W334+$X334)*Ayarlar!$B$13,0)</x:f>
        <x:v>0</x:v>
      </x:c>
      <x:c r="Z334" s="83" t="n">
        <x:f>IF($B334&lt;&gt;"",($W334+$X334+$Y334)*Ayarlar!$B$14,0)</x:f>
        <x:v>0</x:v>
      </x:c>
      <x:c r="AA334" s="83" t="str">
        <x:f>IF($B334="","",IF(OR($K334="",$N334=""),"",CEILING($W334+$X334+$Y334+$Z334,Ayarlar!$B$16)))</x:f>
      </x:c>
      <x:c r="AB334" s="83" t="str">
        <x:f>IFERROR($AA334/$H334,"")</x:f>
      </x:c>
      <x:c r="AC334" s="75" t="str">
        <x:f>IF($B334="","",IF(OR($K334="",$N334=""),"Veri Eksik","Fiyat Hazır"))</x:f>
      </x:c>
      <x:c r="AD334" s="75" t="str">
        <x:f>IF($C334&lt;&gt;"","MW-"&amp;$C334,"")</x:f>
        <x:v>MW-80</x:v>
      </x:c>
      <x:c r="AE334" s="75" t="str">
        <x:f>IF($G334&lt;&gt;"","3D Baskı / "&amp;$G334,"3D Baskı")</x:f>
        <x:v>3D Baskı</x:v>
      </x:c>
      <x:c r="AF334" s="75" t="str">
        <x:f>IF($D334&lt;&gt;"",$D334&amp;" - "&amp;$G334,$AD334&amp;" - "&amp;$G334)</x:f>
        <x:v>MW-80 - </x:v>
      </x:c>
      <x:c r="AG334" s="75" t="str"/>
    </x:row>
    <x:row r="335">
      <x:c r="A335" s="75" t="str">
        <x:f>IF($B335&lt;&gt;"",ROW()-4,"")</x:f>
      </x:c>
      <x:c r="B335" s="75" t="str"/>
      <x:c r="C335" s="75" t="n">
        <x:f>IFERROR(LET(x,MID($B335,FIND("/models/",$B335)+8,80),y,LEFT(x,FIND("-",x&amp;"-")-1),LEFT(y,FIND("?",y&amp;"?")-1)),"")</x:f>
        <x:v>80</x:v>
      </x:c>
      <x:c r="D335" s="75" t="str">
        <x:f>IF($B335="","",IFERROR(XLOOKUP($C335,MakerWorld_Verileri!$A:$A,MakerWorld_Verileri!$B:$B,""),""))</x:f>
      </x:c>
      <x:c r="E335" s="75" t="str">
        <x:f>IF($B335="","",IFERROR(XLOOKUP($C335,MakerWorld_Verileri!$A:$A,MakerWorld_Verileri!$C:$C,""),""))</x:f>
      </x:c>
      <x:c r="F335" s="75" t="str"/>
      <x:c r="G335" s="75" t="str">
        <x:f>IF($B335&lt;&gt;"",Ayarlar!$B$7,"")</x:f>
      </x:c>
      <x:c r="H335" s="82" t="str">
        <x:f>IF($B335&lt;&gt;"",1,"")</x:f>
      </x:c>
      <x:c r="I335" s="82" t="str">
        <x:f>IF($B335="","",IFERROR(XLOOKUP($C335,MakerWorld_Verileri!$A:$A,MakerWorld_Verileri!$D:$D,""),""))</x:f>
      </x:c>
      <x:c r="J335" s="82" t="str"/>
      <x:c r="K335" s="82" t="str">
        <x:f>IF($I335&lt;&gt;"",$I335,$J335)</x:f>
      </x:c>
      <x:c r="L335" s="82" t="str">
        <x:f>IF($B335="","",IFERROR(XLOOKUP($C335,MakerWorld_Verileri!$A:$A,MakerWorld_Verileri!$E:$E,""),""))</x:f>
      </x:c>
      <x:c r="M335" s="82" t="str"/>
      <x:c r="N335" s="82" t="str">
        <x:f>IF($L335&lt;&gt;"",$L335,$M335)</x:f>
      </x:c>
      <x:c r="O335" s="82" t="str">
        <x:f>IF($B335&lt;&gt;"",0,"")</x:f>
      </x:c>
      <x:c r="P335" s="75" t="str">
        <x:f>IF($B335&lt;&gt;"","Orta","")</x:f>
      </x:c>
      <x:c r="Q335" s="82" t="str">
        <x:f>IF($B335&lt;&gt;"",10,"")</x:f>
      </x:c>
      <x:c r="R335" s="83" t="str">
        <x:f>IF($B335&lt;&gt;"",Ayarlar!$B$10,"")</x:f>
      </x:c>
      <x:c r="S335" s="83" t="str">
        <x:f>IF($B335&lt;&gt;"",0,"")</x:f>
      </x:c>
      <x:c r="T335" s="83" t="n">
        <x:f>IFERROR(($K335+$O335)*XLOOKUP($G335,Ayarlar!$A$19:$A$28,Ayarlar!$C$19:$C$28,0)*(1+Ayarlar!$B$11),0)</x:f>
        <x:v>0</x:v>
      </x:c>
      <x:c r="U335" s="83" t="n">
        <x:f>IFERROR($N335/60*Ayarlar!$B$8,0)</x:f>
        <x:v>0</x:v>
      </x:c>
      <x:c r="V335" s="83" t="n">
        <x:f>IF($B335&lt;&gt;"",Ayarlar!$B$12+($Q335/60*Ayarlar!$B$9),0)</x:f>
        <x:v>0</x:v>
      </x:c>
      <x:c r="W335" s="83" t="n">
        <x:f>IF($B335&lt;&gt;"",SUM($T335:$V335,$R335:$S335),0)</x:f>
        <x:v>0</x:v>
      </x:c>
      <x:c r="X335" s="83" t="n">
        <x:f>IF($B335&lt;&gt;"",$W335*Ayarlar!$B$15,0)</x:f>
        <x:v>0</x:v>
      </x:c>
      <x:c r="Y335" s="83" t="n">
        <x:f>IF($B335&lt;&gt;"",($W335+$X335)*Ayarlar!$B$13,0)</x:f>
        <x:v>0</x:v>
      </x:c>
      <x:c r="Z335" s="83" t="n">
        <x:f>IF($B335&lt;&gt;"",($W335+$X335+$Y335)*Ayarlar!$B$14,0)</x:f>
        <x:v>0</x:v>
      </x:c>
      <x:c r="AA335" s="83" t="str">
        <x:f>IF($B335="","",IF(OR($K335="",$N335=""),"",CEILING($W335+$X335+$Y335+$Z335,Ayarlar!$B$16)))</x:f>
      </x:c>
      <x:c r="AB335" s="83" t="str">
        <x:f>IFERROR($AA335/$H335,"")</x:f>
      </x:c>
      <x:c r="AC335" s="75" t="str">
        <x:f>IF($B335="","",IF(OR($K335="",$N335=""),"Veri Eksik","Fiyat Hazır"))</x:f>
      </x:c>
      <x:c r="AD335" s="75" t="str">
        <x:f>IF($C335&lt;&gt;"","MW-"&amp;$C335,"")</x:f>
        <x:v>MW-80</x:v>
      </x:c>
      <x:c r="AE335" s="75" t="str">
        <x:f>IF($G335&lt;&gt;"","3D Baskı / "&amp;$G335,"3D Baskı")</x:f>
        <x:v>3D Baskı</x:v>
      </x:c>
      <x:c r="AF335" s="75" t="str">
        <x:f>IF($D335&lt;&gt;"",$D335&amp;" - "&amp;$G335,$AD335&amp;" - "&amp;$G335)</x:f>
        <x:v>MW-80 - </x:v>
      </x:c>
      <x:c r="AG335" s="75" t="str"/>
    </x:row>
    <x:row r="336">
      <x:c r="A336" s="75" t="str">
        <x:f>IF($B336&lt;&gt;"",ROW()-4,"")</x:f>
      </x:c>
      <x:c r="B336" s="75" t="str"/>
      <x:c r="C336" s="75" t="n">
        <x:f>IFERROR(LET(x,MID($B336,FIND("/models/",$B336)+8,80),y,LEFT(x,FIND("-",x&amp;"-")-1),LEFT(y,FIND("?",y&amp;"?")-1)),"")</x:f>
        <x:v>80</x:v>
      </x:c>
      <x:c r="D336" s="75" t="str">
        <x:f>IF($B336="","",IFERROR(XLOOKUP($C336,MakerWorld_Verileri!$A:$A,MakerWorld_Verileri!$B:$B,""),""))</x:f>
      </x:c>
      <x:c r="E336" s="75" t="str">
        <x:f>IF($B336="","",IFERROR(XLOOKUP($C336,MakerWorld_Verileri!$A:$A,MakerWorld_Verileri!$C:$C,""),""))</x:f>
      </x:c>
      <x:c r="F336" s="75" t="str"/>
      <x:c r="G336" s="75" t="str">
        <x:f>IF($B336&lt;&gt;"",Ayarlar!$B$7,"")</x:f>
      </x:c>
      <x:c r="H336" s="82" t="str">
        <x:f>IF($B336&lt;&gt;"",1,"")</x:f>
      </x:c>
      <x:c r="I336" s="82" t="str">
        <x:f>IF($B336="","",IFERROR(XLOOKUP($C336,MakerWorld_Verileri!$A:$A,MakerWorld_Verileri!$D:$D,""),""))</x:f>
      </x:c>
      <x:c r="J336" s="82" t="str"/>
      <x:c r="K336" s="82" t="str">
        <x:f>IF($I336&lt;&gt;"",$I336,$J336)</x:f>
      </x:c>
      <x:c r="L336" s="82" t="str">
        <x:f>IF($B336="","",IFERROR(XLOOKUP($C336,MakerWorld_Verileri!$A:$A,MakerWorld_Verileri!$E:$E,""),""))</x:f>
      </x:c>
      <x:c r="M336" s="82" t="str"/>
      <x:c r="N336" s="82" t="str">
        <x:f>IF($L336&lt;&gt;"",$L336,$M336)</x:f>
      </x:c>
      <x:c r="O336" s="82" t="str">
        <x:f>IF($B336&lt;&gt;"",0,"")</x:f>
      </x:c>
      <x:c r="P336" s="75" t="str">
        <x:f>IF($B336&lt;&gt;"","Orta","")</x:f>
      </x:c>
      <x:c r="Q336" s="82" t="str">
        <x:f>IF($B336&lt;&gt;"",10,"")</x:f>
      </x:c>
      <x:c r="R336" s="83" t="str">
        <x:f>IF($B336&lt;&gt;"",Ayarlar!$B$10,"")</x:f>
      </x:c>
      <x:c r="S336" s="83" t="str">
        <x:f>IF($B336&lt;&gt;"",0,"")</x:f>
      </x:c>
      <x:c r="T336" s="83" t="n">
        <x:f>IFERROR(($K336+$O336)*XLOOKUP($G336,Ayarlar!$A$19:$A$28,Ayarlar!$C$19:$C$28,0)*(1+Ayarlar!$B$11),0)</x:f>
        <x:v>0</x:v>
      </x:c>
      <x:c r="U336" s="83" t="n">
        <x:f>IFERROR($N336/60*Ayarlar!$B$8,0)</x:f>
        <x:v>0</x:v>
      </x:c>
      <x:c r="V336" s="83" t="n">
        <x:f>IF($B336&lt;&gt;"",Ayarlar!$B$12+($Q336/60*Ayarlar!$B$9),0)</x:f>
        <x:v>0</x:v>
      </x:c>
      <x:c r="W336" s="83" t="n">
        <x:f>IF($B336&lt;&gt;"",SUM($T336:$V336,$R336:$S336),0)</x:f>
        <x:v>0</x:v>
      </x:c>
      <x:c r="X336" s="83" t="n">
        <x:f>IF($B336&lt;&gt;"",$W336*Ayarlar!$B$15,0)</x:f>
        <x:v>0</x:v>
      </x:c>
      <x:c r="Y336" s="83" t="n">
        <x:f>IF($B336&lt;&gt;"",($W336+$X336)*Ayarlar!$B$13,0)</x:f>
        <x:v>0</x:v>
      </x:c>
      <x:c r="Z336" s="83" t="n">
        <x:f>IF($B336&lt;&gt;"",($W336+$X336+$Y336)*Ayarlar!$B$14,0)</x:f>
        <x:v>0</x:v>
      </x:c>
      <x:c r="AA336" s="83" t="str">
        <x:f>IF($B336="","",IF(OR($K336="",$N336=""),"",CEILING($W336+$X336+$Y336+$Z336,Ayarlar!$B$16)))</x:f>
      </x:c>
      <x:c r="AB336" s="83" t="str">
        <x:f>IFERROR($AA336/$H336,"")</x:f>
      </x:c>
      <x:c r="AC336" s="75" t="str">
        <x:f>IF($B336="","",IF(OR($K336="",$N336=""),"Veri Eksik","Fiyat Hazır"))</x:f>
      </x:c>
      <x:c r="AD336" s="75" t="str">
        <x:f>IF($C336&lt;&gt;"","MW-"&amp;$C336,"")</x:f>
        <x:v>MW-80</x:v>
      </x:c>
      <x:c r="AE336" s="75" t="str">
        <x:f>IF($G336&lt;&gt;"","3D Baskı / "&amp;$G336,"3D Baskı")</x:f>
        <x:v>3D Baskı</x:v>
      </x:c>
      <x:c r="AF336" s="75" t="str">
        <x:f>IF($D336&lt;&gt;"",$D336&amp;" - "&amp;$G336,$AD336&amp;" - "&amp;$G336)</x:f>
        <x:v>MW-80 - </x:v>
      </x:c>
      <x:c r="AG336" s="75" t="str"/>
    </x:row>
    <x:row r="337">
      <x:c r="A337" s="75" t="str">
        <x:f>IF($B337&lt;&gt;"",ROW()-4,"")</x:f>
      </x:c>
      <x:c r="B337" s="75" t="str"/>
      <x:c r="C337" s="75" t="n">
        <x:f>IFERROR(LET(x,MID($B337,FIND("/models/",$B337)+8,80),y,LEFT(x,FIND("-",x&amp;"-")-1),LEFT(y,FIND("?",y&amp;"?")-1)),"")</x:f>
        <x:v>80</x:v>
      </x:c>
      <x:c r="D337" s="75" t="str">
        <x:f>IF($B337="","",IFERROR(XLOOKUP($C337,MakerWorld_Verileri!$A:$A,MakerWorld_Verileri!$B:$B,""),""))</x:f>
      </x:c>
      <x:c r="E337" s="75" t="str">
        <x:f>IF($B337="","",IFERROR(XLOOKUP($C337,MakerWorld_Verileri!$A:$A,MakerWorld_Verileri!$C:$C,""),""))</x:f>
      </x:c>
      <x:c r="F337" s="75" t="str"/>
      <x:c r="G337" s="75" t="str">
        <x:f>IF($B337&lt;&gt;"",Ayarlar!$B$7,"")</x:f>
      </x:c>
      <x:c r="H337" s="82" t="str">
        <x:f>IF($B337&lt;&gt;"",1,"")</x:f>
      </x:c>
      <x:c r="I337" s="82" t="str">
        <x:f>IF($B337="","",IFERROR(XLOOKUP($C337,MakerWorld_Verileri!$A:$A,MakerWorld_Verileri!$D:$D,""),""))</x:f>
      </x:c>
      <x:c r="J337" s="82" t="str"/>
      <x:c r="K337" s="82" t="str">
        <x:f>IF($I337&lt;&gt;"",$I337,$J337)</x:f>
      </x:c>
      <x:c r="L337" s="82" t="str">
        <x:f>IF($B337="","",IFERROR(XLOOKUP($C337,MakerWorld_Verileri!$A:$A,MakerWorld_Verileri!$E:$E,""),""))</x:f>
      </x:c>
      <x:c r="M337" s="82" t="str"/>
      <x:c r="N337" s="82" t="str">
        <x:f>IF($L337&lt;&gt;"",$L337,$M337)</x:f>
      </x:c>
      <x:c r="O337" s="82" t="str">
        <x:f>IF($B337&lt;&gt;"",0,"")</x:f>
      </x:c>
      <x:c r="P337" s="75" t="str">
        <x:f>IF($B337&lt;&gt;"","Orta","")</x:f>
      </x:c>
      <x:c r="Q337" s="82" t="str">
        <x:f>IF($B337&lt;&gt;"",10,"")</x:f>
      </x:c>
      <x:c r="R337" s="83" t="str">
        <x:f>IF($B337&lt;&gt;"",Ayarlar!$B$10,"")</x:f>
      </x:c>
      <x:c r="S337" s="83" t="str">
        <x:f>IF($B337&lt;&gt;"",0,"")</x:f>
      </x:c>
      <x:c r="T337" s="83" t="n">
        <x:f>IFERROR(($K337+$O337)*XLOOKUP($G337,Ayarlar!$A$19:$A$28,Ayarlar!$C$19:$C$28,0)*(1+Ayarlar!$B$11),0)</x:f>
        <x:v>0</x:v>
      </x:c>
      <x:c r="U337" s="83" t="n">
        <x:f>IFERROR($N337/60*Ayarlar!$B$8,0)</x:f>
        <x:v>0</x:v>
      </x:c>
      <x:c r="V337" s="83" t="n">
        <x:f>IF($B337&lt;&gt;"",Ayarlar!$B$12+($Q337/60*Ayarlar!$B$9),0)</x:f>
        <x:v>0</x:v>
      </x:c>
      <x:c r="W337" s="83" t="n">
        <x:f>IF($B337&lt;&gt;"",SUM($T337:$V337,$R337:$S337),0)</x:f>
        <x:v>0</x:v>
      </x:c>
      <x:c r="X337" s="83" t="n">
        <x:f>IF($B337&lt;&gt;"",$W337*Ayarlar!$B$15,0)</x:f>
        <x:v>0</x:v>
      </x:c>
      <x:c r="Y337" s="83" t="n">
        <x:f>IF($B337&lt;&gt;"",($W337+$X337)*Ayarlar!$B$13,0)</x:f>
        <x:v>0</x:v>
      </x:c>
      <x:c r="Z337" s="83" t="n">
        <x:f>IF($B337&lt;&gt;"",($W337+$X337+$Y337)*Ayarlar!$B$14,0)</x:f>
        <x:v>0</x:v>
      </x:c>
      <x:c r="AA337" s="83" t="str">
        <x:f>IF($B337="","",IF(OR($K337="",$N337=""),"",CEILING($W337+$X337+$Y337+$Z337,Ayarlar!$B$16)))</x:f>
      </x:c>
      <x:c r="AB337" s="83" t="str">
        <x:f>IFERROR($AA337/$H337,"")</x:f>
      </x:c>
      <x:c r="AC337" s="75" t="str">
        <x:f>IF($B337="","",IF(OR($K337="",$N337=""),"Veri Eksik","Fiyat Hazır"))</x:f>
      </x:c>
      <x:c r="AD337" s="75" t="str">
        <x:f>IF($C337&lt;&gt;"","MW-"&amp;$C337,"")</x:f>
        <x:v>MW-80</x:v>
      </x:c>
      <x:c r="AE337" s="75" t="str">
        <x:f>IF($G337&lt;&gt;"","3D Baskı / "&amp;$G337,"3D Baskı")</x:f>
        <x:v>3D Baskı</x:v>
      </x:c>
      <x:c r="AF337" s="75" t="str">
        <x:f>IF($D337&lt;&gt;"",$D337&amp;" - "&amp;$G337,$AD337&amp;" - "&amp;$G337)</x:f>
        <x:v>MW-80 - </x:v>
      </x:c>
      <x:c r="AG337" s="75" t="str"/>
    </x:row>
    <x:row r="338">
      <x:c r="A338" s="75" t="str">
        <x:f>IF($B338&lt;&gt;"",ROW()-4,"")</x:f>
      </x:c>
      <x:c r="B338" s="75" t="str"/>
      <x:c r="C338" s="75" t="n">
        <x:f>IFERROR(LET(x,MID($B338,FIND("/models/",$B338)+8,80),y,LEFT(x,FIND("-",x&amp;"-")-1),LEFT(y,FIND("?",y&amp;"?")-1)),"")</x:f>
        <x:v>80</x:v>
      </x:c>
      <x:c r="D338" s="75" t="str">
        <x:f>IF($B338="","",IFERROR(XLOOKUP($C338,MakerWorld_Verileri!$A:$A,MakerWorld_Verileri!$B:$B,""),""))</x:f>
      </x:c>
      <x:c r="E338" s="75" t="str">
        <x:f>IF($B338="","",IFERROR(XLOOKUP($C338,MakerWorld_Verileri!$A:$A,MakerWorld_Verileri!$C:$C,""),""))</x:f>
      </x:c>
      <x:c r="F338" s="75" t="str"/>
      <x:c r="G338" s="75" t="str">
        <x:f>IF($B338&lt;&gt;"",Ayarlar!$B$7,"")</x:f>
      </x:c>
      <x:c r="H338" s="82" t="str">
        <x:f>IF($B338&lt;&gt;"",1,"")</x:f>
      </x:c>
      <x:c r="I338" s="82" t="str">
        <x:f>IF($B338="","",IFERROR(XLOOKUP($C338,MakerWorld_Verileri!$A:$A,MakerWorld_Verileri!$D:$D,""),""))</x:f>
      </x:c>
      <x:c r="J338" s="82" t="str"/>
      <x:c r="K338" s="82" t="str">
        <x:f>IF($I338&lt;&gt;"",$I338,$J338)</x:f>
      </x:c>
      <x:c r="L338" s="82" t="str">
        <x:f>IF($B338="","",IFERROR(XLOOKUP($C338,MakerWorld_Verileri!$A:$A,MakerWorld_Verileri!$E:$E,""),""))</x:f>
      </x:c>
      <x:c r="M338" s="82" t="str"/>
      <x:c r="N338" s="82" t="str">
        <x:f>IF($L338&lt;&gt;"",$L338,$M338)</x:f>
      </x:c>
      <x:c r="O338" s="82" t="str">
        <x:f>IF($B338&lt;&gt;"",0,"")</x:f>
      </x:c>
      <x:c r="P338" s="75" t="str">
        <x:f>IF($B338&lt;&gt;"","Orta","")</x:f>
      </x:c>
      <x:c r="Q338" s="82" t="str">
        <x:f>IF($B338&lt;&gt;"",10,"")</x:f>
      </x:c>
      <x:c r="R338" s="83" t="str">
        <x:f>IF($B338&lt;&gt;"",Ayarlar!$B$10,"")</x:f>
      </x:c>
      <x:c r="S338" s="83" t="str">
        <x:f>IF($B338&lt;&gt;"",0,"")</x:f>
      </x:c>
      <x:c r="T338" s="83" t="n">
        <x:f>IFERROR(($K338+$O338)*XLOOKUP($G338,Ayarlar!$A$19:$A$28,Ayarlar!$C$19:$C$28,0)*(1+Ayarlar!$B$11),0)</x:f>
        <x:v>0</x:v>
      </x:c>
      <x:c r="U338" s="83" t="n">
        <x:f>IFERROR($N338/60*Ayarlar!$B$8,0)</x:f>
        <x:v>0</x:v>
      </x:c>
      <x:c r="V338" s="83" t="n">
        <x:f>IF($B338&lt;&gt;"",Ayarlar!$B$12+($Q338/60*Ayarlar!$B$9),0)</x:f>
        <x:v>0</x:v>
      </x:c>
      <x:c r="W338" s="83" t="n">
        <x:f>IF($B338&lt;&gt;"",SUM($T338:$V338,$R338:$S338),0)</x:f>
        <x:v>0</x:v>
      </x:c>
      <x:c r="X338" s="83" t="n">
        <x:f>IF($B338&lt;&gt;"",$W338*Ayarlar!$B$15,0)</x:f>
        <x:v>0</x:v>
      </x:c>
      <x:c r="Y338" s="83" t="n">
        <x:f>IF($B338&lt;&gt;"",($W338+$X338)*Ayarlar!$B$13,0)</x:f>
        <x:v>0</x:v>
      </x:c>
      <x:c r="Z338" s="83" t="n">
        <x:f>IF($B338&lt;&gt;"",($W338+$X338+$Y338)*Ayarlar!$B$14,0)</x:f>
        <x:v>0</x:v>
      </x:c>
      <x:c r="AA338" s="83" t="str">
        <x:f>IF($B338="","",IF(OR($K338="",$N338=""),"",CEILING($W338+$X338+$Y338+$Z338,Ayarlar!$B$16)))</x:f>
      </x:c>
      <x:c r="AB338" s="83" t="str">
        <x:f>IFERROR($AA338/$H338,"")</x:f>
      </x:c>
      <x:c r="AC338" s="75" t="str">
        <x:f>IF($B338="","",IF(OR($K338="",$N338=""),"Veri Eksik","Fiyat Hazır"))</x:f>
      </x:c>
      <x:c r="AD338" s="75" t="str">
        <x:f>IF($C338&lt;&gt;"","MW-"&amp;$C338,"")</x:f>
        <x:v>MW-80</x:v>
      </x:c>
      <x:c r="AE338" s="75" t="str">
        <x:f>IF($G338&lt;&gt;"","3D Baskı / "&amp;$G338,"3D Baskı")</x:f>
        <x:v>3D Baskı</x:v>
      </x:c>
      <x:c r="AF338" s="75" t="str">
        <x:f>IF($D338&lt;&gt;"",$D338&amp;" - "&amp;$G338,$AD338&amp;" - "&amp;$G338)</x:f>
        <x:v>MW-80 - </x:v>
      </x:c>
      <x:c r="AG338" s="75" t="str"/>
    </x:row>
    <x:row r="339">
      <x:c r="A339" s="75" t="str">
        <x:f>IF($B339&lt;&gt;"",ROW()-4,"")</x:f>
      </x:c>
      <x:c r="B339" s="75" t="str"/>
      <x:c r="C339" s="75" t="n">
        <x:f>IFERROR(LET(x,MID($B339,FIND("/models/",$B339)+8,80),y,LEFT(x,FIND("-",x&amp;"-")-1),LEFT(y,FIND("?",y&amp;"?")-1)),"")</x:f>
        <x:v>80</x:v>
      </x:c>
      <x:c r="D339" s="75" t="str">
        <x:f>IF($B339="","",IFERROR(XLOOKUP($C339,MakerWorld_Verileri!$A:$A,MakerWorld_Verileri!$B:$B,""),""))</x:f>
      </x:c>
      <x:c r="E339" s="75" t="str">
        <x:f>IF($B339="","",IFERROR(XLOOKUP($C339,MakerWorld_Verileri!$A:$A,MakerWorld_Verileri!$C:$C,""),""))</x:f>
      </x:c>
      <x:c r="F339" s="75" t="str"/>
      <x:c r="G339" s="75" t="str">
        <x:f>IF($B339&lt;&gt;"",Ayarlar!$B$7,"")</x:f>
      </x:c>
      <x:c r="H339" s="82" t="str">
        <x:f>IF($B339&lt;&gt;"",1,"")</x:f>
      </x:c>
      <x:c r="I339" s="82" t="str">
        <x:f>IF($B339="","",IFERROR(XLOOKUP($C339,MakerWorld_Verileri!$A:$A,MakerWorld_Verileri!$D:$D,""),""))</x:f>
      </x:c>
      <x:c r="J339" s="82" t="str"/>
      <x:c r="K339" s="82" t="str">
        <x:f>IF($I339&lt;&gt;"",$I339,$J339)</x:f>
      </x:c>
      <x:c r="L339" s="82" t="str">
        <x:f>IF($B339="","",IFERROR(XLOOKUP($C339,MakerWorld_Verileri!$A:$A,MakerWorld_Verileri!$E:$E,""),""))</x:f>
      </x:c>
      <x:c r="M339" s="82" t="str"/>
      <x:c r="N339" s="82" t="str">
        <x:f>IF($L339&lt;&gt;"",$L339,$M339)</x:f>
      </x:c>
      <x:c r="O339" s="82" t="str">
        <x:f>IF($B339&lt;&gt;"",0,"")</x:f>
      </x:c>
      <x:c r="P339" s="75" t="str">
        <x:f>IF($B339&lt;&gt;"","Orta","")</x:f>
      </x:c>
      <x:c r="Q339" s="82" t="str">
        <x:f>IF($B339&lt;&gt;"",10,"")</x:f>
      </x:c>
      <x:c r="R339" s="83" t="str">
        <x:f>IF($B339&lt;&gt;"",Ayarlar!$B$10,"")</x:f>
      </x:c>
      <x:c r="S339" s="83" t="str">
        <x:f>IF($B339&lt;&gt;"",0,"")</x:f>
      </x:c>
      <x:c r="T339" s="83" t="n">
        <x:f>IFERROR(($K339+$O339)*XLOOKUP($G339,Ayarlar!$A$19:$A$28,Ayarlar!$C$19:$C$28,0)*(1+Ayarlar!$B$11),0)</x:f>
        <x:v>0</x:v>
      </x:c>
      <x:c r="U339" s="83" t="n">
        <x:f>IFERROR($N339/60*Ayarlar!$B$8,0)</x:f>
        <x:v>0</x:v>
      </x:c>
      <x:c r="V339" s="83" t="n">
        <x:f>IF($B339&lt;&gt;"",Ayarlar!$B$12+($Q339/60*Ayarlar!$B$9),0)</x:f>
        <x:v>0</x:v>
      </x:c>
      <x:c r="W339" s="83" t="n">
        <x:f>IF($B339&lt;&gt;"",SUM($T339:$V339,$R339:$S339),0)</x:f>
        <x:v>0</x:v>
      </x:c>
      <x:c r="X339" s="83" t="n">
        <x:f>IF($B339&lt;&gt;"",$W339*Ayarlar!$B$15,0)</x:f>
        <x:v>0</x:v>
      </x:c>
      <x:c r="Y339" s="83" t="n">
        <x:f>IF($B339&lt;&gt;"",($W339+$X339)*Ayarlar!$B$13,0)</x:f>
        <x:v>0</x:v>
      </x:c>
      <x:c r="Z339" s="83" t="n">
        <x:f>IF($B339&lt;&gt;"",($W339+$X339+$Y339)*Ayarlar!$B$14,0)</x:f>
        <x:v>0</x:v>
      </x:c>
      <x:c r="AA339" s="83" t="str">
        <x:f>IF($B339="","",IF(OR($K339="",$N339=""),"",CEILING($W339+$X339+$Y339+$Z339,Ayarlar!$B$16)))</x:f>
      </x:c>
      <x:c r="AB339" s="83" t="str">
        <x:f>IFERROR($AA339/$H339,"")</x:f>
      </x:c>
      <x:c r="AC339" s="75" t="str">
        <x:f>IF($B339="","",IF(OR($K339="",$N339=""),"Veri Eksik","Fiyat Hazır"))</x:f>
      </x:c>
      <x:c r="AD339" s="75" t="str">
        <x:f>IF($C339&lt;&gt;"","MW-"&amp;$C339,"")</x:f>
        <x:v>MW-80</x:v>
      </x:c>
      <x:c r="AE339" s="75" t="str">
        <x:f>IF($G339&lt;&gt;"","3D Baskı / "&amp;$G339,"3D Baskı")</x:f>
        <x:v>3D Baskı</x:v>
      </x:c>
      <x:c r="AF339" s="75" t="str">
        <x:f>IF($D339&lt;&gt;"",$D339&amp;" - "&amp;$G339,$AD339&amp;" - "&amp;$G339)</x:f>
        <x:v>MW-80 - </x:v>
      </x:c>
      <x:c r="AG339" s="75" t="str"/>
    </x:row>
    <x:row r="340">
      <x:c r="A340" s="75" t="str">
        <x:f>IF($B340&lt;&gt;"",ROW()-4,"")</x:f>
      </x:c>
      <x:c r="B340" s="75" t="str"/>
      <x:c r="C340" s="75" t="n">
        <x:f>IFERROR(LET(x,MID($B340,FIND("/models/",$B340)+8,80),y,LEFT(x,FIND("-",x&amp;"-")-1),LEFT(y,FIND("?",y&amp;"?")-1)),"")</x:f>
        <x:v>80</x:v>
      </x:c>
      <x:c r="D340" s="75" t="str">
        <x:f>IF($B340="","",IFERROR(XLOOKUP($C340,MakerWorld_Verileri!$A:$A,MakerWorld_Verileri!$B:$B,""),""))</x:f>
      </x:c>
      <x:c r="E340" s="75" t="str">
        <x:f>IF($B340="","",IFERROR(XLOOKUP($C340,MakerWorld_Verileri!$A:$A,MakerWorld_Verileri!$C:$C,""),""))</x:f>
      </x:c>
      <x:c r="F340" s="75" t="str"/>
      <x:c r="G340" s="75" t="str">
        <x:f>IF($B340&lt;&gt;"",Ayarlar!$B$7,"")</x:f>
      </x:c>
      <x:c r="H340" s="82" t="str">
        <x:f>IF($B340&lt;&gt;"",1,"")</x:f>
      </x:c>
      <x:c r="I340" s="82" t="str">
        <x:f>IF($B340="","",IFERROR(XLOOKUP($C340,MakerWorld_Verileri!$A:$A,MakerWorld_Verileri!$D:$D,""),""))</x:f>
      </x:c>
      <x:c r="J340" s="82" t="str"/>
      <x:c r="K340" s="82" t="str">
        <x:f>IF($I340&lt;&gt;"",$I340,$J340)</x:f>
      </x:c>
      <x:c r="L340" s="82" t="str">
        <x:f>IF($B340="","",IFERROR(XLOOKUP($C340,MakerWorld_Verileri!$A:$A,MakerWorld_Verileri!$E:$E,""),""))</x:f>
      </x:c>
      <x:c r="M340" s="82" t="str"/>
      <x:c r="N340" s="82" t="str">
        <x:f>IF($L340&lt;&gt;"",$L340,$M340)</x:f>
      </x:c>
      <x:c r="O340" s="82" t="str">
        <x:f>IF($B340&lt;&gt;"",0,"")</x:f>
      </x:c>
      <x:c r="P340" s="75" t="str">
        <x:f>IF($B340&lt;&gt;"","Orta","")</x:f>
      </x:c>
      <x:c r="Q340" s="82" t="str">
        <x:f>IF($B340&lt;&gt;"",10,"")</x:f>
      </x:c>
      <x:c r="R340" s="83" t="str">
        <x:f>IF($B340&lt;&gt;"",Ayarlar!$B$10,"")</x:f>
      </x:c>
      <x:c r="S340" s="83" t="str">
        <x:f>IF($B340&lt;&gt;"",0,"")</x:f>
      </x:c>
      <x:c r="T340" s="83" t="n">
        <x:f>IFERROR(($K340+$O340)*XLOOKUP($G340,Ayarlar!$A$19:$A$28,Ayarlar!$C$19:$C$28,0)*(1+Ayarlar!$B$11),0)</x:f>
        <x:v>0</x:v>
      </x:c>
      <x:c r="U340" s="83" t="n">
        <x:f>IFERROR($N340/60*Ayarlar!$B$8,0)</x:f>
        <x:v>0</x:v>
      </x:c>
      <x:c r="V340" s="83" t="n">
        <x:f>IF($B340&lt;&gt;"",Ayarlar!$B$12+($Q340/60*Ayarlar!$B$9),0)</x:f>
        <x:v>0</x:v>
      </x:c>
      <x:c r="W340" s="83" t="n">
        <x:f>IF($B340&lt;&gt;"",SUM($T340:$V340,$R340:$S340),0)</x:f>
        <x:v>0</x:v>
      </x:c>
      <x:c r="X340" s="83" t="n">
        <x:f>IF($B340&lt;&gt;"",$W340*Ayarlar!$B$15,0)</x:f>
        <x:v>0</x:v>
      </x:c>
      <x:c r="Y340" s="83" t="n">
        <x:f>IF($B340&lt;&gt;"",($W340+$X340)*Ayarlar!$B$13,0)</x:f>
        <x:v>0</x:v>
      </x:c>
      <x:c r="Z340" s="83" t="n">
        <x:f>IF($B340&lt;&gt;"",($W340+$X340+$Y340)*Ayarlar!$B$14,0)</x:f>
        <x:v>0</x:v>
      </x:c>
      <x:c r="AA340" s="83" t="str">
        <x:f>IF($B340="","",IF(OR($K340="",$N340=""),"",CEILING($W340+$X340+$Y340+$Z340,Ayarlar!$B$16)))</x:f>
      </x:c>
      <x:c r="AB340" s="83" t="str">
        <x:f>IFERROR($AA340/$H340,"")</x:f>
      </x:c>
      <x:c r="AC340" s="75" t="str">
        <x:f>IF($B340="","",IF(OR($K340="",$N340=""),"Veri Eksik","Fiyat Hazır"))</x:f>
      </x:c>
      <x:c r="AD340" s="75" t="str">
        <x:f>IF($C340&lt;&gt;"","MW-"&amp;$C340,"")</x:f>
        <x:v>MW-80</x:v>
      </x:c>
      <x:c r="AE340" s="75" t="str">
        <x:f>IF($G340&lt;&gt;"","3D Baskı / "&amp;$G340,"3D Baskı")</x:f>
        <x:v>3D Baskı</x:v>
      </x:c>
      <x:c r="AF340" s="75" t="str">
        <x:f>IF($D340&lt;&gt;"",$D340&amp;" - "&amp;$G340,$AD340&amp;" - "&amp;$G340)</x:f>
        <x:v>MW-80 - </x:v>
      </x:c>
      <x:c r="AG340" s="75" t="str"/>
    </x:row>
    <x:row r="341">
      <x:c r="A341" s="75" t="str">
        <x:f>IF($B341&lt;&gt;"",ROW()-4,"")</x:f>
      </x:c>
      <x:c r="B341" s="75" t="str"/>
      <x:c r="C341" s="75" t="n">
        <x:f>IFERROR(LET(x,MID($B341,FIND("/models/",$B341)+8,80),y,LEFT(x,FIND("-",x&amp;"-")-1),LEFT(y,FIND("?",y&amp;"?")-1)),"")</x:f>
        <x:v>80</x:v>
      </x:c>
      <x:c r="D341" s="75" t="str">
        <x:f>IF($B341="","",IFERROR(XLOOKUP($C341,MakerWorld_Verileri!$A:$A,MakerWorld_Verileri!$B:$B,""),""))</x:f>
      </x:c>
      <x:c r="E341" s="75" t="str">
        <x:f>IF($B341="","",IFERROR(XLOOKUP($C341,MakerWorld_Verileri!$A:$A,MakerWorld_Verileri!$C:$C,""),""))</x:f>
      </x:c>
      <x:c r="F341" s="75" t="str"/>
      <x:c r="G341" s="75" t="str">
        <x:f>IF($B341&lt;&gt;"",Ayarlar!$B$7,"")</x:f>
      </x:c>
      <x:c r="H341" s="82" t="str">
        <x:f>IF($B341&lt;&gt;"",1,"")</x:f>
      </x:c>
      <x:c r="I341" s="82" t="str">
        <x:f>IF($B341="","",IFERROR(XLOOKUP($C341,MakerWorld_Verileri!$A:$A,MakerWorld_Verileri!$D:$D,""),""))</x:f>
      </x:c>
      <x:c r="J341" s="82" t="str"/>
      <x:c r="K341" s="82" t="str">
        <x:f>IF($I341&lt;&gt;"",$I341,$J341)</x:f>
      </x:c>
      <x:c r="L341" s="82" t="str">
        <x:f>IF($B341="","",IFERROR(XLOOKUP($C341,MakerWorld_Verileri!$A:$A,MakerWorld_Verileri!$E:$E,""),""))</x:f>
      </x:c>
      <x:c r="M341" s="82" t="str"/>
      <x:c r="N341" s="82" t="str">
        <x:f>IF($L341&lt;&gt;"",$L341,$M341)</x:f>
      </x:c>
      <x:c r="O341" s="82" t="str">
        <x:f>IF($B341&lt;&gt;"",0,"")</x:f>
      </x:c>
      <x:c r="P341" s="75" t="str">
        <x:f>IF($B341&lt;&gt;"","Orta","")</x:f>
      </x:c>
      <x:c r="Q341" s="82" t="str">
        <x:f>IF($B341&lt;&gt;"",10,"")</x:f>
      </x:c>
      <x:c r="R341" s="83" t="str">
        <x:f>IF($B341&lt;&gt;"",Ayarlar!$B$10,"")</x:f>
      </x:c>
      <x:c r="S341" s="83" t="str">
        <x:f>IF($B341&lt;&gt;"",0,"")</x:f>
      </x:c>
      <x:c r="T341" s="83" t="n">
        <x:f>IFERROR(($K341+$O341)*XLOOKUP($G341,Ayarlar!$A$19:$A$28,Ayarlar!$C$19:$C$28,0)*(1+Ayarlar!$B$11),0)</x:f>
        <x:v>0</x:v>
      </x:c>
      <x:c r="U341" s="83" t="n">
        <x:f>IFERROR($N341/60*Ayarlar!$B$8,0)</x:f>
        <x:v>0</x:v>
      </x:c>
      <x:c r="V341" s="83" t="n">
        <x:f>IF($B341&lt;&gt;"",Ayarlar!$B$12+($Q341/60*Ayarlar!$B$9),0)</x:f>
        <x:v>0</x:v>
      </x:c>
      <x:c r="W341" s="83" t="n">
        <x:f>IF($B341&lt;&gt;"",SUM($T341:$V341,$R341:$S341),0)</x:f>
        <x:v>0</x:v>
      </x:c>
      <x:c r="X341" s="83" t="n">
        <x:f>IF($B341&lt;&gt;"",$W341*Ayarlar!$B$15,0)</x:f>
        <x:v>0</x:v>
      </x:c>
      <x:c r="Y341" s="83" t="n">
        <x:f>IF($B341&lt;&gt;"",($W341+$X341)*Ayarlar!$B$13,0)</x:f>
        <x:v>0</x:v>
      </x:c>
      <x:c r="Z341" s="83" t="n">
        <x:f>IF($B341&lt;&gt;"",($W341+$X341+$Y341)*Ayarlar!$B$14,0)</x:f>
        <x:v>0</x:v>
      </x:c>
      <x:c r="AA341" s="83" t="str">
        <x:f>IF($B341="","",IF(OR($K341="",$N341=""),"",CEILING($W341+$X341+$Y341+$Z341,Ayarlar!$B$16)))</x:f>
      </x:c>
      <x:c r="AB341" s="83" t="str">
        <x:f>IFERROR($AA341/$H341,"")</x:f>
      </x:c>
      <x:c r="AC341" s="75" t="str">
        <x:f>IF($B341="","",IF(OR($K341="",$N341=""),"Veri Eksik","Fiyat Hazır"))</x:f>
      </x:c>
      <x:c r="AD341" s="75" t="str">
        <x:f>IF($C341&lt;&gt;"","MW-"&amp;$C341,"")</x:f>
        <x:v>MW-80</x:v>
      </x:c>
      <x:c r="AE341" s="75" t="str">
        <x:f>IF($G341&lt;&gt;"","3D Baskı / "&amp;$G341,"3D Baskı")</x:f>
        <x:v>3D Baskı</x:v>
      </x:c>
      <x:c r="AF341" s="75" t="str">
        <x:f>IF($D341&lt;&gt;"",$D341&amp;" - "&amp;$G341,$AD341&amp;" - "&amp;$G341)</x:f>
        <x:v>MW-80 - </x:v>
      </x:c>
      <x:c r="AG341" s="75" t="str"/>
    </x:row>
    <x:row r="342">
      <x:c r="A342" s="75" t="str">
        <x:f>IF($B342&lt;&gt;"",ROW()-4,"")</x:f>
      </x:c>
      <x:c r="B342" s="75" t="str"/>
      <x:c r="C342" s="75" t="n">
        <x:f>IFERROR(LET(x,MID($B342,FIND("/models/",$B342)+8,80),y,LEFT(x,FIND("-",x&amp;"-")-1),LEFT(y,FIND("?",y&amp;"?")-1)),"")</x:f>
        <x:v>80</x:v>
      </x:c>
      <x:c r="D342" s="75" t="str">
        <x:f>IF($B342="","",IFERROR(XLOOKUP($C342,MakerWorld_Verileri!$A:$A,MakerWorld_Verileri!$B:$B,""),""))</x:f>
      </x:c>
      <x:c r="E342" s="75" t="str">
        <x:f>IF($B342="","",IFERROR(XLOOKUP($C342,MakerWorld_Verileri!$A:$A,MakerWorld_Verileri!$C:$C,""),""))</x:f>
      </x:c>
      <x:c r="F342" s="75" t="str"/>
      <x:c r="G342" s="75" t="str">
        <x:f>IF($B342&lt;&gt;"",Ayarlar!$B$7,"")</x:f>
      </x:c>
      <x:c r="H342" s="82" t="str">
        <x:f>IF($B342&lt;&gt;"",1,"")</x:f>
      </x:c>
      <x:c r="I342" s="82" t="str">
        <x:f>IF($B342="","",IFERROR(XLOOKUP($C342,MakerWorld_Verileri!$A:$A,MakerWorld_Verileri!$D:$D,""),""))</x:f>
      </x:c>
      <x:c r="J342" s="82" t="str"/>
      <x:c r="K342" s="82" t="str">
        <x:f>IF($I342&lt;&gt;"",$I342,$J342)</x:f>
      </x:c>
      <x:c r="L342" s="82" t="str">
        <x:f>IF($B342="","",IFERROR(XLOOKUP($C342,MakerWorld_Verileri!$A:$A,MakerWorld_Verileri!$E:$E,""),""))</x:f>
      </x:c>
      <x:c r="M342" s="82" t="str"/>
      <x:c r="N342" s="82" t="str">
        <x:f>IF($L342&lt;&gt;"",$L342,$M342)</x:f>
      </x:c>
      <x:c r="O342" s="82" t="str">
        <x:f>IF($B342&lt;&gt;"",0,"")</x:f>
      </x:c>
      <x:c r="P342" s="75" t="str">
        <x:f>IF($B342&lt;&gt;"","Orta","")</x:f>
      </x:c>
      <x:c r="Q342" s="82" t="str">
        <x:f>IF($B342&lt;&gt;"",10,"")</x:f>
      </x:c>
      <x:c r="R342" s="83" t="str">
        <x:f>IF($B342&lt;&gt;"",Ayarlar!$B$10,"")</x:f>
      </x:c>
      <x:c r="S342" s="83" t="str">
        <x:f>IF($B342&lt;&gt;"",0,"")</x:f>
      </x:c>
      <x:c r="T342" s="83" t="n">
        <x:f>IFERROR(($K342+$O342)*XLOOKUP($G342,Ayarlar!$A$19:$A$28,Ayarlar!$C$19:$C$28,0)*(1+Ayarlar!$B$11),0)</x:f>
        <x:v>0</x:v>
      </x:c>
      <x:c r="U342" s="83" t="n">
        <x:f>IFERROR($N342/60*Ayarlar!$B$8,0)</x:f>
        <x:v>0</x:v>
      </x:c>
      <x:c r="V342" s="83" t="n">
        <x:f>IF($B342&lt;&gt;"",Ayarlar!$B$12+($Q342/60*Ayarlar!$B$9),0)</x:f>
        <x:v>0</x:v>
      </x:c>
      <x:c r="W342" s="83" t="n">
        <x:f>IF($B342&lt;&gt;"",SUM($T342:$V342,$R342:$S342),0)</x:f>
        <x:v>0</x:v>
      </x:c>
      <x:c r="X342" s="83" t="n">
        <x:f>IF($B342&lt;&gt;"",$W342*Ayarlar!$B$15,0)</x:f>
        <x:v>0</x:v>
      </x:c>
      <x:c r="Y342" s="83" t="n">
        <x:f>IF($B342&lt;&gt;"",($W342+$X342)*Ayarlar!$B$13,0)</x:f>
        <x:v>0</x:v>
      </x:c>
      <x:c r="Z342" s="83" t="n">
        <x:f>IF($B342&lt;&gt;"",($W342+$X342+$Y342)*Ayarlar!$B$14,0)</x:f>
        <x:v>0</x:v>
      </x:c>
      <x:c r="AA342" s="83" t="str">
        <x:f>IF($B342="","",IF(OR($K342="",$N342=""),"",CEILING($W342+$X342+$Y342+$Z342,Ayarlar!$B$16)))</x:f>
      </x:c>
      <x:c r="AB342" s="83" t="str">
        <x:f>IFERROR($AA342/$H342,"")</x:f>
      </x:c>
      <x:c r="AC342" s="75" t="str">
        <x:f>IF($B342="","",IF(OR($K342="",$N342=""),"Veri Eksik","Fiyat Hazır"))</x:f>
      </x:c>
      <x:c r="AD342" s="75" t="str">
        <x:f>IF($C342&lt;&gt;"","MW-"&amp;$C342,"")</x:f>
        <x:v>MW-80</x:v>
      </x:c>
      <x:c r="AE342" s="75" t="str">
        <x:f>IF($G342&lt;&gt;"","3D Baskı / "&amp;$G342,"3D Baskı")</x:f>
        <x:v>3D Baskı</x:v>
      </x:c>
      <x:c r="AF342" s="75" t="str">
        <x:f>IF($D342&lt;&gt;"",$D342&amp;" - "&amp;$G342,$AD342&amp;" - "&amp;$G342)</x:f>
        <x:v>MW-80 - </x:v>
      </x:c>
      <x:c r="AG342" s="75" t="str"/>
    </x:row>
    <x:row r="343">
      <x:c r="A343" s="75" t="str">
        <x:f>IF($B343&lt;&gt;"",ROW()-4,"")</x:f>
      </x:c>
      <x:c r="B343" s="75" t="str"/>
      <x:c r="C343" s="75" t="n">
        <x:f>IFERROR(LET(x,MID($B343,FIND("/models/",$B343)+8,80),y,LEFT(x,FIND("-",x&amp;"-")-1),LEFT(y,FIND("?",y&amp;"?")-1)),"")</x:f>
        <x:v>80</x:v>
      </x:c>
      <x:c r="D343" s="75" t="str">
        <x:f>IF($B343="","",IFERROR(XLOOKUP($C343,MakerWorld_Verileri!$A:$A,MakerWorld_Verileri!$B:$B,""),""))</x:f>
      </x:c>
      <x:c r="E343" s="75" t="str">
        <x:f>IF($B343="","",IFERROR(XLOOKUP($C343,MakerWorld_Verileri!$A:$A,MakerWorld_Verileri!$C:$C,""),""))</x:f>
      </x:c>
      <x:c r="F343" s="75" t="str"/>
      <x:c r="G343" s="75" t="str">
        <x:f>IF($B343&lt;&gt;"",Ayarlar!$B$7,"")</x:f>
      </x:c>
      <x:c r="H343" s="82" t="str">
        <x:f>IF($B343&lt;&gt;"",1,"")</x:f>
      </x:c>
      <x:c r="I343" s="82" t="str">
        <x:f>IF($B343="","",IFERROR(XLOOKUP($C343,MakerWorld_Verileri!$A:$A,MakerWorld_Verileri!$D:$D,""),""))</x:f>
      </x:c>
      <x:c r="J343" s="82" t="str"/>
      <x:c r="K343" s="82" t="str">
        <x:f>IF($I343&lt;&gt;"",$I343,$J343)</x:f>
      </x:c>
      <x:c r="L343" s="82" t="str">
        <x:f>IF($B343="","",IFERROR(XLOOKUP($C343,MakerWorld_Verileri!$A:$A,MakerWorld_Verileri!$E:$E,""),""))</x:f>
      </x:c>
      <x:c r="M343" s="82" t="str"/>
      <x:c r="N343" s="82" t="str">
        <x:f>IF($L343&lt;&gt;"",$L343,$M343)</x:f>
      </x:c>
      <x:c r="O343" s="82" t="str">
        <x:f>IF($B343&lt;&gt;"",0,"")</x:f>
      </x:c>
      <x:c r="P343" s="75" t="str">
        <x:f>IF($B343&lt;&gt;"","Orta","")</x:f>
      </x:c>
      <x:c r="Q343" s="82" t="str">
        <x:f>IF($B343&lt;&gt;"",10,"")</x:f>
      </x:c>
      <x:c r="R343" s="83" t="str">
        <x:f>IF($B343&lt;&gt;"",Ayarlar!$B$10,"")</x:f>
      </x:c>
      <x:c r="S343" s="83" t="str">
        <x:f>IF($B343&lt;&gt;"",0,"")</x:f>
      </x:c>
      <x:c r="T343" s="83" t="n">
        <x:f>IFERROR(($K343+$O343)*XLOOKUP($G343,Ayarlar!$A$19:$A$28,Ayarlar!$C$19:$C$28,0)*(1+Ayarlar!$B$11),0)</x:f>
        <x:v>0</x:v>
      </x:c>
      <x:c r="U343" s="83" t="n">
        <x:f>IFERROR($N343/60*Ayarlar!$B$8,0)</x:f>
        <x:v>0</x:v>
      </x:c>
      <x:c r="V343" s="83" t="n">
        <x:f>IF($B343&lt;&gt;"",Ayarlar!$B$12+($Q343/60*Ayarlar!$B$9),0)</x:f>
        <x:v>0</x:v>
      </x:c>
      <x:c r="W343" s="83" t="n">
        <x:f>IF($B343&lt;&gt;"",SUM($T343:$V343,$R343:$S343),0)</x:f>
        <x:v>0</x:v>
      </x:c>
      <x:c r="X343" s="83" t="n">
        <x:f>IF($B343&lt;&gt;"",$W343*Ayarlar!$B$15,0)</x:f>
        <x:v>0</x:v>
      </x:c>
      <x:c r="Y343" s="83" t="n">
        <x:f>IF($B343&lt;&gt;"",($W343+$X343)*Ayarlar!$B$13,0)</x:f>
        <x:v>0</x:v>
      </x:c>
      <x:c r="Z343" s="83" t="n">
        <x:f>IF($B343&lt;&gt;"",($W343+$X343+$Y343)*Ayarlar!$B$14,0)</x:f>
        <x:v>0</x:v>
      </x:c>
      <x:c r="AA343" s="83" t="str">
        <x:f>IF($B343="","",IF(OR($K343="",$N343=""),"",CEILING($W343+$X343+$Y343+$Z343,Ayarlar!$B$16)))</x:f>
      </x:c>
      <x:c r="AB343" s="83" t="str">
        <x:f>IFERROR($AA343/$H343,"")</x:f>
      </x:c>
      <x:c r="AC343" s="75" t="str">
        <x:f>IF($B343="","",IF(OR($K343="",$N343=""),"Veri Eksik","Fiyat Hazır"))</x:f>
      </x:c>
      <x:c r="AD343" s="75" t="str">
        <x:f>IF($C343&lt;&gt;"","MW-"&amp;$C343,"")</x:f>
        <x:v>MW-80</x:v>
      </x:c>
      <x:c r="AE343" s="75" t="str">
        <x:f>IF($G343&lt;&gt;"","3D Baskı / "&amp;$G343,"3D Baskı")</x:f>
        <x:v>3D Baskı</x:v>
      </x:c>
      <x:c r="AF343" s="75" t="str">
        <x:f>IF($D343&lt;&gt;"",$D343&amp;" - "&amp;$G343,$AD343&amp;" - "&amp;$G343)</x:f>
        <x:v>MW-80 - </x:v>
      </x:c>
      <x:c r="AG343" s="75" t="str"/>
    </x:row>
    <x:row r="344">
      <x:c r="A344" s="75" t="str">
        <x:f>IF($B344&lt;&gt;"",ROW()-4,"")</x:f>
      </x:c>
      <x:c r="B344" s="75" t="str"/>
      <x:c r="C344" s="75" t="n">
        <x:f>IFERROR(LET(x,MID($B344,FIND("/models/",$B344)+8,80),y,LEFT(x,FIND("-",x&amp;"-")-1),LEFT(y,FIND("?",y&amp;"?")-1)),"")</x:f>
        <x:v>80</x:v>
      </x:c>
      <x:c r="D344" s="75" t="str">
        <x:f>IF($B344="","",IFERROR(XLOOKUP($C344,MakerWorld_Verileri!$A:$A,MakerWorld_Verileri!$B:$B,""),""))</x:f>
      </x:c>
      <x:c r="E344" s="75" t="str">
        <x:f>IF($B344="","",IFERROR(XLOOKUP($C344,MakerWorld_Verileri!$A:$A,MakerWorld_Verileri!$C:$C,""),""))</x:f>
      </x:c>
      <x:c r="F344" s="75" t="str"/>
      <x:c r="G344" s="75" t="str">
        <x:f>IF($B344&lt;&gt;"",Ayarlar!$B$7,"")</x:f>
      </x:c>
      <x:c r="H344" s="82" t="str">
        <x:f>IF($B344&lt;&gt;"",1,"")</x:f>
      </x:c>
      <x:c r="I344" s="82" t="str">
        <x:f>IF($B344="","",IFERROR(XLOOKUP($C344,MakerWorld_Verileri!$A:$A,MakerWorld_Verileri!$D:$D,""),""))</x:f>
      </x:c>
      <x:c r="J344" s="82" t="str"/>
      <x:c r="K344" s="82" t="str">
        <x:f>IF($I344&lt;&gt;"",$I344,$J344)</x:f>
      </x:c>
      <x:c r="L344" s="82" t="str">
        <x:f>IF($B344="","",IFERROR(XLOOKUP($C344,MakerWorld_Verileri!$A:$A,MakerWorld_Verileri!$E:$E,""),""))</x:f>
      </x:c>
      <x:c r="M344" s="82" t="str"/>
      <x:c r="N344" s="82" t="str">
        <x:f>IF($L344&lt;&gt;"",$L344,$M344)</x:f>
      </x:c>
      <x:c r="O344" s="82" t="str">
        <x:f>IF($B344&lt;&gt;"",0,"")</x:f>
      </x:c>
      <x:c r="P344" s="75" t="str">
        <x:f>IF($B344&lt;&gt;"","Orta","")</x:f>
      </x:c>
      <x:c r="Q344" s="82" t="str">
        <x:f>IF($B344&lt;&gt;"",10,"")</x:f>
      </x:c>
      <x:c r="R344" s="83" t="str">
        <x:f>IF($B344&lt;&gt;"",Ayarlar!$B$10,"")</x:f>
      </x:c>
      <x:c r="S344" s="83" t="str">
        <x:f>IF($B344&lt;&gt;"",0,"")</x:f>
      </x:c>
      <x:c r="T344" s="83" t="n">
        <x:f>IFERROR(($K344+$O344)*XLOOKUP($G344,Ayarlar!$A$19:$A$28,Ayarlar!$C$19:$C$28,0)*(1+Ayarlar!$B$11),0)</x:f>
        <x:v>0</x:v>
      </x:c>
      <x:c r="U344" s="83" t="n">
        <x:f>IFERROR($N344/60*Ayarlar!$B$8,0)</x:f>
        <x:v>0</x:v>
      </x:c>
      <x:c r="V344" s="83" t="n">
        <x:f>IF($B344&lt;&gt;"",Ayarlar!$B$12+($Q344/60*Ayarlar!$B$9),0)</x:f>
        <x:v>0</x:v>
      </x:c>
      <x:c r="W344" s="83" t="n">
        <x:f>IF($B344&lt;&gt;"",SUM($T344:$V344,$R344:$S344),0)</x:f>
        <x:v>0</x:v>
      </x:c>
      <x:c r="X344" s="83" t="n">
        <x:f>IF($B344&lt;&gt;"",$W344*Ayarlar!$B$15,0)</x:f>
        <x:v>0</x:v>
      </x:c>
      <x:c r="Y344" s="83" t="n">
        <x:f>IF($B344&lt;&gt;"",($W344+$X344)*Ayarlar!$B$13,0)</x:f>
        <x:v>0</x:v>
      </x:c>
      <x:c r="Z344" s="83" t="n">
        <x:f>IF($B344&lt;&gt;"",($W344+$X344+$Y344)*Ayarlar!$B$14,0)</x:f>
        <x:v>0</x:v>
      </x:c>
      <x:c r="AA344" s="83" t="str">
        <x:f>IF($B344="","",IF(OR($K344="",$N344=""),"",CEILING($W344+$X344+$Y344+$Z344,Ayarlar!$B$16)))</x:f>
      </x:c>
      <x:c r="AB344" s="83" t="str">
        <x:f>IFERROR($AA344/$H344,"")</x:f>
      </x:c>
      <x:c r="AC344" s="75" t="str">
        <x:f>IF($B344="","",IF(OR($K344="",$N344=""),"Veri Eksik","Fiyat Hazır"))</x:f>
      </x:c>
      <x:c r="AD344" s="75" t="str">
        <x:f>IF($C344&lt;&gt;"","MW-"&amp;$C344,"")</x:f>
        <x:v>MW-80</x:v>
      </x:c>
      <x:c r="AE344" s="75" t="str">
        <x:f>IF($G344&lt;&gt;"","3D Baskı / "&amp;$G344,"3D Baskı")</x:f>
        <x:v>3D Baskı</x:v>
      </x:c>
      <x:c r="AF344" s="75" t="str">
        <x:f>IF($D344&lt;&gt;"",$D344&amp;" - "&amp;$G344,$AD344&amp;" - "&amp;$G344)</x:f>
        <x:v>MW-80 - </x:v>
      </x:c>
      <x:c r="AG344" s="75" t="str"/>
    </x:row>
    <x:row r="345">
      <x:c r="A345" s="75" t="str">
        <x:f>IF($B345&lt;&gt;"",ROW()-4,"")</x:f>
      </x:c>
      <x:c r="B345" s="75" t="str"/>
      <x:c r="C345" s="75" t="n">
        <x:f>IFERROR(LET(x,MID($B345,FIND("/models/",$B345)+8,80),y,LEFT(x,FIND("-",x&amp;"-")-1),LEFT(y,FIND("?",y&amp;"?")-1)),"")</x:f>
        <x:v>80</x:v>
      </x:c>
      <x:c r="D345" s="75" t="str">
        <x:f>IF($B345="","",IFERROR(XLOOKUP($C345,MakerWorld_Verileri!$A:$A,MakerWorld_Verileri!$B:$B,""),""))</x:f>
      </x:c>
      <x:c r="E345" s="75" t="str">
        <x:f>IF($B345="","",IFERROR(XLOOKUP($C345,MakerWorld_Verileri!$A:$A,MakerWorld_Verileri!$C:$C,""),""))</x:f>
      </x:c>
      <x:c r="F345" s="75" t="str"/>
      <x:c r="G345" s="75" t="str">
        <x:f>IF($B345&lt;&gt;"",Ayarlar!$B$7,"")</x:f>
      </x:c>
      <x:c r="H345" s="82" t="str">
        <x:f>IF($B345&lt;&gt;"",1,"")</x:f>
      </x:c>
      <x:c r="I345" s="82" t="str">
        <x:f>IF($B345="","",IFERROR(XLOOKUP($C345,MakerWorld_Verileri!$A:$A,MakerWorld_Verileri!$D:$D,""),""))</x:f>
      </x:c>
      <x:c r="J345" s="82" t="str"/>
      <x:c r="K345" s="82" t="str">
        <x:f>IF($I345&lt;&gt;"",$I345,$J345)</x:f>
      </x:c>
      <x:c r="L345" s="82" t="str">
        <x:f>IF($B345="","",IFERROR(XLOOKUP($C345,MakerWorld_Verileri!$A:$A,MakerWorld_Verileri!$E:$E,""),""))</x:f>
      </x:c>
      <x:c r="M345" s="82" t="str"/>
      <x:c r="N345" s="82" t="str">
        <x:f>IF($L345&lt;&gt;"",$L345,$M345)</x:f>
      </x:c>
      <x:c r="O345" s="82" t="str">
        <x:f>IF($B345&lt;&gt;"",0,"")</x:f>
      </x:c>
      <x:c r="P345" s="75" t="str">
        <x:f>IF($B345&lt;&gt;"","Orta","")</x:f>
      </x:c>
      <x:c r="Q345" s="82" t="str">
        <x:f>IF($B345&lt;&gt;"",10,"")</x:f>
      </x:c>
      <x:c r="R345" s="83" t="str">
        <x:f>IF($B345&lt;&gt;"",Ayarlar!$B$10,"")</x:f>
      </x:c>
      <x:c r="S345" s="83" t="str">
        <x:f>IF($B345&lt;&gt;"",0,"")</x:f>
      </x:c>
      <x:c r="T345" s="83" t="n">
        <x:f>IFERROR(($K345+$O345)*XLOOKUP($G345,Ayarlar!$A$19:$A$28,Ayarlar!$C$19:$C$28,0)*(1+Ayarlar!$B$11),0)</x:f>
        <x:v>0</x:v>
      </x:c>
      <x:c r="U345" s="83" t="n">
        <x:f>IFERROR($N345/60*Ayarlar!$B$8,0)</x:f>
        <x:v>0</x:v>
      </x:c>
      <x:c r="V345" s="83" t="n">
        <x:f>IF($B345&lt;&gt;"",Ayarlar!$B$12+($Q345/60*Ayarlar!$B$9),0)</x:f>
        <x:v>0</x:v>
      </x:c>
      <x:c r="W345" s="83" t="n">
        <x:f>IF($B345&lt;&gt;"",SUM($T345:$V345,$R345:$S345),0)</x:f>
        <x:v>0</x:v>
      </x:c>
      <x:c r="X345" s="83" t="n">
        <x:f>IF($B345&lt;&gt;"",$W345*Ayarlar!$B$15,0)</x:f>
        <x:v>0</x:v>
      </x:c>
      <x:c r="Y345" s="83" t="n">
        <x:f>IF($B345&lt;&gt;"",($W345+$X345)*Ayarlar!$B$13,0)</x:f>
        <x:v>0</x:v>
      </x:c>
      <x:c r="Z345" s="83" t="n">
        <x:f>IF($B345&lt;&gt;"",($W345+$X345+$Y345)*Ayarlar!$B$14,0)</x:f>
        <x:v>0</x:v>
      </x:c>
      <x:c r="AA345" s="83" t="str">
        <x:f>IF($B345="","",IF(OR($K345="",$N345=""),"",CEILING($W345+$X345+$Y345+$Z345,Ayarlar!$B$16)))</x:f>
      </x:c>
      <x:c r="AB345" s="83" t="str">
        <x:f>IFERROR($AA345/$H345,"")</x:f>
      </x:c>
      <x:c r="AC345" s="75" t="str">
        <x:f>IF($B345="","",IF(OR($K345="",$N345=""),"Veri Eksik","Fiyat Hazır"))</x:f>
      </x:c>
      <x:c r="AD345" s="75" t="str">
        <x:f>IF($C345&lt;&gt;"","MW-"&amp;$C345,"")</x:f>
        <x:v>MW-80</x:v>
      </x:c>
      <x:c r="AE345" s="75" t="str">
        <x:f>IF($G345&lt;&gt;"","3D Baskı / "&amp;$G345,"3D Baskı")</x:f>
        <x:v>3D Baskı</x:v>
      </x:c>
      <x:c r="AF345" s="75" t="str">
        <x:f>IF($D345&lt;&gt;"",$D345&amp;" - "&amp;$G345,$AD345&amp;" - "&amp;$G345)</x:f>
        <x:v>MW-80 - </x:v>
      </x:c>
      <x:c r="AG345" s="75" t="str"/>
    </x:row>
    <x:row r="346">
      <x:c r="A346" s="75" t="str">
        <x:f>IF($B346&lt;&gt;"",ROW()-4,"")</x:f>
      </x:c>
      <x:c r="B346" s="75" t="str"/>
      <x:c r="C346" s="75" t="n">
        <x:f>IFERROR(LET(x,MID($B346,FIND("/models/",$B346)+8,80),y,LEFT(x,FIND("-",x&amp;"-")-1),LEFT(y,FIND("?",y&amp;"?")-1)),"")</x:f>
        <x:v>80</x:v>
      </x:c>
      <x:c r="D346" s="75" t="str">
        <x:f>IF($B346="","",IFERROR(XLOOKUP($C346,MakerWorld_Verileri!$A:$A,MakerWorld_Verileri!$B:$B,""),""))</x:f>
      </x:c>
      <x:c r="E346" s="75" t="str">
        <x:f>IF($B346="","",IFERROR(XLOOKUP($C346,MakerWorld_Verileri!$A:$A,MakerWorld_Verileri!$C:$C,""),""))</x:f>
      </x:c>
      <x:c r="F346" s="75" t="str"/>
      <x:c r="G346" s="75" t="str">
        <x:f>IF($B346&lt;&gt;"",Ayarlar!$B$7,"")</x:f>
      </x:c>
      <x:c r="H346" s="82" t="str">
        <x:f>IF($B346&lt;&gt;"",1,"")</x:f>
      </x:c>
      <x:c r="I346" s="82" t="str">
        <x:f>IF($B346="","",IFERROR(XLOOKUP($C346,MakerWorld_Verileri!$A:$A,MakerWorld_Verileri!$D:$D,""),""))</x:f>
      </x:c>
      <x:c r="J346" s="82" t="str"/>
      <x:c r="K346" s="82" t="str">
        <x:f>IF($I346&lt;&gt;"",$I346,$J346)</x:f>
      </x:c>
      <x:c r="L346" s="82" t="str">
        <x:f>IF($B346="","",IFERROR(XLOOKUP($C346,MakerWorld_Verileri!$A:$A,MakerWorld_Verileri!$E:$E,""),""))</x:f>
      </x:c>
      <x:c r="M346" s="82" t="str"/>
      <x:c r="N346" s="82" t="str">
        <x:f>IF($L346&lt;&gt;"",$L346,$M346)</x:f>
      </x:c>
      <x:c r="O346" s="82" t="str">
        <x:f>IF($B346&lt;&gt;"",0,"")</x:f>
      </x:c>
      <x:c r="P346" s="75" t="str">
        <x:f>IF($B346&lt;&gt;"","Orta","")</x:f>
      </x:c>
      <x:c r="Q346" s="82" t="str">
        <x:f>IF($B346&lt;&gt;"",10,"")</x:f>
      </x:c>
      <x:c r="R346" s="83" t="str">
        <x:f>IF($B346&lt;&gt;"",Ayarlar!$B$10,"")</x:f>
      </x:c>
      <x:c r="S346" s="83" t="str">
        <x:f>IF($B346&lt;&gt;"",0,"")</x:f>
      </x:c>
      <x:c r="T346" s="83" t="n">
        <x:f>IFERROR(($K346+$O346)*XLOOKUP($G346,Ayarlar!$A$19:$A$28,Ayarlar!$C$19:$C$28,0)*(1+Ayarlar!$B$11),0)</x:f>
        <x:v>0</x:v>
      </x:c>
      <x:c r="U346" s="83" t="n">
        <x:f>IFERROR($N346/60*Ayarlar!$B$8,0)</x:f>
        <x:v>0</x:v>
      </x:c>
      <x:c r="V346" s="83" t="n">
        <x:f>IF($B346&lt;&gt;"",Ayarlar!$B$12+($Q346/60*Ayarlar!$B$9),0)</x:f>
        <x:v>0</x:v>
      </x:c>
      <x:c r="W346" s="83" t="n">
        <x:f>IF($B346&lt;&gt;"",SUM($T346:$V346,$R346:$S346),0)</x:f>
        <x:v>0</x:v>
      </x:c>
      <x:c r="X346" s="83" t="n">
        <x:f>IF($B346&lt;&gt;"",$W346*Ayarlar!$B$15,0)</x:f>
        <x:v>0</x:v>
      </x:c>
      <x:c r="Y346" s="83" t="n">
        <x:f>IF($B346&lt;&gt;"",($W346+$X346)*Ayarlar!$B$13,0)</x:f>
        <x:v>0</x:v>
      </x:c>
      <x:c r="Z346" s="83" t="n">
        <x:f>IF($B346&lt;&gt;"",($W346+$X346+$Y346)*Ayarlar!$B$14,0)</x:f>
        <x:v>0</x:v>
      </x:c>
      <x:c r="AA346" s="83" t="str">
        <x:f>IF($B346="","",IF(OR($K346="",$N346=""),"",CEILING($W346+$X346+$Y346+$Z346,Ayarlar!$B$16)))</x:f>
      </x:c>
      <x:c r="AB346" s="83" t="str">
        <x:f>IFERROR($AA346/$H346,"")</x:f>
      </x:c>
      <x:c r="AC346" s="75" t="str">
        <x:f>IF($B346="","",IF(OR($K346="",$N346=""),"Veri Eksik","Fiyat Hazır"))</x:f>
      </x:c>
      <x:c r="AD346" s="75" t="str">
        <x:f>IF($C346&lt;&gt;"","MW-"&amp;$C346,"")</x:f>
        <x:v>MW-80</x:v>
      </x:c>
      <x:c r="AE346" s="75" t="str">
        <x:f>IF($G346&lt;&gt;"","3D Baskı / "&amp;$G346,"3D Baskı")</x:f>
        <x:v>3D Baskı</x:v>
      </x:c>
      <x:c r="AF346" s="75" t="str">
        <x:f>IF($D346&lt;&gt;"",$D346&amp;" - "&amp;$G346,$AD346&amp;" - "&amp;$G346)</x:f>
        <x:v>MW-80 - </x:v>
      </x:c>
      <x:c r="AG346" s="75" t="str"/>
    </x:row>
    <x:row r="347">
      <x:c r="A347" s="75" t="str">
        <x:f>IF($B347&lt;&gt;"",ROW()-4,"")</x:f>
      </x:c>
      <x:c r="B347" s="75" t="str"/>
      <x:c r="C347" s="75" t="n">
        <x:f>IFERROR(LET(x,MID($B347,FIND("/models/",$B347)+8,80),y,LEFT(x,FIND("-",x&amp;"-")-1),LEFT(y,FIND("?",y&amp;"?")-1)),"")</x:f>
        <x:v>80</x:v>
      </x:c>
      <x:c r="D347" s="75" t="str">
        <x:f>IF($B347="","",IFERROR(XLOOKUP($C347,MakerWorld_Verileri!$A:$A,MakerWorld_Verileri!$B:$B,""),""))</x:f>
      </x:c>
      <x:c r="E347" s="75" t="str">
        <x:f>IF($B347="","",IFERROR(XLOOKUP($C347,MakerWorld_Verileri!$A:$A,MakerWorld_Verileri!$C:$C,""),""))</x:f>
      </x:c>
      <x:c r="F347" s="75" t="str"/>
      <x:c r="G347" s="75" t="str">
        <x:f>IF($B347&lt;&gt;"",Ayarlar!$B$7,"")</x:f>
      </x:c>
      <x:c r="H347" s="82" t="str">
        <x:f>IF($B347&lt;&gt;"",1,"")</x:f>
      </x:c>
      <x:c r="I347" s="82" t="str">
        <x:f>IF($B347="","",IFERROR(XLOOKUP($C347,MakerWorld_Verileri!$A:$A,MakerWorld_Verileri!$D:$D,""),""))</x:f>
      </x:c>
      <x:c r="J347" s="82" t="str"/>
      <x:c r="K347" s="82" t="str">
        <x:f>IF($I347&lt;&gt;"",$I347,$J347)</x:f>
      </x:c>
      <x:c r="L347" s="82" t="str">
        <x:f>IF($B347="","",IFERROR(XLOOKUP($C347,MakerWorld_Verileri!$A:$A,MakerWorld_Verileri!$E:$E,""),""))</x:f>
      </x:c>
      <x:c r="M347" s="82" t="str"/>
      <x:c r="N347" s="82" t="str">
        <x:f>IF($L347&lt;&gt;"",$L347,$M347)</x:f>
      </x:c>
      <x:c r="O347" s="82" t="str">
        <x:f>IF($B347&lt;&gt;"",0,"")</x:f>
      </x:c>
      <x:c r="P347" s="75" t="str">
        <x:f>IF($B347&lt;&gt;"","Orta","")</x:f>
      </x:c>
      <x:c r="Q347" s="82" t="str">
        <x:f>IF($B347&lt;&gt;"",10,"")</x:f>
      </x:c>
      <x:c r="R347" s="83" t="str">
        <x:f>IF($B347&lt;&gt;"",Ayarlar!$B$10,"")</x:f>
      </x:c>
      <x:c r="S347" s="83" t="str">
        <x:f>IF($B347&lt;&gt;"",0,"")</x:f>
      </x:c>
      <x:c r="T347" s="83" t="n">
        <x:f>IFERROR(($K347+$O347)*XLOOKUP($G347,Ayarlar!$A$19:$A$28,Ayarlar!$C$19:$C$28,0)*(1+Ayarlar!$B$11),0)</x:f>
        <x:v>0</x:v>
      </x:c>
      <x:c r="U347" s="83" t="n">
        <x:f>IFERROR($N347/60*Ayarlar!$B$8,0)</x:f>
        <x:v>0</x:v>
      </x:c>
      <x:c r="V347" s="83" t="n">
        <x:f>IF($B347&lt;&gt;"",Ayarlar!$B$12+($Q347/60*Ayarlar!$B$9),0)</x:f>
        <x:v>0</x:v>
      </x:c>
      <x:c r="W347" s="83" t="n">
        <x:f>IF($B347&lt;&gt;"",SUM($T347:$V347,$R347:$S347),0)</x:f>
        <x:v>0</x:v>
      </x:c>
      <x:c r="X347" s="83" t="n">
        <x:f>IF($B347&lt;&gt;"",$W347*Ayarlar!$B$15,0)</x:f>
        <x:v>0</x:v>
      </x:c>
      <x:c r="Y347" s="83" t="n">
        <x:f>IF($B347&lt;&gt;"",($W347+$X347)*Ayarlar!$B$13,0)</x:f>
        <x:v>0</x:v>
      </x:c>
      <x:c r="Z347" s="83" t="n">
        <x:f>IF($B347&lt;&gt;"",($W347+$X347+$Y347)*Ayarlar!$B$14,0)</x:f>
        <x:v>0</x:v>
      </x:c>
      <x:c r="AA347" s="83" t="str">
        <x:f>IF($B347="","",IF(OR($K347="",$N347=""),"",CEILING($W347+$X347+$Y347+$Z347,Ayarlar!$B$16)))</x:f>
      </x:c>
      <x:c r="AB347" s="83" t="str">
        <x:f>IFERROR($AA347/$H347,"")</x:f>
      </x:c>
      <x:c r="AC347" s="75" t="str">
        <x:f>IF($B347="","",IF(OR($K347="",$N347=""),"Veri Eksik","Fiyat Hazır"))</x:f>
      </x:c>
      <x:c r="AD347" s="75" t="str">
        <x:f>IF($C347&lt;&gt;"","MW-"&amp;$C347,"")</x:f>
        <x:v>MW-80</x:v>
      </x:c>
      <x:c r="AE347" s="75" t="str">
        <x:f>IF($G347&lt;&gt;"","3D Baskı / "&amp;$G347,"3D Baskı")</x:f>
        <x:v>3D Baskı</x:v>
      </x:c>
      <x:c r="AF347" s="75" t="str">
        <x:f>IF($D347&lt;&gt;"",$D347&amp;" - "&amp;$G347,$AD347&amp;" - "&amp;$G347)</x:f>
        <x:v>MW-80 - </x:v>
      </x:c>
      <x:c r="AG347" s="75" t="str"/>
    </x:row>
    <x:row r="348">
      <x:c r="A348" s="75" t="str">
        <x:f>IF($B348&lt;&gt;"",ROW()-4,"")</x:f>
      </x:c>
      <x:c r="B348" s="75" t="str"/>
      <x:c r="C348" s="75" t="n">
        <x:f>IFERROR(LET(x,MID($B348,FIND("/models/",$B348)+8,80),y,LEFT(x,FIND("-",x&amp;"-")-1),LEFT(y,FIND("?",y&amp;"?")-1)),"")</x:f>
        <x:v>80</x:v>
      </x:c>
      <x:c r="D348" s="75" t="str">
        <x:f>IF($B348="","",IFERROR(XLOOKUP($C348,MakerWorld_Verileri!$A:$A,MakerWorld_Verileri!$B:$B,""),""))</x:f>
      </x:c>
      <x:c r="E348" s="75" t="str">
        <x:f>IF($B348="","",IFERROR(XLOOKUP($C348,MakerWorld_Verileri!$A:$A,MakerWorld_Verileri!$C:$C,""),""))</x:f>
      </x:c>
      <x:c r="F348" s="75" t="str"/>
      <x:c r="G348" s="75" t="str">
        <x:f>IF($B348&lt;&gt;"",Ayarlar!$B$7,"")</x:f>
      </x:c>
      <x:c r="H348" s="82" t="str">
        <x:f>IF($B348&lt;&gt;"",1,"")</x:f>
      </x:c>
      <x:c r="I348" s="82" t="str">
        <x:f>IF($B348="","",IFERROR(XLOOKUP($C348,MakerWorld_Verileri!$A:$A,MakerWorld_Verileri!$D:$D,""),""))</x:f>
      </x:c>
      <x:c r="J348" s="82" t="str"/>
      <x:c r="K348" s="82" t="str">
        <x:f>IF($I348&lt;&gt;"",$I348,$J348)</x:f>
      </x:c>
      <x:c r="L348" s="82" t="str">
        <x:f>IF($B348="","",IFERROR(XLOOKUP($C348,MakerWorld_Verileri!$A:$A,MakerWorld_Verileri!$E:$E,""),""))</x:f>
      </x:c>
      <x:c r="M348" s="82" t="str"/>
      <x:c r="N348" s="82" t="str">
        <x:f>IF($L348&lt;&gt;"",$L348,$M348)</x:f>
      </x:c>
      <x:c r="O348" s="82" t="str">
        <x:f>IF($B348&lt;&gt;"",0,"")</x:f>
      </x:c>
      <x:c r="P348" s="75" t="str">
        <x:f>IF($B348&lt;&gt;"","Orta","")</x:f>
      </x:c>
      <x:c r="Q348" s="82" t="str">
        <x:f>IF($B348&lt;&gt;"",10,"")</x:f>
      </x:c>
      <x:c r="R348" s="83" t="str">
        <x:f>IF($B348&lt;&gt;"",Ayarlar!$B$10,"")</x:f>
      </x:c>
      <x:c r="S348" s="83" t="str">
        <x:f>IF($B348&lt;&gt;"",0,"")</x:f>
      </x:c>
      <x:c r="T348" s="83" t="n">
        <x:f>IFERROR(($K348+$O348)*XLOOKUP($G348,Ayarlar!$A$19:$A$28,Ayarlar!$C$19:$C$28,0)*(1+Ayarlar!$B$11),0)</x:f>
        <x:v>0</x:v>
      </x:c>
      <x:c r="U348" s="83" t="n">
        <x:f>IFERROR($N348/60*Ayarlar!$B$8,0)</x:f>
        <x:v>0</x:v>
      </x:c>
      <x:c r="V348" s="83" t="n">
        <x:f>IF($B348&lt;&gt;"",Ayarlar!$B$12+($Q348/60*Ayarlar!$B$9),0)</x:f>
        <x:v>0</x:v>
      </x:c>
      <x:c r="W348" s="83" t="n">
        <x:f>IF($B348&lt;&gt;"",SUM($T348:$V348,$R348:$S348),0)</x:f>
        <x:v>0</x:v>
      </x:c>
      <x:c r="X348" s="83" t="n">
        <x:f>IF($B348&lt;&gt;"",$W348*Ayarlar!$B$15,0)</x:f>
        <x:v>0</x:v>
      </x:c>
      <x:c r="Y348" s="83" t="n">
        <x:f>IF($B348&lt;&gt;"",($W348+$X348)*Ayarlar!$B$13,0)</x:f>
        <x:v>0</x:v>
      </x:c>
      <x:c r="Z348" s="83" t="n">
        <x:f>IF($B348&lt;&gt;"",($W348+$X348+$Y348)*Ayarlar!$B$14,0)</x:f>
        <x:v>0</x:v>
      </x:c>
      <x:c r="AA348" s="83" t="str">
        <x:f>IF($B348="","",IF(OR($K348="",$N348=""),"",CEILING($W348+$X348+$Y348+$Z348,Ayarlar!$B$16)))</x:f>
      </x:c>
      <x:c r="AB348" s="83" t="str">
        <x:f>IFERROR($AA348/$H348,"")</x:f>
      </x:c>
      <x:c r="AC348" s="75" t="str">
        <x:f>IF($B348="","",IF(OR($K348="",$N348=""),"Veri Eksik","Fiyat Hazır"))</x:f>
      </x:c>
      <x:c r="AD348" s="75" t="str">
        <x:f>IF($C348&lt;&gt;"","MW-"&amp;$C348,"")</x:f>
        <x:v>MW-80</x:v>
      </x:c>
      <x:c r="AE348" s="75" t="str">
        <x:f>IF($G348&lt;&gt;"","3D Baskı / "&amp;$G348,"3D Baskı")</x:f>
        <x:v>3D Baskı</x:v>
      </x:c>
      <x:c r="AF348" s="75" t="str">
        <x:f>IF($D348&lt;&gt;"",$D348&amp;" - "&amp;$G348,$AD348&amp;" - "&amp;$G348)</x:f>
        <x:v>MW-80 - </x:v>
      </x:c>
      <x:c r="AG348" s="75" t="str"/>
    </x:row>
    <x:row r="349">
      <x:c r="A349" s="75" t="str">
        <x:f>IF($B349&lt;&gt;"",ROW()-4,"")</x:f>
      </x:c>
      <x:c r="B349" s="75" t="str"/>
      <x:c r="C349" s="75" t="n">
        <x:f>IFERROR(LET(x,MID($B349,FIND("/models/",$B349)+8,80),y,LEFT(x,FIND("-",x&amp;"-")-1),LEFT(y,FIND("?",y&amp;"?")-1)),"")</x:f>
        <x:v>80</x:v>
      </x:c>
      <x:c r="D349" s="75" t="str">
        <x:f>IF($B349="","",IFERROR(XLOOKUP($C349,MakerWorld_Verileri!$A:$A,MakerWorld_Verileri!$B:$B,""),""))</x:f>
      </x:c>
      <x:c r="E349" s="75" t="str">
        <x:f>IF($B349="","",IFERROR(XLOOKUP($C349,MakerWorld_Verileri!$A:$A,MakerWorld_Verileri!$C:$C,""),""))</x:f>
      </x:c>
      <x:c r="F349" s="75" t="str"/>
      <x:c r="G349" s="75" t="str">
        <x:f>IF($B349&lt;&gt;"",Ayarlar!$B$7,"")</x:f>
      </x:c>
      <x:c r="H349" s="82" t="str">
        <x:f>IF($B349&lt;&gt;"",1,"")</x:f>
      </x:c>
      <x:c r="I349" s="82" t="str">
        <x:f>IF($B349="","",IFERROR(XLOOKUP($C349,MakerWorld_Verileri!$A:$A,MakerWorld_Verileri!$D:$D,""),""))</x:f>
      </x:c>
      <x:c r="J349" s="82" t="str"/>
      <x:c r="K349" s="82" t="str">
        <x:f>IF($I349&lt;&gt;"",$I349,$J349)</x:f>
      </x:c>
      <x:c r="L349" s="82" t="str">
        <x:f>IF($B349="","",IFERROR(XLOOKUP($C349,MakerWorld_Verileri!$A:$A,MakerWorld_Verileri!$E:$E,""),""))</x:f>
      </x:c>
      <x:c r="M349" s="82" t="str"/>
      <x:c r="N349" s="82" t="str">
        <x:f>IF($L349&lt;&gt;"",$L349,$M349)</x:f>
      </x:c>
      <x:c r="O349" s="82" t="str">
        <x:f>IF($B349&lt;&gt;"",0,"")</x:f>
      </x:c>
      <x:c r="P349" s="75" t="str">
        <x:f>IF($B349&lt;&gt;"","Orta","")</x:f>
      </x:c>
      <x:c r="Q349" s="82" t="str">
        <x:f>IF($B349&lt;&gt;"",10,"")</x:f>
      </x:c>
      <x:c r="R349" s="83" t="str">
        <x:f>IF($B349&lt;&gt;"",Ayarlar!$B$10,"")</x:f>
      </x:c>
      <x:c r="S349" s="83" t="str">
        <x:f>IF($B349&lt;&gt;"",0,"")</x:f>
      </x:c>
      <x:c r="T349" s="83" t="n">
        <x:f>IFERROR(($K349+$O349)*XLOOKUP($G349,Ayarlar!$A$19:$A$28,Ayarlar!$C$19:$C$28,0)*(1+Ayarlar!$B$11),0)</x:f>
        <x:v>0</x:v>
      </x:c>
      <x:c r="U349" s="83" t="n">
        <x:f>IFERROR($N349/60*Ayarlar!$B$8,0)</x:f>
        <x:v>0</x:v>
      </x:c>
      <x:c r="V349" s="83" t="n">
        <x:f>IF($B349&lt;&gt;"",Ayarlar!$B$12+($Q349/60*Ayarlar!$B$9),0)</x:f>
        <x:v>0</x:v>
      </x:c>
      <x:c r="W349" s="83" t="n">
        <x:f>IF($B349&lt;&gt;"",SUM($T349:$V349,$R349:$S349),0)</x:f>
        <x:v>0</x:v>
      </x:c>
      <x:c r="X349" s="83" t="n">
        <x:f>IF($B349&lt;&gt;"",$W349*Ayarlar!$B$15,0)</x:f>
        <x:v>0</x:v>
      </x:c>
      <x:c r="Y349" s="83" t="n">
        <x:f>IF($B349&lt;&gt;"",($W349+$X349)*Ayarlar!$B$13,0)</x:f>
        <x:v>0</x:v>
      </x:c>
      <x:c r="Z349" s="83" t="n">
        <x:f>IF($B349&lt;&gt;"",($W349+$X349+$Y349)*Ayarlar!$B$14,0)</x:f>
        <x:v>0</x:v>
      </x:c>
      <x:c r="AA349" s="83" t="str">
        <x:f>IF($B349="","",IF(OR($K349="",$N349=""),"",CEILING($W349+$X349+$Y349+$Z349,Ayarlar!$B$16)))</x:f>
      </x:c>
      <x:c r="AB349" s="83" t="str">
        <x:f>IFERROR($AA349/$H349,"")</x:f>
      </x:c>
      <x:c r="AC349" s="75" t="str">
        <x:f>IF($B349="","",IF(OR($K349="",$N349=""),"Veri Eksik","Fiyat Hazır"))</x:f>
      </x:c>
      <x:c r="AD349" s="75" t="str">
        <x:f>IF($C349&lt;&gt;"","MW-"&amp;$C349,"")</x:f>
        <x:v>MW-80</x:v>
      </x:c>
      <x:c r="AE349" s="75" t="str">
        <x:f>IF($G349&lt;&gt;"","3D Baskı / "&amp;$G349,"3D Baskı")</x:f>
        <x:v>3D Baskı</x:v>
      </x:c>
      <x:c r="AF349" s="75" t="str">
        <x:f>IF($D349&lt;&gt;"",$D349&amp;" - "&amp;$G349,$AD349&amp;" - "&amp;$G349)</x:f>
        <x:v>MW-80 - </x:v>
      </x:c>
      <x:c r="AG349" s="75" t="str"/>
    </x:row>
    <x:row r="350">
      <x:c r="A350" s="75" t="str">
        <x:f>IF($B350&lt;&gt;"",ROW()-4,"")</x:f>
      </x:c>
      <x:c r="B350" s="75" t="str"/>
      <x:c r="C350" s="75" t="n">
        <x:f>IFERROR(LET(x,MID($B350,FIND("/models/",$B350)+8,80),y,LEFT(x,FIND("-",x&amp;"-")-1),LEFT(y,FIND("?",y&amp;"?")-1)),"")</x:f>
        <x:v>80</x:v>
      </x:c>
      <x:c r="D350" s="75" t="str">
        <x:f>IF($B350="","",IFERROR(XLOOKUP($C350,MakerWorld_Verileri!$A:$A,MakerWorld_Verileri!$B:$B,""),""))</x:f>
      </x:c>
      <x:c r="E350" s="75" t="str">
        <x:f>IF($B350="","",IFERROR(XLOOKUP($C350,MakerWorld_Verileri!$A:$A,MakerWorld_Verileri!$C:$C,""),""))</x:f>
      </x:c>
      <x:c r="F350" s="75" t="str"/>
      <x:c r="G350" s="75" t="str">
        <x:f>IF($B350&lt;&gt;"",Ayarlar!$B$7,"")</x:f>
      </x:c>
      <x:c r="H350" s="82" t="str">
        <x:f>IF($B350&lt;&gt;"",1,"")</x:f>
      </x:c>
      <x:c r="I350" s="82" t="str">
        <x:f>IF($B350="","",IFERROR(XLOOKUP($C350,MakerWorld_Verileri!$A:$A,MakerWorld_Verileri!$D:$D,""),""))</x:f>
      </x:c>
      <x:c r="J350" s="82" t="str"/>
      <x:c r="K350" s="82" t="str">
        <x:f>IF($I350&lt;&gt;"",$I350,$J350)</x:f>
      </x:c>
      <x:c r="L350" s="82" t="str">
        <x:f>IF($B350="","",IFERROR(XLOOKUP($C350,MakerWorld_Verileri!$A:$A,MakerWorld_Verileri!$E:$E,""),""))</x:f>
      </x:c>
      <x:c r="M350" s="82" t="str"/>
      <x:c r="N350" s="82" t="str">
        <x:f>IF($L350&lt;&gt;"",$L350,$M350)</x:f>
      </x:c>
      <x:c r="O350" s="82" t="str">
        <x:f>IF($B350&lt;&gt;"",0,"")</x:f>
      </x:c>
      <x:c r="P350" s="75" t="str">
        <x:f>IF($B350&lt;&gt;"","Orta","")</x:f>
      </x:c>
      <x:c r="Q350" s="82" t="str">
        <x:f>IF($B350&lt;&gt;"",10,"")</x:f>
      </x:c>
      <x:c r="R350" s="83" t="str">
        <x:f>IF($B350&lt;&gt;"",Ayarlar!$B$10,"")</x:f>
      </x:c>
      <x:c r="S350" s="83" t="str">
        <x:f>IF($B350&lt;&gt;"",0,"")</x:f>
      </x:c>
      <x:c r="T350" s="83" t="n">
        <x:f>IFERROR(($K350+$O350)*XLOOKUP($G350,Ayarlar!$A$19:$A$28,Ayarlar!$C$19:$C$28,0)*(1+Ayarlar!$B$11),0)</x:f>
        <x:v>0</x:v>
      </x:c>
      <x:c r="U350" s="83" t="n">
        <x:f>IFERROR($N350/60*Ayarlar!$B$8,0)</x:f>
        <x:v>0</x:v>
      </x:c>
      <x:c r="V350" s="83" t="n">
        <x:f>IF($B350&lt;&gt;"",Ayarlar!$B$12+($Q350/60*Ayarlar!$B$9),0)</x:f>
        <x:v>0</x:v>
      </x:c>
      <x:c r="W350" s="83" t="n">
        <x:f>IF($B350&lt;&gt;"",SUM($T350:$V350,$R350:$S350),0)</x:f>
        <x:v>0</x:v>
      </x:c>
      <x:c r="X350" s="83" t="n">
        <x:f>IF($B350&lt;&gt;"",$W350*Ayarlar!$B$15,0)</x:f>
        <x:v>0</x:v>
      </x:c>
      <x:c r="Y350" s="83" t="n">
        <x:f>IF($B350&lt;&gt;"",($W350+$X350)*Ayarlar!$B$13,0)</x:f>
        <x:v>0</x:v>
      </x:c>
      <x:c r="Z350" s="83" t="n">
        <x:f>IF($B350&lt;&gt;"",($W350+$X350+$Y350)*Ayarlar!$B$14,0)</x:f>
        <x:v>0</x:v>
      </x:c>
      <x:c r="AA350" s="83" t="str">
        <x:f>IF($B350="","",IF(OR($K350="",$N350=""),"",CEILING($W350+$X350+$Y350+$Z350,Ayarlar!$B$16)))</x:f>
      </x:c>
      <x:c r="AB350" s="83" t="str">
        <x:f>IFERROR($AA350/$H350,"")</x:f>
      </x:c>
      <x:c r="AC350" s="75" t="str">
        <x:f>IF($B350="","",IF(OR($K350="",$N350=""),"Veri Eksik","Fiyat Hazır"))</x:f>
      </x:c>
      <x:c r="AD350" s="75" t="str">
        <x:f>IF($C350&lt;&gt;"","MW-"&amp;$C350,"")</x:f>
        <x:v>MW-80</x:v>
      </x:c>
      <x:c r="AE350" s="75" t="str">
        <x:f>IF($G350&lt;&gt;"","3D Baskı / "&amp;$G350,"3D Baskı")</x:f>
        <x:v>3D Baskı</x:v>
      </x:c>
      <x:c r="AF350" s="75" t="str">
        <x:f>IF($D350&lt;&gt;"",$D350&amp;" - "&amp;$G350,$AD350&amp;" - "&amp;$G350)</x:f>
        <x:v>MW-80 - </x:v>
      </x:c>
      <x:c r="AG350" s="75" t="str"/>
    </x:row>
    <x:row r="351">
      <x:c r="A351" s="75" t="str">
        <x:f>IF($B351&lt;&gt;"",ROW()-4,"")</x:f>
      </x:c>
      <x:c r="B351" s="75" t="str"/>
      <x:c r="C351" s="75" t="n">
        <x:f>IFERROR(LET(x,MID($B351,FIND("/models/",$B351)+8,80),y,LEFT(x,FIND("-",x&amp;"-")-1),LEFT(y,FIND("?",y&amp;"?")-1)),"")</x:f>
        <x:v>80</x:v>
      </x:c>
      <x:c r="D351" s="75" t="str">
        <x:f>IF($B351="","",IFERROR(XLOOKUP($C351,MakerWorld_Verileri!$A:$A,MakerWorld_Verileri!$B:$B,""),""))</x:f>
      </x:c>
      <x:c r="E351" s="75" t="str">
        <x:f>IF($B351="","",IFERROR(XLOOKUP($C351,MakerWorld_Verileri!$A:$A,MakerWorld_Verileri!$C:$C,""),""))</x:f>
      </x:c>
      <x:c r="F351" s="75" t="str"/>
      <x:c r="G351" s="75" t="str">
        <x:f>IF($B351&lt;&gt;"",Ayarlar!$B$7,"")</x:f>
      </x:c>
      <x:c r="H351" s="82" t="str">
        <x:f>IF($B351&lt;&gt;"",1,"")</x:f>
      </x:c>
      <x:c r="I351" s="82" t="str">
        <x:f>IF($B351="","",IFERROR(XLOOKUP($C351,MakerWorld_Verileri!$A:$A,MakerWorld_Verileri!$D:$D,""),""))</x:f>
      </x:c>
      <x:c r="J351" s="82" t="str"/>
      <x:c r="K351" s="82" t="str">
        <x:f>IF($I351&lt;&gt;"",$I351,$J351)</x:f>
      </x:c>
      <x:c r="L351" s="82" t="str">
        <x:f>IF($B351="","",IFERROR(XLOOKUP($C351,MakerWorld_Verileri!$A:$A,MakerWorld_Verileri!$E:$E,""),""))</x:f>
      </x:c>
      <x:c r="M351" s="82" t="str"/>
      <x:c r="N351" s="82" t="str">
        <x:f>IF($L351&lt;&gt;"",$L351,$M351)</x:f>
      </x:c>
      <x:c r="O351" s="82" t="str">
        <x:f>IF($B351&lt;&gt;"",0,"")</x:f>
      </x:c>
      <x:c r="P351" s="75" t="str">
        <x:f>IF($B351&lt;&gt;"","Orta","")</x:f>
      </x:c>
      <x:c r="Q351" s="82" t="str">
        <x:f>IF($B351&lt;&gt;"",10,"")</x:f>
      </x:c>
      <x:c r="R351" s="83" t="str">
        <x:f>IF($B351&lt;&gt;"",Ayarlar!$B$10,"")</x:f>
      </x:c>
      <x:c r="S351" s="83" t="str">
        <x:f>IF($B351&lt;&gt;"",0,"")</x:f>
      </x:c>
      <x:c r="T351" s="83" t="n">
        <x:f>IFERROR(($K351+$O351)*XLOOKUP($G351,Ayarlar!$A$19:$A$28,Ayarlar!$C$19:$C$28,0)*(1+Ayarlar!$B$11),0)</x:f>
        <x:v>0</x:v>
      </x:c>
      <x:c r="U351" s="83" t="n">
        <x:f>IFERROR($N351/60*Ayarlar!$B$8,0)</x:f>
        <x:v>0</x:v>
      </x:c>
      <x:c r="V351" s="83" t="n">
        <x:f>IF($B351&lt;&gt;"",Ayarlar!$B$12+($Q351/60*Ayarlar!$B$9),0)</x:f>
        <x:v>0</x:v>
      </x:c>
      <x:c r="W351" s="83" t="n">
        <x:f>IF($B351&lt;&gt;"",SUM($T351:$V351,$R351:$S351),0)</x:f>
        <x:v>0</x:v>
      </x:c>
      <x:c r="X351" s="83" t="n">
        <x:f>IF($B351&lt;&gt;"",$W351*Ayarlar!$B$15,0)</x:f>
        <x:v>0</x:v>
      </x:c>
      <x:c r="Y351" s="83" t="n">
        <x:f>IF($B351&lt;&gt;"",($W351+$X351)*Ayarlar!$B$13,0)</x:f>
        <x:v>0</x:v>
      </x:c>
      <x:c r="Z351" s="83" t="n">
        <x:f>IF($B351&lt;&gt;"",($W351+$X351+$Y351)*Ayarlar!$B$14,0)</x:f>
        <x:v>0</x:v>
      </x:c>
      <x:c r="AA351" s="83" t="str">
        <x:f>IF($B351="","",IF(OR($K351="",$N351=""),"",CEILING($W351+$X351+$Y351+$Z351,Ayarlar!$B$16)))</x:f>
      </x:c>
      <x:c r="AB351" s="83" t="str">
        <x:f>IFERROR($AA351/$H351,"")</x:f>
      </x:c>
      <x:c r="AC351" s="75" t="str">
        <x:f>IF($B351="","",IF(OR($K351="",$N351=""),"Veri Eksik","Fiyat Hazır"))</x:f>
      </x:c>
      <x:c r="AD351" s="75" t="str">
        <x:f>IF($C351&lt;&gt;"","MW-"&amp;$C351,"")</x:f>
        <x:v>MW-80</x:v>
      </x:c>
      <x:c r="AE351" s="75" t="str">
        <x:f>IF($G351&lt;&gt;"","3D Baskı / "&amp;$G351,"3D Baskı")</x:f>
        <x:v>3D Baskı</x:v>
      </x:c>
      <x:c r="AF351" s="75" t="str">
        <x:f>IF($D351&lt;&gt;"",$D351&amp;" - "&amp;$G351,$AD351&amp;" - "&amp;$G351)</x:f>
        <x:v>MW-80 - </x:v>
      </x:c>
      <x:c r="AG351" s="75" t="str"/>
    </x:row>
    <x:row r="352">
      <x:c r="A352" s="75" t="str">
        <x:f>IF($B352&lt;&gt;"",ROW()-4,"")</x:f>
      </x:c>
      <x:c r="B352" s="75" t="str"/>
      <x:c r="C352" s="75" t="n">
        <x:f>IFERROR(LET(x,MID($B352,FIND("/models/",$B352)+8,80),y,LEFT(x,FIND("-",x&amp;"-")-1),LEFT(y,FIND("?",y&amp;"?")-1)),"")</x:f>
        <x:v>80</x:v>
      </x:c>
      <x:c r="D352" s="75" t="str">
        <x:f>IF($B352="","",IFERROR(XLOOKUP($C352,MakerWorld_Verileri!$A:$A,MakerWorld_Verileri!$B:$B,""),""))</x:f>
      </x:c>
      <x:c r="E352" s="75" t="str">
        <x:f>IF($B352="","",IFERROR(XLOOKUP($C352,MakerWorld_Verileri!$A:$A,MakerWorld_Verileri!$C:$C,""),""))</x:f>
      </x:c>
      <x:c r="F352" s="75" t="str"/>
      <x:c r="G352" s="75" t="str">
        <x:f>IF($B352&lt;&gt;"",Ayarlar!$B$7,"")</x:f>
      </x:c>
      <x:c r="H352" s="82" t="str">
        <x:f>IF($B352&lt;&gt;"",1,"")</x:f>
      </x:c>
      <x:c r="I352" s="82" t="str">
        <x:f>IF($B352="","",IFERROR(XLOOKUP($C352,MakerWorld_Verileri!$A:$A,MakerWorld_Verileri!$D:$D,""),""))</x:f>
      </x:c>
      <x:c r="J352" s="82" t="str"/>
      <x:c r="K352" s="82" t="str">
        <x:f>IF($I352&lt;&gt;"",$I352,$J352)</x:f>
      </x:c>
      <x:c r="L352" s="82" t="str">
        <x:f>IF($B352="","",IFERROR(XLOOKUP($C352,MakerWorld_Verileri!$A:$A,MakerWorld_Verileri!$E:$E,""),""))</x:f>
      </x:c>
      <x:c r="M352" s="82" t="str"/>
      <x:c r="N352" s="82" t="str">
        <x:f>IF($L352&lt;&gt;"",$L352,$M352)</x:f>
      </x:c>
      <x:c r="O352" s="82" t="str">
        <x:f>IF($B352&lt;&gt;"",0,"")</x:f>
      </x:c>
      <x:c r="P352" s="75" t="str">
        <x:f>IF($B352&lt;&gt;"","Orta","")</x:f>
      </x:c>
      <x:c r="Q352" s="82" t="str">
        <x:f>IF($B352&lt;&gt;"",10,"")</x:f>
      </x:c>
      <x:c r="R352" s="83" t="str">
        <x:f>IF($B352&lt;&gt;"",Ayarlar!$B$10,"")</x:f>
      </x:c>
      <x:c r="S352" s="83" t="str">
        <x:f>IF($B352&lt;&gt;"",0,"")</x:f>
      </x:c>
      <x:c r="T352" s="83" t="n">
        <x:f>IFERROR(($K352+$O352)*XLOOKUP($G352,Ayarlar!$A$19:$A$28,Ayarlar!$C$19:$C$28,0)*(1+Ayarlar!$B$11),0)</x:f>
        <x:v>0</x:v>
      </x:c>
      <x:c r="U352" s="83" t="n">
        <x:f>IFERROR($N352/60*Ayarlar!$B$8,0)</x:f>
        <x:v>0</x:v>
      </x:c>
      <x:c r="V352" s="83" t="n">
        <x:f>IF($B352&lt;&gt;"",Ayarlar!$B$12+($Q352/60*Ayarlar!$B$9),0)</x:f>
        <x:v>0</x:v>
      </x:c>
      <x:c r="W352" s="83" t="n">
        <x:f>IF($B352&lt;&gt;"",SUM($T352:$V352,$R352:$S352),0)</x:f>
        <x:v>0</x:v>
      </x:c>
      <x:c r="X352" s="83" t="n">
        <x:f>IF($B352&lt;&gt;"",$W352*Ayarlar!$B$15,0)</x:f>
        <x:v>0</x:v>
      </x:c>
      <x:c r="Y352" s="83" t="n">
        <x:f>IF($B352&lt;&gt;"",($W352+$X352)*Ayarlar!$B$13,0)</x:f>
        <x:v>0</x:v>
      </x:c>
      <x:c r="Z352" s="83" t="n">
        <x:f>IF($B352&lt;&gt;"",($W352+$X352+$Y352)*Ayarlar!$B$14,0)</x:f>
        <x:v>0</x:v>
      </x:c>
      <x:c r="AA352" s="83" t="str">
        <x:f>IF($B352="","",IF(OR($K352="",$N352=""),"",CEILING($W352+$X352+$Y352+$Z352,Ayarlar!$B$16)))</x:f>
      </x:c>
      <x:c r="AB352" s="83" t="str">
        <x:f>IFERROR($AA352/$H352,"")</x:f>
      </x:c>
      <x:c r="AC352" s="75" t="str">
        <x:f>IF($B352="","",IF(OR($K352="",$N352=""),"Veri Eksik","Fiyat Hazır"))</x:f>
      </x:c>
      <x:c r="AD352" s="75" t="str">
        <x:f>IF($C352&lt;&gt;"","MW-"&amp;$C352,"")</x:f>
        <x:v>MW-80</x:v>
      </x:c>
      <x:c r="AE352" s="75" t="str">
        <x:f>IF($G352&lt;&gt;"","3D Baskı / "&amp;$G352,"3D Baskı")</x:f>
        <x:v>3D Baskı</x:v>
      </x:c>
      <x:c r="AF352" s="75" t="str">
        <x:f>IF($D352&lt;&gt;"",$D352&amp;" - "&amp;$G352,$AD352&amp;" - "&amp;$G352)</x:f>
        <x:v>MW-80 - </x:v>
      </x:c>
      <x:c r="AG352" s="75" t="str"/>
    </x:row>
    <x:row r="353">
      <x:c r="A353" s="75" t="str">
        <x:f>IF($B353&lt;&gt;"",ROW()-4,"")</x:f>
      </x:c>
      <x:c r="B353" s="75" t="str"/>
      <x:c r="C353" s="75" t="n">
        <x:f>IFERROR(LET(x,MID($B353,FIND("/models/",$B353)+8,80),y,LEFT(x,FIND("-",x&amp;"-")-1),LEFT(y,FIND("?",y&amp;"?")-1)),"")</x:f>
        <x:v>80</x:v>
      </x:c>
      <x:c r="D353" s="75" t="str">
        <x:f>IF($B353="","",IFERROR(XLOOKUP($C353,MakerWorld_Verileri!$A:$A,MakerWorld_Verileri!$B:$B,""),""))</x:f>
      </x:c>
      <x:c r="E353" s="75" t="str">
        <x:f>IF($B353="","",IFERROR(XLOOKUP($C353,MakerWorld_Verileri!$A:$A,MakerWorld_Verileri!$C:$C,""),""))</x:f>
      </x:c>
      <x:c r="F353" s="75" t="str"/>
      <x:c r="G353" s="75" t="str">
        <x:f>IF($B353&lt;&gt;"",Ayarlar!$B$7,"")</x:f>
      </x:c>
      <x:c r="H353" s="82" t="str">
        <x:f>IF($B353&lt;&gt;"",1,"")</x:f>
      </x:c>
      <x:c r="I353" s="82" t="str">
        <x:f>IF($B353="","",IFERROR(XLOOKUP($C353,MakerWorld_Verileri!$A:$A,MakerWorld_Verileri!$D:$D,""),""))</x:f>
      </x:c>
      <x:c r="J353" s="82" t="str"/>
      <x:c r="K353" s="82" t="str">
        <x:f>IF($I353&lt;&gt;"",$I353,$J353)</x:f>
      </x:c>
      <x:c r="L353" s="82" t="str">
        <x:f>IF($B353="","",IFERROR(XLOOKUP($C353,MakerWorld_Verileri!$A:$A,MakerWorld_Verileri!$E:$E,""),""))</x:f>
      </x:c>
      <x:c r="M353" s="82" t="str"/>
      <x:c r="N353" s="82" t="str">
        <x:f>IF($L353&lt;&gt;"",$L353,$M353)</x:f>
      </x:c>
      <x:c r="O353" s="82" t="str">
        <x:f>IF($B353&lt;&gt;"",0,"")</x:f>
      </x:c>
      <x:c r="P353" s="75" t="str">
        <x:f>IF($B353&lt;&gt;"","Orta","")</x:f>
      </x:c>
      <x:c r="Q353" s="82" t="str">
        <x:f>IF($B353&lt;&gt;"",10,"")</x:f>
      </x:c>
      <x:c r="R353" s="83" t="str">
        <x:f>IF($B353&lt;&gt;"",Ayarlar!$B$10,"")</x:f>
      </x:c>
      <x:c r="S353" s="83" t="str">
        <x:f>IF($B353&lt;&gt;"",0,"")</x:f>
      </x:c>
      <x:c r="T353" s="83" t="n">
        <x:f>IFERROR(($K353+$O353)*XLOOKUP($G353,Ayarlar!$A$19:$A$28,Ayarlar!$C$19:$C$28,0)*(1+Ayarlar!$B$11),0)</x:f>
        <x:v>0</x:v>
      </x:c>
      <x:c r="U353" s="83" t="n">
        <x:f>IFERROR($N353/60*Ayarlar!$B$8,0)</x:f>
        <x:v>0</x:v>
      </x:c>
      <x:c r="V353" s="83" t="n">
        <x:f>IF($B353&lt;&gt;"",Ayarlar!$B$12+($Q353/60*Ayarlar!$B$9),0)</x:f>
        <x:v>0</x:v>
      </x:c>
      <x:c r="W353" s="83" t="n">
        <x:f>IF($B353&lt;&gt;"",SUM($T353:$V353,$R353:$S353),0)</x:f>
        <x:v>0</x:v>
      </x:c>
      <x:c r="X353" s="83" t="n">
        <x:f>IF($B353&lt;&gt;"",$W353*Ayarlar!$B$15,0)</x:f>
        <x:v>0</x:v>
      </x:c>
      <x:c r="Y353" s="83" t="n">
        <x:f>IF($B353&lt;&gt;"",($W353+$X353)*Ayarlar!$B$13,0)</x:f>
        <x:v>0</x:v>
      </x:c>
      <x:c r="Z353" s="83" t="n">
        <x:f>IF($B353&lt;&gt;"",($W353+$X353+$Y353)*Ayarlar!$B$14,0)</x:f>
        <x:v>0</x:v>
      </x:c>
      <x:c r="AA353" s="83" t="str">
        <x:f>IF($B353="","",IF(OR($K353="",$N353=""),"",CEILING($W353+$X353+$Y353+$Z353,Ayarlar!$B$16)))</x:f>
      </x:c>
      <x:c r="AB353" s="83" t="str">
        <x:f>IFERROR($AA353/$H353,"")</x:f>
      </x:c>
      <x:c r="AC353" s="75" t="str">
        <x:f>IF($B353="","",IF(OR($K353="",$N353=""),"Veri Eksik","Fiyat Hazır"))</x:f>
      </x:c>
      <x:c r="AD353" s="75" t="str">
        <x:f>IF($C353&lt;&gt;"","MW-"&amp;$C353,"")</x:f>
        <x:v>MW-80</x:v>
      </x:c>
      <x:c r="AE353" s="75" t="str">
        <x:f>IF($G353&lt;&gt;"","3D Baskı / "&amp;$G353,"3D Baskı")</x:f>
        <x:v>3D Baskı</x:v>
      </x:c>
      <x:c r="AF353" s="75" t="str">
        <x:f>IF($D353&lt;&gt;"",$D353&amp;" - "&amp;$G353,$AD353&amp;" - "&amp;$G353)</x:f>
        <x:v>MW-80 - </x:v>
      </x:c>
      <x:c r="AG353" s="75" t="str"/>
    </x:row>
    <x:row r="354">
      <x:c r="A354" s="75" t="str">
        <x:f>IF($B354&lt;&gt;"",ROW()-4,"")</x:f>
      </x:c>
      <x:c r="B354" s="75" t="str"/>
      <x:c r="C354" s="75" t="n">
        <x:f>IFERROR(LET(x,MID($B354,FIND("/models/",$B354)+8,80),y,LEFT(x,FIND("-",x&amp;"-")-1),LEFT(y,FIND("?",y&amp;"?")-1)),"")</x:f>
        <x:v>80</x:v>
      </x:c>
      <x:c r="D354" s="75" t="str">
        <x:f>IF($B354="","",IFERROR(XLOOKUP($C354,MakerWorld_Verileri!$A:$A,MakerWorld_Verileri!$B:$B,""),""))</x:f>
      </x:c>
      <x:c r="E354" s="75" t="str">
        <x:f>IF($B354="","",IFERROR(XLOOKUP($C354,MakerWorld_Verileri!$A:$A,MakerWorld_Verileri!$C:$C,""),""))</x:f>
      </x:c>
      <x:c r="F354" s="75" t="str"/>
      <x:c r="G354" s="75" t="str">
        <x:f>IF($B354&lt;&gt;"",Ayarlar!$B$7,"")</x:f>
      </x:c>
      <x:c r="H354" s="82" t="str">
        <x:f>IF($B354&lt;&gt;"",1,"")</x:f>
      </x:c>
      <x:c r="I354" s="82" t="str">
        <x:f>IF($B354="","",IFERROR(XLOOKUP($C354,MakerWorld_Verileri!$A:$A,MakerWorld_Verileri!$D:$D,""),""))</x:f>
      </x:c>
      <x:c r="J354" s="82" t="str"/>
      <x:c r="K354" s="82" t="str">
        <x:f>IF($I354&lt;&gt;"",$I354,$J354)</x:f>
      </x:c>
      <x:c r="L354" s="82" t="str">
        <x:f>IF($B354="","",IFERROR(XLOOKUP($C354,MakerWorld_Verileri!$A:$A,MakerWorld_Verileri!$E:$E,""),""))</x:f>
      </x:c>
      <x:c r="M354" s="82" t="str"/>
      <x:c r="N354" s="82" t="str">
        <x:f>IF($L354&lt;&gt;"",$L354,$M354)</x:f>
      </x:c>
      <x:c r="O354" s="82" t="str">
        <x:f>IF($B354&lt;&gt;"",0,"")</x:f>
      </x:c>
      <x:c r="P354" s="75" t="str">
        <x:f>IF($B354&lt;&gt;"","Orta","")</x:f>
      </x:c>
      <x:c r="Q354" s="82" t="str">
        <x:f>IF($B354&lt;&gt;"",10,"")</x:f>
      </x:c>
      <x:c r="R354" s="83" t="str">
        <x:f>IF($B354&lt;&gt;"",Ayarlar!$B$10,"")</x:f>
      </x:c>
      <x:c r="S354" s="83" t="str">
        <x:f>IF($B354&lt;&gt;"",0,"")</x:f>
      </x:c>
      <x:c r="T354" s="83" t="n">
        <x:f>IFERROR(($K354+$O354)*XLOOKUP($G354,Ayarlar!$A$19:$A$28,Ayarlar!$C$19:$C$28,0)*(1+Ayarlar!$B$11),0)</x:f>
        <x:v>0</x:v>
      </x:c>
      <x:c r="U354" s="83" t="n">
        <x:f>IFERROR($N354/60*Ayarlar!$B$8,0)</x:f>
        <x:v>0</x:v>
      </x:c>
      <x:c r="V354" s="83" t="n">
        <x:f>IF($B354&lt;&gt;"",Ayarlar!$B$12+($Q354/60*Ayarlar!$B$9),0)</x:f>
        <x:v>0</x:v>
      </x:c>
      <x:c r="W354" s="83" t="n">
        <x:f>IF($B354&lt;&gt;"",SUM($T354:$V354,$R354:$S354),0)</x:f>
        <x:v>0</x:v>
      </x:c>
      <x:c r="X354" s="83" t="n">
        <x:f>IF($B354&lt;&gt;"",$W354*Ayarlar!$B$15,0)</x:f>
        <x:v>0</x:v>
      </x:c>
      <x:c r="Y354" s="83" t="n">
        <x:f>IF($B354&lt;&gt;"",($W354+$X354)*Ayarlar!$B$13,0)</x:f>
        <x:v>0</x:v>
      </x:c>
      <x:c r="Z354" s="83" t="n">
        <x:f>IF($B354&lt;&gt;"",($W354+$X354+$Y354)*Ayarlar!$B$14,0)</x:f>
        <x:v>0</x:v>
      </x:c>
      <x:c r="AA354" s="83" t="str">
        <x:f>IF($B354="","",IF(OR($K354="",$N354=""),"",CEILING($W354+$X354+$Y354+$Z354,Ayarlar!$B$16)))</x:f>
      </x:c>
      <x:c r="AB354" s="83" t="str">
        <x:f>IFERROR($AA354/$H354,"")</x:f>
      </x:c>
      <x:c r="AC354" s="75" t="str">
        <x:f>IF($B354="","",IF(OR($K354="",$N354=""),"Veri Eksik","Fiyat Hazır"))</x:f>
      </x:c>
      <x:c r="AD354" s="75" t="str">
        <x:f>IF($C354&lt;&gt;"","MW-"&amp;$C354,"")</x:f>
        <x:v>MW-80</x:v>
      </x:c>
      <x:c r="AE354" s="75" t="str">
        <x:f>IF($G354&lt;&gt;"","3D Baskı / "&amp;$G354,"3D Baskı")</x:f>
        <x:v>3D Baskı</x:v>
      </x:c>
      <x:c r="AF354" s="75" t="str">
        <x:f>IF($D354&lt;&gt;"",$D354&amp;" - "&amp;$G354,$AD354&amp;" - "&amp;$G354)</x:f>
        <x:v>MW-80 - </x:v>
      </x:c>
      <x:c r="AG354" s="75" t="str"/>
    </x:row>
    <x:row r="355">
      <x:c r="A355" s="75" t="str">
        <x:f>IF($B355&lt;&gt;"",ROW()-4,"")</x:f>
      </x:c>
      <x:c r="B355" s="75" t="str"/>
      <x:c r="C355" s="75" t="n">
        <x:f>IFERROR(LET(x,MID($B355,FIND("/models/",$B355)+8,80),y,LEFT(x,FIND("-",x&amp;"-")-1),LEFT(y,FIND("?",y&amp;"?")-1)),"")</x:f>
        <x:v>80</x:v>
      </x:c>
      <x:c r="D355" s="75" t="str">
        <x:f>IF($B355="","",IFERROR(XLOOKUP($C355,MakerWorld_Verileri!$A:$A,MakerWorld_Verileri!$B:$B,""),""))</x:f>
      </x:c>
      <x:c r="E355" s="75" t="str">
        <x:f>IF($B355="","",IFERROR(XLOOKUP($C355,MakerWorld_Verileri!$A:$A,MakerWorld_Verileri!$C:$C,""),""))</x:f>
      </x:c>
      <x:c r="F355" s="75" t="str"/>
      <x:c r="G355" s="75" t="str">
        <x:f>IF($B355&lt;&gt;"",Ayarlar!$B$7,"")</x:f>
      </x:c>
      <x:c r="H355" s="82" t="str">
        <x:f>IF($B355&lt;&gt;"",1,"")</x:f>
      </x:c>
      <x:c r="I355" s="82" t="str">
        <x:f>IF($B355="","",IFERROR(XLOOKUP($C355,MakerWorld_Verileri!$A:$A,MakerWorld_Verileri!$D:$D,""),""))</x:f>
      </x:c>
      <x:c r="J355" s="82" t="str"/>
      <x:c r="K355" s="82" t="str">
        <x:f>IF($I355&lt;&gt;"",$I355,$J355)</x:f>
      </x:c>
      <x:c r="L355" s="82" t="str">
        <x:f>IF($B355="","",IFERROR(XLOOKUP($C355,MakerWorld_Verileri!$A:$A,MakerWorld_Verileri!$E:$E,""),""))</x:f>
      </x:c>
      <x:c r="M355" s="82" t="str"/>
      <x:c r="N355" s="82" t="str">
        <x:f>IF($L355&lt;&gt;"",$L355,$M355)</x:f>
      </x:c>
      <x:c r="O355" s="82" t="str">
        <x:f>IF($B355&lt;&gt;"",0,"")</x:f>
      </x:c>
      <x:c r="P355" s="75" t="str">
        <x:f>IF($B355&lt;&gt;"","Orta","")</x:f>
      </x:c>
      <x:c r="Q355" s="82" t="str">
        <x:f>IF($B355&lt;&gt;"",10,"")</x:f>
      </x:c>
      <x:c r="R355" s="83" t="str">
        <x:f>IF($B355&lt;&gt;"",Ayarlar!$B$10,"")</x:f>
      </x:c>
      <x:c r="S355" s="83" t="str">
        <x:f>IF($B355&lt;&gt;"",0,"")</x:f>
      </x:c>
      <x:c r="T355" s="83" t="n">
        <x:f>IFERROR(($K355+$O355)*XLOOKUP($G355,Ayarlar!$A$19:$A$28,Ayarlar!$C$19:$C$28,0)*(1+Ayarlar!$B$11),0)</x:f>
        <x:v>0</x:v>
      </x:c>
      <x:c r="U355" s="83" t="n">
        <x:f>IFERROR($N355/60*Ayarlar!$B$8,0)</x:f>
        <x:v>0</x:v>
      </x:c>
      <x:c r="V355" s="83" t="n">
        <x:f>IF($B355&lt;&gt;"",Ayarlar!$B$12+($Q355/60*Ayarlar!$B$9),0)</x:f>
        <x:v>0</x:v>
      </x:c>
      <x:c r="W355" s="83" t="n">
        <x:f>IF($B355&lt;&gt;"",SUM($T355:$V355,$R355:$S355),0)</x:f>
        <x:v>0</x:v>
      </x:c>
      <x:c r="X355" s="83" t="n">
        <x:f>IF($B355&lt;&gt;"",$W355*Ayarlar!$B$15,0)</x:f>
        <x:v>0</x:v>
      </x:c>
      <x:c r="Y355" s="83" t="n">
        <x:f>IF($B355&lt;&gt;"",($W355+$X355)*Ayarlar!$B$13,0)</x:f>
        <x:v>0</x:v>
      </x:c>
      <x:c r="Z355" s="83" t="n">
        <x:f>IF($B355&lt;&gt;"",($W355+$X355+$Y355)*Ayarlar!$B$14,0)</x:f>
        <x:v>0</x:v>
      </x:c>
      <x:c r="AA355" s="83" t="str">
        <x:f>IF($B355="","",IF(OR($K355="",$N355=""),"",CEILING($W355+$X355+$Y355+$Z355,Ayarlar!$B$16)))</x:f>
      </x:c>
      <x:c r="AB355" s="83" t="str">
        <x:f>IFERROR($AA355/$H355,"")</x:f>
      </x:c>
      <x:c r="AC355" s="75" t="str">
        <x:f>IF($B355="","",IF(OR($K355="",$N355=""),"Veri Eksik","Fiyat Hazır"))</x:f>
      </x:c>
      <x:c r="AD355" s="75" t="str">
        <x:f>IF($C355&lt;&gt;"","MW-"&amp;$C355,"")</x:f>
        <x:v>MW-80</x:v>
      </x:c>
      <x:c r="AE355" s="75" t="str">
        <x:f>IF($G355&lt;&gt;"","3D Baskı / "&amp;$G355,"3D Baskı")</x:f>
        <x:v>3D Baskı</x:v>
      </x:c>
      <x:c r="AF355" s="75" t="str">
        <x:f>IF($D355&lt;&gt;"",$D355&amp;" - "&amp;$G355,$AD355&amp;" - "&amp;$G355)</x:f>
        <x:v>MW-80 - </x:v>
      </x:c>
      <x:c r="AG355" s="75" t="str"/>
    </x:row>
    <x:row r="356">
      <x:c r="A356" s="75" t="str">
        <x:f>IF($B356&lt;&gt;"",ROW()-4,"")</x:f>
      </x:c>
      <x:c r="B356" s="75" t="str"/>
      <x:c r="C356" s="75" t="n">
        <x:f>IFERROR(LET(x,MID($B356,FIND("/models/",$B356)+8,80),y,LEFT(x,FIND("-",x&amp;"-")-1),LEFT(y,FIND("?",y&amp;"?")-1)),"")</x:f>
        <x:v>80</x:v>
      </x:c>
      <x:c r="D356" s="75" t="str">
        <x:f>IF($B356="","",IFERROR(XLOOKUP($C356,MakerWorld_Verileri!$A:$A,MakerWorld_Verileri!$B:$B,""),""))</x:f>
      </x:c>
      <x:c r="E356" s="75" t="str">
        <x:f>IF($B356="","",IFERROR(XLOOKUP($C356,MakerWorld_Verileri!$A:$A,MakerWorld_Verileri!$C:$C,""),""))</x:f>
      </x:c>
      <x:c r="F356" s="75" t="str"/>
      <x:c r="G356" s="75" t="str">
        <x:f>IF($B356&lt;&gt;"",Ayarlar!$B$7,"")</x:f>
      </x:c>
      <x:c r="H356" s="82" t="str">
        <x:f>IF($B356&lt;&gt;"",1,"")</x:f>
      </x:c>
      <x:c r="I356" s="82" t="str">
        <x:f>IF($B356="","",IFERROR(XLOOKUP($C356,MakerWorld_Verileri!$A:$A,MakerWorld_Verileri!$D:$D,""),""))</x:f>
      </x:c>
      <x:c r="J356" s="82" t="str"/>
      <x:c r="K356" s="82" t="str">
        <x:f>IF($I356&lt;&gt;"",$I356,$J356)</x:f>
      </x:c>
      <x:c r="L356" s="82" t="str">
        <x:f>IF($B356="","",IFERROR(XLOOKUP($C356,MakerWorld_Verileri!$A:$A,MakerWorld_Verileri!$E:$E,""),""))</x:f>
      </x:c>
      <x:c r="M356" s="82" t="str"/>
      <x:c r="N356" s="82" t="str">
        <x:f>IF($L356&lt;&gt;"",$L356,$M356)</x:f>
      </x:c>
      <x:c r="O356" s="82" t="str">
        <x:f>IF($B356&lt;&gt;"",0,"")</x:f>
      </x:c>
      <x:c r="P356" s="75" t="str">
        <x:f>IF($B356&lt;&gt;"","Orta","")</x:f>
      </x:c>
      <x:c r="Q356" s="82" t="str">
        <x:f>IF($B356&lt;&gt;"",10,"")</x:f>
      </x:c>
      <x:c r="R356" s="83" t="str">
        <x:f>IF($B356&lt;&gt;"",Ayarlar!$B$10,"")</x:f>
      </x:c>
      <x:c r="S356" s="83" t="str">
        <x:f>IF($B356&lt;&gt;"",0,"")</x:f>
      </x:c>
      <x:c r="T356" s="83" t="n">
        <x:f>IFERROR(($K356+$O356)*XLOOKUP($G356,Ayarlar!$A$19:$A$28,Ayarlar!$C$19:$C$28,0)*(1+Ayarlar!$B$11),0)</x:f>
        <x:v>0</x:v>
      </x:c>
      <x:c r="U356" s="83" t="n">
        <x:f>IFERROR($N356/60*Ayarlar!$B$8,0)</x:f>
        <x:v>0</x:v>
      </x:c>
      <x:c r="V356" s="83" t="n">
        <x:f>IF($B356&lt;&gt;"",Ayarlar!$B$12+($Q356/60*Ayarlar!$B$9),0)</x:f>
        <x:v>0</x:v>
      </x:c>
      <x:c r="W356" s="83" t="n">
        <x:f>IF($B356&lt;&gt;"",SUM($T356:$V356,$R356:$S356),0)</x:f>
        <x:v>0</x:v>
      </x:c>
      <x:c r="X356" s="83" t="n">
        <x:f>IF($B356&lt;&gt;"",$W356*Ayarlar!$B$15,0)</x:f>
        <x:v>0</x:v>
      </x:c>
      <x:c r="Y356" s="83" t="n">
        <x:f>IF($B356&lt;&gt;"",($W356+$X356)*Ayarlar!$B$13,0)</x:f>
        <x:v>0</x:v>
      </x:c>
      <x:c r="Z356" s="83" t="n">
        <x:f>IF($B356&lt;&gt;"",($W356+$X356+$Y356)*Ayarlar!$B$14,0)</x:f>
        <x:v>0</x:v>
      </x:c>
      <x:c r="AA356" s="83" t="str">
        <x:f>IF($B356="","",IF(OR($K356="",$N356=""),"",CEILING($W356+$X356+$Y356+$Z356,Ayarlar!$B$16)))</x:f>
      </x:c>
      <x:c r="AB356" s="83" t="str">
        <x:f>IFERROR($AA356/$H356,"")</x:f>
      </x:c>
      <x:c r="AC356" s="75" t="str">
        <x:f>IF($B356="","",IF(OR($K356="",$N356=""),"Veri Eksik","Fiyat Hazır"))</x:f>
      </x:c>
      <x:c r="AD356" s="75" t="str">
        <x:f>IF($C356&lt;&gt;"","MW-"&amp;$C356,"")</x:f>
        <x:v>MW-80</x:v>
      </x:c>
      <x:c r="AE356" s="75" t="str">
        <x:f>IF($G356&lt;&gt;"","3D Baskı / "&amp;$G356,"3D Baskı")</x:f>
        <x:v>3D Baskı</x:v>
      </x:c>
      <x:c r="AF356" s="75" t="str">
        <x:f>IF($D356&lt;&gt;"",$D356&amp;" - "&amp;$G356,$AD356&amp;" - "&amp;$G356)</x:f>
        <x:v>MW-80 - </x:v>
      </x:c>
      <x:c r="AG356" s="75" t="str"/>
    </x:row>
    <x:row r="357">
      <x:c r="A357" s="75" t="str">
        <x:f>IF($B357&lt;&gt;"",ROW()-4,"")</x:f>
      </x:c>
      <x:c r="B357" s="75" t="str"/>
      <x:c r="C357" s="75" t="n">
        <x:f>IFERROR(LET(x,MID($B357,FIND("/models/",$B357)+8,80),y,LEFT(x,FIND("-",x&amp;"-")-1),LEFT(y,FIND("?",y&amp;"?")-1)),"")</x:f>
        <x:v>80</x:v>
      </x:c>
      <x:c r="D357" s="75" t="str">
        <x:f>IF($B357="","",IFERROR(XLOOKUP($C357,MakerWorld_Verileri!$A:$A,MakerWorld_Verileri!$B:$B,""),""))</x:f>
      </x:c>
      <x:c r="E357" s="75" t="str">
        <x:f>IF($B357="","",IFERROR(XLOOKUP($C357,MakerWorld_Verileri!$A:$A,MakerWorld_Verileri!$C:$C,""),""))</x:f>
      </x:c>
      <x:c r="F357" s="75" t="str"/>
      <x:c r="G357" s="75" t="str">
        <x:f>IF($B357&lt;&gt;"",Ayarlar!$B$7,"")</x:f>
      </x:c>
      <x:c r="H357" s="82" t="str">
        <x:f>IF($B357&lt;&gt;"",1,"")</x:f>
      </x:c>
      <x:c r="I357" s="82" t="str">
        <x:f>IF($B357="","",IFERROR(XLOOKUP($C357,MakerWorld_Verileri!$A:$A,MakerWorld_Verileri!$D:$D,""),""))</x:f>
      </x:c>
      <x:c r="J357" s="82" t="str"/>
      <x:c r="K357" s="82" t="str">
        <x:f>IF($I357&lt;&gt;"",$I357,$J357)</x:f>
      </x:c>
      <x:c r="L357" s="82" t="str">
        <x:f>IF($B357="","",IFERROR(XLOOKUP($C357,MakerWorld_Verileri!$A:$A,MakerWorld_Verileri!$E:$E,""),""))</x:f>
      </x:c>
      <x:c r="M357" s="82" t="str"/>
      <x:c r="N357" s="82" t="str">
        <x:f>IF($L357&lt;&gt;"",$L357,$M357)</x:f>
      </x:c>
      <x:c r="O357" s="82" t="str">
        <x:f>IF($B357&lt;&gt;"",0,"")</x:f>
      </x:c>
      <x:c r="P357" s="75" t="str">
        <x:f>IF($B357&lt;&gt;"","Orta","")</x:f>
      </x:c>
      <x:c r="Q357" s="82" t="str">
        <x:f>IF($B357&lt;&gt;"",10,"")</x:f>
      </x:c>
      <x:c r="R357" s="83" t="str">
        <x:f>IF($B357&lt;&gt;"",Ayarlar!$B$10,"")</x:f>
      </x:c>
      <x:c r="S357" s="83" t="str">
        <x:f>IF($B357&lt;&gt;"",0,"")</x:f>
      </x:c>
      <x:c r="T357" s="83" t="n">
        <x:f>IFERROR(($K357+$O357)*XLOOKUP($G357,Ayarlar!$A$19:$A$28,Ayarlar!$C$19:$C$28,0)*(1+Ayarlar!$B$11),0)</x:f>
        <x:v>0</x:v>
      </x:c>
      <x:c r="U357" s="83" t="n">
        <x:f>IFERROR($N357/60*Ayarlar!$B$8,0)</x:f>
        <x:v>0</x:v>
      </x:c>
      <x:c r="V357" s="83" t="n">
        <x:f>IF($B357&lt;&gt;"",Ayarlar!$B$12+($Q357/60*Ayarlar!$B$9),0)</x:f>
        <x:v>0</x:v>
      </x:c>
      <x:c r="W357" s="83" t="n">
        <x:f>IF($B357&lt;&gt;"",SUM($T357:$V357,$R357:$S357),0)</x:f>
        <x:v>0</x:v>
      </x:c>
      <x:c r="X357" s="83" t="n">
        <x:f>IF($B357&lt;&gt;"",$W357*Ayarlar!$B$15,0)</x:f>
        <x:v>0</x:v>
      </x:c>
      <x:c r="Y357" s="83" t="n">
        <x:f>IF($B357&lt;&gt;"",($W357+$X357)*Ayarlar!$B$13,0)</x:f>
        <x:v>0</x:v>
      </x:c>
      <x:c r="Z357" s="83" t="n">
        <x:f>IF($B357&lt;&gt;"",($W357+$X357+$Y357)*Ayarlar!$B$14,0)</x:f>
        <x:v>0</x:v>
      </x:c>
      <x:c r="AA357" s="83" t="str">
        <x:f>IF($B357="","",IF(OR($K357="",$N357=""),"",CEILING($W357+$X357+$Y357+$Z357,Ayarlar!$B$16)))</x:f>
      </x:c>
      <x:c r="AB357" s="83" t="str">
        <x:f>IFERROR($AA357/$H357,"")</x:f>
      </x:c>
      <x:c r="AC357" s="75" t="str">
        <x:f>IF($B357="","",IF(OR($K357="",$N357=""),"Veri Eksik","Fiyat Hazır"))</x:f>
      </x:c>
      <x:c r="AD357" s="75" t="str">
        <x:f>IF($C357&lt;&gt;"","MW-"&amp;$C357,"")</x:f>
        <x:v>MW-80</x:v>
      </x:c>
      <x:c r="AE357" s="75" t="str">
        <x:f>IF($G357&lt;&gt;"","3D Baskı / "&amp;$G357,"3D Baskı")</x:f>
        <x:v>3D Baskı</x:v>
      </x:c>
      <x:c r="AF357" s="75" t="str">
        <x:f>IF($D357&lt;&gt;"",$D357&amp;" - "&amp;$G357,$AD357&amp;" - "&amp;$G357)</x:f>
        <x:v>MW-80 - </x:v>
      </x:c>
      <x:c r="AG357" s="75" t="str"/>
    </x:row>
    <x:row r="358">
      <x:c r="A358" s="75" t="str">
        <x:f>IF($B358&lt;&gt;"",ROW()-4,"")</x:f>
      </x:c>
      <x:c r="B358" s="75" t="str"/>
      <x:c r="C358" s="75" t="n">
        <x:f>IFERROR(LET(x,MID($B358,FIND("/models/",$B358)+8,80),y,LEFT(x,FIND("-",x&amp;"-")-1),LEFT(y,FIND("?",y&amp;"?")-1)),"")</x:f>
        <x:v>80</x:v>
      </x:c>
      <x:c r="D358" s="75" t="str">
        <x:f>IF($B358="","",IFERROR(XLOOKUP($C358,MakerWorld_Verileri!$A:$A,MakerWorld_Verileri!$B:$B,""),""))</x:f>
      </x:c>
      <x:c r="E358" s="75" t="str">
        <x:f>IF($B358="","",IFERROR(XLOOKUP($C358,MakerWorld_Verileri!$A:$A,MakerWorld_Verileri!$C:$C,""),""))</x:f>
      </x:c>
      <x:c r="F358" s="75" t="str"/>
      <x:c r="G358" s="75" t="str">
        <x:f>IF($B358&lt;&gt;"",Ayarlar!$B$7,"")</x:f>
      </x:c>
      <x:c r="H358" s="82" t="str">
        <x:f>IF($B358&lt;&gt;"",1,"")</x:f>
      </x:c>
      <x:c r="I358" s="82" t="str">
        <x:f>IF($B358="","",IFERROR(XLOOKUP($C358,MakerWorld_Verileri!$A:$A,MakerWorld_Verileri!$D:$D,""),""))</x:f>
      </x:c>
      <x:c r="J358" s="82" t="str"/>
      <x:c r="K358" s="82" t="str">
        <x:f>IF($I358&lt;&gt;"",$I358,$J358)</x:f>
      </x:c>
      <x:c r="L358" s="82" t="str">
        <x:f>IF($B358="","",IFERROR(XLOOKUP($C358,MakerWorld_Verileri!$A:$A,MakerWorld_Verileri!$E:$E,""),""))</x:f>
      </x:c>
      <x:c r="M358" s="82" t="str"/>
      <x:c r="N358" s="82" t="str">
        <x:f>IF($L358&lt;&gt;"",$L358,$M358)</x:f>
      </x:c>
      <x:c r="O358" s="82" t="str">
        <x:f>IF($B358&lt;&gt;"",0,"")</x:f>
      </x:c>
      <x:c r="P358" s="75" t="str">
        <x:f>IF($B358&lt;&gt;"","Orta","")</x:f>
      </x:c>
      <x:c r="Q358" s="82" t="str">
        <x:f>IF($B358&lt;&gt;"",10,"")</x:f>
      </x:c>
      <x:c r="R358" s="83" t="str">
        <x:f>IF($B358&lt;&gt;"",Ayarlar!$B$10,"")</x:f>
      </x:c>
      <x:c r="S358" s="83" t="str">
        <x:f>IF($B358&lt;&gt;"",0,"")</x:f>
      </x:c>
      <x:c r="T358" s="83" t="n">
        <x:f>IFERROR(($K358+$O358)*XLOOKUP($G358,Ayarlar!$A$19:$A$28,Ayarlar!$C$19:$C$28,0)*(1+Ayarlar!$B$11),0)</x:f>
        <x:v>0</x:v>
      </x:c>
      <x:c r="U358" s="83" t="n">
        <x:f>IFERROR($N358/60*Ayarlar!$B$8,0)</x:f>
        <x:v>0</x:v>
      </x:c>
      <x:c r="V358" s="83" t="n">
        <x:f>IF($B358&lt;&gt;"",Ayarlar!$B$12+($Q358/60*Ayarlar!$B$9),0)</x:f>
        <x:v>0</x:v>
      </x:c>
      <x:c r="W358" s="83" t="n">
        <x:f>IF($B358&lt;&gt;"",SUM($T358:$V358,$R358:$S358),0)</x:f>
        <x:v>0</x:v>
      </x:c>
      <x:c r="X358" s="83" t="n">
        <x:f>IF($B358&lt;&gt;"",$W358*Ayarlar!$B$15,0)</x:f>
        <x:v>0</x:v>
      </x:c>
      <x:c r="Y358" s="83" t="n">
        <x:f>IF($B358&lt;&gt;"",($W358+$X358)*Ayarlar!$B$13,0)</x:f>
        <x:v>0</x:v>
      </x:c>
      <x:c r="Z358" s="83" t="n">
        <x:f>IF($B358&lt;&gt;"",($W358+$X358+$Y358)*Ayarlar!$B$14,0)</x:f>
        <x:v>0</x:v>
      </x:c>
      <x:c r="AA358" s="83" t="str">
        <x:f>IF($B358="","",IF(OR($K358="",$N358=""),"",CEILING($W358+$X358+$Y358+$Z358,Ayarlar!$B$16)))</x:f>
      </x:c>
      <x:c r="AB358" s="83" t="str">
        <x:f>IFERROR($AA358/$H358,"")</x:f>
      </x:c>
      <x:c r="AC358" s="75" t="str">
        <x:f>IF($B358="","",IF(OR($K358="",$N358=""),"Veri Eksik","Fiyat Hazır"))</x:f>
      </x:c>
      <x:c r="AD358" s="75" t="str">
        <x:f>IF($C358&lt;&gt;"","MW-"&amp;$C358,"")</x:f>
        <x:v>MW-80</x:v>
      </x:c>
      <x:c r="AE358" s="75" t="str">
        <x:f>IF($G358&lt;&gt;"","3D Baskı / "&amp;$G358,"3D Baskı")</x:f>
        <x:v>3D Baskı</x:v>
      </x:c>
      <x:c r="AF358" s="75" t="str">
        <x:f>IF($D358&lt;&gt;"",$D358&amp;" - "&amp;$G358,$AD358&amp;" - "&amp;$G358)</x:f>
        <x:v>MW-80 - </x:v>
      </x:c>
      <x:c r="AG358" s="75" t="str"/>
    </x:row>
    <x:row r="359">
      <x:c r="A359" s="75" t="str">
        <x:f>IF($B359&lt;&gt;"",ROW()-4,"")</x:f>
      </x:c>
      <x:c r="B359" s="75" t="str"/>
      <x:c r="C359" s="75" t="n">
        <x:f>IFERROR(LET(x,MID($B359,FIND("/models/",$B359)+8,80),y,LEFT(x,FIND("-",x&amp;"-")-1),LEFT(y,FIND("?",y&amp;"?")-1)),"")</x:f>
        <x:v>80</x:v>
      </x:c>
      <x:c r="D359" s="75" t="str">
        <x:f>IF($B359="","",IFERROR(XLOOKUP($C359,MakerWorld_Verileri!$A:$A,MakerWorld_Verileri!$B:$B,""),""))</x:f>
      </x:c>
      <x:c r="E359" s="75" t="str">
        <x:f>IF($B359="","",IFERROR(XLOOKUP($C359,MakerWorld_Verileri!$A:$A,MakerWorld_Verileri!$C:$C,""),""))</x:f>
      </x:c>
      <x:c r="F359" s="75" t="str"/>
      <x:c r="G359" s="75" t="str">
        <x:f>IF($B359&lt;&gt;"",Ayarlar!$B$7,"")</x:f>
      </x:c>
      <x:c r="H359" s="82" t="str">
        <x:f>IF($B359&lt;&gt;"",1,"")</x:f>
      </x:c>
      <x:c r="I359" s="82" t="str">
        <x:f>IF($B359="","",IFERROR(XLOOKUP($C359,MakerWorld_Verileri!$A:$A,MakerWorld_Verileri!$D:$D,""),""))</x:f>
      </x:c>
      <x:c r="J359" s="82" t="str"/>
      <x:c r="K359" s="82" t="str">
        <x:f>IF($I359&lt;&gt;"",$I359,$J359)</x:f>
      </x:c>
      <x:c r="L359" s="82" t="str">
        <x:f>IF($B359="","",IFERROR(XLOOKUP($C359,MakerWorld_Verileri!$A:$A,MakerWorld_Verileri!$E:$E,""),""))</x:f>
      </x:c>
      <x:c r="M359" s="82" t="str"/>
      <x:c r="N359" s="82" t="str">
        <x:f>IF($L359&lt;&gt;"",$L359,$M359)</x:f>
      </x:c>
      <x:c r="O359" s="82" t="str">
        <x:f>IF($B359&lt;&gt;"",0,"")</x:f>
      </x:c>
      <x:c r="P359" s="75" t="str">
        <x:f>IF($B359&lt;&gt;"","Orta","")</x:f>
      </x:c>
      <x:c r="Q359" s="82" t="str">
        <x:f>IF($B359&lt;&gt;"",10,"")</x:f>
      </x:c>
      <x:c r="R359" s="83" t="str">
        <x:f>IF($B359&lt;&gt;"",Ayarlar!$B$10,"")</x:f>
      </x:c>
      <x:c r="S359" s="83" t="str">
        <x:f>IF($B359&lt;&gt;"",0,"")</x:f>
      </x:c>
      <x:c r="T359" s="83" t="n">
        <x:f>IFERROR(($K359+$O359)*XLOOKUP($G359,Ayarlar!$A$19:$A$28,Ayarlar!$C$19:$C$28,0)*(1+Ayarlar!$B$11),0)</x:f>
        <x:v>0</x:v>
      </x:c>
      <x:c r="U359" s="83" t="n">
        <x:f>IFERROR($N359/60*Ayarlar!$B$8,0)</x:f>
        <x:v>0</x:v>
      </x:c>
      <x:c r="V359" s="83" t="n">
        <x:f>IF($B359&lt;&gt;"",Ayarlar!$B$12+($Q359/60*Ayarlar!$B$9),0)</x:f>
        <x:v>0</x:v>
      </x:c>
      <x:c r="W359" s="83" t="n">
        <x:f>IF($B359&lt;&gt;"",SUM($T359:$V359,$R359:$S359),0)</x:f>
        <x:v>0</x:v>
      </x:c>
      <x:c r="X359" s="83" t="n">
        <x:f>IF($B359&lt;&gt;"",$W359*Ayarlar!$B$15,0)</x:f>
        <x:v>0</x:v>
      </x:c>
      <x:c r="Y359" s="83" t="n">
        <x:f>IF($B359&lt;&gt;"",($W359+$X359)*Ayarlar!$B$13,0)</x:f>
        <x:v>0</x:v>
      </x:c>
      <x:c r="Z359" s="83" t="n">
        <x:f>IF($B359&lt;&gt;"",($W359+$X359+$Y359)*Ayarlar!$B$14,0)</x:f>
        <x:v>0</x:v>
      </x:c>
      <x:c r="AA359" s="83" t="str">
        <x:f>IF($B359="","",IF(OR($K359="",$N359=""),"",CEILING($W359+$X359+$Y359+$Z359,Ayarlar!$B$16)))</x:f>
      </x:c>
      <x:c r="AB359" s="83" t="str">
        <x:f>IFERROR($AA359/$H359,"")</x:f>
      </x:c>
      <x:c r="AC359" s="75" t="str">
        <x:f>IF($B359="","",IF(OR($K359="",$N359=""),"Veri Eksik","Fiyat Hazır"))</x:f>
      </x:c>
      <x:c r="AD359" s="75" t="str">
        <x:f>IF($C359&lt;&gt;"","MW-"&amp;$C359,"")</x:f>
        <x:v>MW-80</x:v>
      </x:c>
      <x:c r="AE359" s="75" t="str">
        <x:f>IF($G359&lt;&gt;"","3D Baskı / "&amp;$G359,"3D Baskı")</x:f>
        <x:v>3D Baskı</x:v>
      </x:c>
      <x:c r="AF359" s="75" t="str">
        <x:f>IF($D359&lt;&gt;"",$D359&amp;" - "&amp;$G359,$AD359&amp;" - "&amp;$G359)</x:f>
        <x:v>MW-80 - </x:v>
      </x:c>
      <x:c r="AG359" s="75" t="str"/>
    </x:row>
    <x:row r="360">
      <x:c r="A360" s="75" t="str">
        <x:f>IF($B360&lt;&gt;"",ROW()-4,"")</x:f>
      </x:c>
      <x:c r="B360" s="75" t="str"/>
      <x:c r="C360" s="75" t="n">
        <x:f>IFERROR(LET(x,MID($B360,FIND("/models/",$B360)+8,80),y,LEFT(x,FIND("-",x&amp;"-")-1),LEFT(y,FIND("?",y&amp;"?")-1)),"")</x:f>
        <x:v>80</x:v>
      </x:c>
      <x:c r="D360" s="75" t="str">
        <x:f>IF($B360="","",IFERROR(XLOOKUP($C360,MakerWorld_Verileri!$A:$A,MakerWorld_Verileri!$B:$B,""),""))</x:f>
      </x:c>
      <x:c r="E360" s="75" t="str">
        <x:f>IF($B360="","",IFERROR(XLOOKUP($C360,MakerWorld_Verileri!$A:$A,MakerWorld_Verileri!$C:$C,""),""))</x:f>
      </x:c>
      <x:c r="F360" s="75" t="str"/>
      <x:c r="G360" s="75" t="str">
        <x:f>IF($B360&lt;&gt;"",Ayarlar!$B$7,"")</x:f>
      </x:c>
      <x:c r="H360" s="82" t="str">
        <x:f>IF($B360&lt;&gt;"",1,"")</x:f>
      </x:c>
      <x:c r="I360" s="82" t="str">
        <x:f>IF($B360="","",IFERROR(XLOOKUP($C360,MakerWorld_Verileri!$A:$A,MakerWorld_Verileri!$D:$D,""),""))</x:f>
      </x:c>
      <x:c r="J360" s="82" t="str"/>
      <x:c r="K360" s="82" t="str">
        <x:f>IF($I360&lt;&gt;"",$I360,$J360)</x:f>
      </x:c>
      <x:c r="L360" s="82" t="str">
        <x:f>IF($B360="","",IFERROR(XLOOKUP($C360,MakerWorld_Verileri!$A:$A,MakerWorld_Verileri!$E:$E,""),""))</x:f>
      </x:c>
      <x:c r="M360" s="82" t="str"/>
      <x:c r="N360" s="82" t="str">
        <x:f>IF($L360&lt;&gt;"",$L360,$M360)</x:f>
      </x:c>
      <x:c r="O360" s="82" t="str">
        <x:f>IF($B360&lt;&gt;"",0,"")</x:f>
      </x:c>
      <x:c r="P360" s="75" t="str">
        <x:f>IF($B360&lt;&gt;"","Orta","")</x:f>
      </x:c>
      <x:c r="Q360" s="82" t="str">
        <x:f>IF($B360&lt;&gt;"",10,"")</x:f>
      </x:c>
      <x:c r="R360" s="83" t="str">
        <x:f>IF($B360&lt;&gt;"",Ayarlar!$B$10,"")</x:f>
      </x:c>
      <x:c r="S360" s="83" t="str">
        <x:f>IF($B360&lt;&gt;"",0,"")</x:f>
      </x:c>
      <x:c r="T360" s="83" t="n">
        <x:f>IFERROR(($K360+$O360)*XLOOKUP($G360,Ayarlar!$A$19:$A$28,Ayarlar!$C$19:$C$28,0)*(1+Ayarlar!$B$11),0)</x:f>
        <x:v>0</x:v>
      </x:c>
      <x:c r="U360" s="83" t="n">
        <x:f>IFERROR($N360/60*Ayarlar!$B$8,0)</x:f>
        <x:v>0</x:v>
      </x:c>
      <x:c r="V360" s="83" t="n">
        <x:f>IF($B360&lt;&gt;"",Ayarlar!$B$12+($Q360/60*Ayarlar!$B$9),0)</x:f>
        <x:v>0</x:v>
      </x:c>
      <x:c r="W360" s="83" t="n">
        <x:f>IF($B360&lt;&gt;"",SUM($T360:$V360,$R360:$S360),0)</x:f>
        <x:v>0</x:v>
      </x:c>
      <x:c r="X360" s="83" t="n">
        <x:f>IF($B360&lt;&gt;"",$W360*Ayarlar!$B$15,0)</x:f>
        <x:v>0</x:v>
      </x:c>
      <x:c r="Y360" s="83" t="n">
        <x:f>IF($B360&lt;&gt;"",($W360+$X360)*Ayarlar!$B$13,0)</x:f>
        <x:v>0</x:v>
      </x:c>
      <x:c r="Z360" s="83" t="n">
        <x:f>IF($B360&lt;&gt;"",($W360+$X360+$Y360)*Ayarlar!$B$14,0)</x:f>
        <x:v>0</x:v>
      </x:c>
      <x:c r="AA360" s="83" t="str">
        <x:f>IF($B360="","",IF(OR($K360="",$N360=""),"",CEILING($W360+$X360+$Y360+$Z360,Ayarlar!$B$16)))</x:f>
      </x:c>
      <x:c r="AB360" s="83" t="str">
        <x:f>IFERROR($AA360/$H360,"")</x:f>
      </x:c>
      <x:c r="AC360" s="75" t="str">
        <x:f>IF($B360="","",IF(OR($K360="",$N360=""),"Veri Eksik","Fiyat Hazır"))</x:f>
      </x:c>
      <x:c r="AD360" s="75" t="str">
        <x:f>IF($C360&lt;&gt;"","MW-"&amp;$C360,"")</x:f>
        <x:v>MW-80</x:v>
      </x:c>
      <x:c r="AE360" s="75" t="str">
        <x:f>IF($G360&lt;&gt;"","3D Baskı / "&amp;$G360,"3D Baskı")</x:f>
        <x:v>3D Baskı</x:v>
      </x:c>
      <x:c r="AF360" s="75" t="str">
        <x:f>IF($D360&lt;&gt;"",$D360&amp;" - "&amp;$G360,$AD360&amp;" - "&amp;$G360)</x:f>
        <x:v>MW-80 - </x:v>
      </x:c>
      <x:c r="AG360" s="75" t="str"/>
    </x:row>
    <x:row r="361">
      <x:c r="A361" s="75" t="str">
        <x:f>IF($B361&lt;&gt;"",ROW()-4,"")</x:f>
      </x:c>
      <x:c r="B361" s="75" t="str"/>
      <x:c r="C361" s="75" t="n">
        <x:f>IFERROR(LET(x,MID($B361,FIND("/models/",$B361)+8,80),y,LEFT(x,FIND("-",x&amp;"-")-1),LEFT(y,FIND("?",y&amp;"?")-1)),"")</x:f>
        <x:v>80</x:v>
      </x:c>
      <x:c r="D361" s="75" t="str">
        <x:f>IF($B361="","",IFERROR(XLOOKUP($C361,MakerWorld_Verileri!$A:$A,MakerWorld_Verileri!$B:$B,""),""))</x:f>
      </x:c>
      <x:c r="E361" s="75" t="str">
        <x:f>IF($B361="","",IFERROR(XLOOKUP($C361,MakerWorld_Verileri!$A:$A,MakerWorld_Verileri!$C:$C,""),""))</x:f>
      </x:c>
      <x:c r="F361" s="75" t="str"/>
      <x:c r="G361" s="75" t="str">
        <x:f>IF($B361&lt;&gt;"",Ayarlar!$B$7,"")</x:f>
      </x:c>
      <x:c r="H361" s="82" t="str">
        <x:f>IF($B361&lt;&gt;"",1,"")</x:f>
      </x:c>
      <x:c r="I361" s="82" t="str">
        <x:f>IF($B361="","",IFERROR(XLOOKUP($C361,MakerWorld_Verileri!$A:$A,MakerWorld_Verileri!$D:$D,""),""))</x:f>
      </x:c>
      <x:c r="J361" s="82" t="str"/>
      <x:c r="K361" s="82" t="str">
        <x:f>IF($I361&lt;&gt;"",$I361,$J361)</x:f>
      </x:c>
      <x:c r="L361" s="82" t="str">
        <x:f>IF($B361="","",IFERROR(XLOOKUP($C361,MakerWorld_Verileri!$A:$A,MakerWorld_Verileri!$E:$E,""),""))</x:f>
      </x:c>
      <x:c r="M361" s="82" t="str"/>
      <x:c r="N361" s="82" t="str">
        <x:f>IF($L361&lt;&gt;"",$L361,$M361)</x:f>
      </x:c>
      <x:c r="O361" s="82" t="str">
        <x:f>IF($B361&lt;&gt;"",0,"")</x:f>
      </x:c>
      <x:c r="P361" s="75" t="str">
        <x:f>IF($B361&lt;&gt;"","Orta","")</x:f>
      </x:c>
      <x:c r="Q361" s="82" t="str">
        <x:f>IF($B361&lt;&gt;"",10,"")</x:f>
      </x:c>
      <x:c r="R361" s="83" t="str">
        <x:f>IF($B361&lt;&gt;"",Ayarlar!$B$10,"")</x:f>
      </x:c>
      <x:c r="S361" s="83" t="str">
        <x:f>IF($B361&lt;&gt;"",0,"")</x:f>
      </x:c>
      <x:c r="T361" s="83" t="n">
        <x:f>IFERROR(($K361+$O361)*XLOOKUP($G361,Ayarlar!$A$19:$A$28,Ayarlar!$C$19:$C$28,0)*(1+Ayarlar!$B$11),0)</x:f>
        <x:v>0</x:v>
      </x:c>
      <x:c r="U361" s="83" t="n">
        <x:f>IFERROR($N361/60*Ayarlar!$B$8,0)</x:f>
        <x:v>0</x:v>
      </x:c>
      <x:c r="V361" s="83" t="n">
        <x:f>IF($B361&lt;&gt;"",Ayarlar!$B$12+($Q361/60*Ayarlar!$B$9),0)</x:f>
        <x:v>0</x:v>
      </x:c>
      <x:c r="W361" s="83" t="n">
        <x:f>IF($B361&lt;&gt;"",SUM($T361:$V361,$R361:$S361),0)</x:f>
        <x:v>0</x:v>
      </x:c>
      <x:c r="X361" s="83" t="n">
        <x:f>IF($B361&lt;&gt;"",$W361*Ayarlar!$B$15,0)</x:f>
        <x:v>0</x:v>
      </x:c>
      <x:c r="Y361" s="83" t="n">
        <x:f>IF($B361&lt;&gt;"",($W361+$X361)*Ayarlar!$B$13,0)</x:f>
        <x:v>0</x:v>
      </x:c>
      <x:c r="Z361" s="83" t="n">
        <x:f>IF($B361&lt;&gt;"",($W361+$X361+$Y361)*Ayarlar!$B$14,0)</x:f>
        <x:v>0</x:v>
      </x:c>
      <x:c r="AA361" s="83" t="str">
        <x:f>IF($B361="","",IF(OR($K361="",$N361=""),"",CEILING($W361+$X361+$Y361+$Z361,Ayarlar!$B$16)))</x:f>
      </x:c>
      <x:c r="AB361" s="83" t="str">
        <x:f>IFERROR($AA361/$H361,"")</x:f>
      </x:c>
      <x:c r="AC361" s="75" t="str">
        <x:f>IF($B361="","",IF(OR($K361="",$N361=""),"Veri Eksik","Fiyat Hazır"))</x:f>
      </x:c>
      <x:c r="AD361" s="75" t="str">
        <x:f>IF($C361&lt;&gt;"","MW-"&amp;$C361,"")</x:f>
        <x:v>MW-80</x:v>
      </x:c>
      <x:c r="AE361" s="75" t="str">
        <x:f>IF($G361&lt;&gt;"","3D Baskı / "&amp;$G361,"3D Baskı")</x:f>
        <x:v>3D Baskı</x:v>
      </x:c>
      <x:c r="AF361" s="75" t="str">
        <x:f>IF($D361&lt;&gt;"",$D361&amp;" - "&amp;$G361,$AD361&amp;" - "&amp;$G361)</x:f>
        <x:v>MW-80 - </x:v>
      </x:c>
      <x:c r="AG361" s="75" t="str"/>
    </x:row>
    <x:row r="362">
      <x:c r="A362" s="75" t="str">
        <x:f>IF($B362&lt;&gt;"",ROW()-4,"")</x:f>
      </x:c>
      <x:c r="B362" s="75" t="str"/>
      <x:c r="C362" s="75" t="n">
        <x:f>IFERROR(LET(x,MID($B362,FIND("/models/",$B362)+8,80),y,LEFT(x,FIND("-",x&amp;"-")-1),LEFT(y,FIND("?",y&amp;"?")-1)),"")</x:f>
        <x:v>80</x:v>
      </x:c>
      <x:c r="D362" s="75" t="str">
        <x:f>IF($B362="","",IFERROR(XLOOKUP($C362,MakerWorld_Verileri!$A:$A,MakerWorld_Verileri!$B:$B,""),""))</x:f>
      </x:c>
      <x:c r="E362" s="75" t="str">
        <x:f>IF($B362="","",IFERROR(XLOOKUP($C362,MakerWorld_Verileri!$A:$A,MakerWorld_Verileri!$C:$C,""),""))</x:f>
      </x:c>
      <x:c r="F362" s="75" t="str"/>
      <x:c r="G362" s="75" t="str">
        <x:f>IF($B362&lt;&gt;"",Ayarlar!$B$7,"")</x:f>
      </x:c>
      <x:c r="H362" s="82" t="str">
        <x:f>IF($B362&lt;&gt;"",1,"")</x:f>
      </x:c>
      <x:c r="I362" s="82" t="str">
        <x:f>IF($B362="","",IFERROR(XLOOKUP($C362,MakerWorld_Verileri!$A:$A,MakerWorld_Verileri!$D:$D,""),""))</x:f>
      </x:c>
      <x:c r="J362" s="82" t="str"/>
      <x:c r="K362" s="82" t="str">
        <x:f>IF($I362&lt;&gt;"",$I362,$J362)</x:f>
      </x:c>
      <x:c r="L362" s="82" t="str">
        <x:f>IF($B362="","",IFERROR(XLOOKUP($C362,MakerWorld_Verileri!$A:$A,MakerWorld_Verileri!$E:$E,""),""))</x:f>
      </x:c>
      <x:c r="M362" s="82" t="str"/>
      <x:c r="N362" s="82" t="str">
        <x:f>IF($L362&lt;&gt;"",$L362,$M362)</x:f>
      </x:c>
      <x:c r="O362" s="82" t="str">
        <x:f>IF($B362&lt;&gt;"",0,"")</x:f>
      </x:c>
      <x:c r="P362" s="75" t="str">
        <x:f>IF($B362&lt;&gt;"","Orta","")</x:f>
      </x:c>
      <x:c r="Q362" s="82" t="str">
        <x:f>IF($B362&lt;&gt;"",10,"")</x:f>
      </x:c>
      <x:c r="R362" s="83" t="str">
        <x:f>IF($B362&lt;&gt;"",Ayarlar!$B$10,"")</x:f>
      </x:c>
      <x:c r="S362" s="83" t="str">
        <x:f>IF($B362&lt;&gt;"",0,"")</x:f>
      </x:c>
      <x:c r="T362" s="83" t="n">
        <x:f>IFERROR(($K362+$O362)*XLOOKUP($G362,Ayarlar!$A$19:$A$28,Ayarlar!$C$19:$C$28,0)*(1+Ayarlar!$B$11),0)</x:f>
        <x:v>0</x:v>
      </x:c>
      <x:c r="U362" s="83" t="n">
        <x:f>IFERROR($N362/60*Ayarlar!$B$8,0)</x:f>
        <x:v>0</x:v>
      </x:c>
      <x:c r="V362" s="83" t="n">
        <x:f>IF($B362&lt;&gt;"",Ayarlar!$B$12+($Q362/60*Ayarlar!$B$9),0)</x:f>
        <x:v>0</x:v>
      </x:c>
      <x:c r="W362" s="83" t="n">
        <x:f>IF($B362&lt;&gt;"",SUM($T362:$V362,$R362:$S362),0)</x:f>
        <x:v>0</x:v>
      </x:c>
      <x:c r="X362" s="83" t="n">
        <x:f>IF($B362&lt;&gt;"",$W362*Ayarlar!$B$15,0)</x:f>
        <x:v>0</x:v>
      </x:c>
      <x:c r="Y362" s="83" t="n">
        <x:f>IF($B362&lt;&gt;"",($W362+$X362)*Ayarlar!$B$13,0)</x:f>
        <x:v>0</x:v>
      </x:c>
      <x:c r="Z362" s="83" t="n">
        <x:f>IF($B362&lt;&gt;"",($W362+$X362+$Y362)*Ayarlar!$B$14,0)</x:f>
        <x:v>0</x:v>
      </x:c>
      <x:c r="AA362" s="83" t="str">
        <x:f>IF($B362="","",IF(OR($K362="",$N362=""),"",CEILING($W362+$X362+$Y362+$Z362,Ayarlar!$B$16)))</x:f>
      </x:c>
      <x:c r="AB362" s="83" t="str">
        <x:f>IFERROR($AA362/$H362,"")</x:f>
      </x:c>
      <x:c r="AC362" s="75" t="str">
        <x:f>IF($B362="","",IF(OR($K362="",$N362=""),"Veri Eksik","Fiyat Hazır"))</x:f>
      </x:c>
      <x:c r="AD362" s="75" t="str">
        <x:f>IF($C362&lt;&gt;"","MW-"&amp;$C362,"")</x:f>
        <x:v>MW-80</x:v>
      </x:c>
      <x:c r="AE362" s="75" t="str">
        <x:f>IF($G362&lt;&gt;"","3D Baskı / "&amp;$G362,"3D Baskı")</x:f>
        <x:v>3D Baskı</x:v>
      </x:c>
      <x:c r="AF362" s="75" t="str">
        <x:f>IF($D362&lt;&gt;"",$D362&amp;" - "&amp;$G362,$AD362&amp;" - "&amp;$G362)</x:f>
        <x:v>MW-80 - </x:v>
      </x:c>
      <x:c r="AG362" s="75" t="str"/>
    </x:row>
    <x:row r="363">
      <x:c r="A363" s="75" t="str">
        <x:f>IF($B363&lt;&gt;"",ROW()-4,"")</x:f>
      </x:c>
      <x:c r="B363" s="75" t="str"/>
      <x:c r="C363" s="75" t="n">
        <x:f>IFERROR(LET(x,MID($B363,FIND("/models/",$B363)+8,80),y,LEFT(x,FIND("-",x&amp;"-")-1),LEFT(y,FIND("?",y&amp;"?")-1)),"")</x:f>
        <x:v>80</x:v>
      </x:c>
      <x:c r="D363" s="75" t="str">
        <x:f>IF($B363="","",IFERROR(XLOOKUP($C363,MakerWorld_Verileri!$A:$A,MakerWorld_Verileri!$B:$B,""),""))</x:f>
      </x:c>
      <x:c r="E363" s="75" t="str">
        <x:f>IF($B363="","",IFERROR(XLOOKUP($C363,MakerWorld_Verileri!$A:$A,MakerWorld_Verileri!$C:$C,""),""))</x:f>
      </x:c>
      <x:c r="F363" s="75" t="str"/>
      <x:c r="G363" s="75" t="str">
        <x:f>IF($B363&lt;&gt;"",Ayarlar!$B$7,"")</x:f>
      </x:c>
      <x:c r="H363" s="82" t="str">
        <x:f>IF($B363&lt;&gt;"",1,"")</x:f>
      </x:c>
      <x:c r="I363" s="82" t="str">
        <x:f>IF($B363="","",IFERROR(XLOOKUP($C363,MakerWorld_Verileri!$A:$A,MakerWorld_Verileri!$D:$D,""),""))</x:f>
      </x:c>
      <x:c r="J363" s="82" t="str"/>
      <x:c r="K363" s="82" t="str">
        <x:f>IF($I363&lt;&gt;"",$I363,$J363)</x:f>
      </x:c>
      <x:c r="L363" s="82" t="str">
        <x:f>IF($B363="","",IFERROR(XLOOKUP($C363,MakerWorld_Verileri!$A:$A,MakerWorld_Verileri!$E:$E,""),""))</x:f>
      </x:c>
      <x:c r="M363" s="82" t="str"/>
      <x:c r="N363" s="82" t="str">
        <x:f>IF($L363&lt;&gt;"",$L363,$M363)</x:f>
      </x:c>
      <x:c r="O363" s="82" t="str">
        <x:f>IF($B363&lt;&gt;"",0,"")</x:f>
      </x:c>
      <x:c r="P363" s="75" t="str">
        <x:f>IF($B363&lt;&gt;"","Orta","")</x:f>
      </x:c>
      <x:c r="Q363" s="82" t="str">
        <x:f>IF($B363&lt;&gt;"",10,"")</x:f>
      </x:c>
      <x:c r="R363" s="83" t="str">
        <x:f>IF($B363&lt;&gt;"",Ayarlar!$B$10,"")</x:f>
      </x:c>
      <x:c r="S363" s="83" t="str">
        <x:f>IF($B363&lt;&gt;"",0,"")</x:f>
      </x:c>
      <x:c r="T363" s="83" t="n">
        <x:f>IFERROR(($K363+$O363)*XLOOKUP($G363,Ayarlar!$A$19:$A$28,Ayarlar!$C$19:$C$28,0)*(1+Ayarlar!$B$11),0)</x:f>
        <x:v>0</x:v>
      </x:c>
      <x:c r="U363" s="83" t="n">
        <x:f>IFERROR($N363/60*Ayarlar!$B$8,0)</x:f>
        <x:v>0</x:v>
      </x:c>
      <x:c r="V363" s="83" t="n">
        <x:f>IF($B363&lt;&gt;"",Ayarlar!$B$12+($Q363/60*Ayarlar!$B$9),0)</x:f>
        <x:v>0</x:v>
      </x:c>
      <x:c r="W363" s="83" t="n">
        <x:f>IF($B363&lt;&gt;"",SUM($T363:$V363,$R363:$S363),0)</x:f>
        <x:v>0</x:v>
      </x:c>
      <x:c r="X363" s="83" t="n">
        <x:f>IF($B363&lt;&gt;"",$W363*Ayarlar!$B$15,0)</x:f>
        <x:v>0</x:v>
      </x:c>
      <x:c r="Y363" s="83" t="n">
        <x:f>IF($B363&lt;&gt;"",($W363+$X363)*Ayarlar!$B$13,0)</x:f>
        <x:v>0</x:v>
      </x:c>
      <x:c r="Z363" s="83" t="n">
        <x:f>IF($B363&lt;&gt;"",($W363+$X363+$Y363)*Ayarlar!$B$14,0)</x:f>
        <x:v>0</x:v>
      </x:c>
      <x:c r="AA363" s="83" t="str">
        <x:f>IF($B363="","",IF(OR($K363="",$N363=""),"",CEILING($W363+$X363+$Y363+$Z363,Ayarlar!$B$16)))</x:f>
      </x:c>
      <x:c r="AB363" s="83" t="str">
        <x:f>IFERROR($AA363/$H363,"")</x:f>
      </x:c>
      <x:c r="AC363" s="75" t="str">
        <x:f>IF($B363="","",IF(OR($K363="",$N363=""),"Veri Eksik","Fiyat Hazır"))</x:f>
      </x:c>
      <x:c r="AD363" s="75" t="str">
        <x:f>IF($C363&lt;&gt;"","MW-"&amp;$C363,"")</x:f>
        <x:v>MW-80</x:v>
      </x:c>
      <x:c r="AE363" s="75" t="str">
        <x:f>IF($G363&lt;&gt;"","3D Baskı / "&amp;$G363,"3D Baskı")</x:f>
        <x:v>3D Baskı</x:v>
      </x:c>
      <x:c r="AF363" s="75" t="str">
        <x:f>IF($D363&lt;&gt;"",$D363&amp;" - "&amp;$G363,$AD363&amp;" - "&amp;$G363)</x:f>
        <x:v>MW-80 - </x:v>
      </x:c>
      <x:c r="AG363" s="75" t="str"/>
    </x:row>
    <x:row r="364">
      <x:c r="A364" s="75" t="str">
        <x:f>IF($B364&lt;&gt;"",ROW()-4,"")</x:f>
      </x:c>
      <x:c r="B364" s="75" t="str"/>
      <x:c r="C364" s="75" t="n">
        <x:f>IFERROR(LET(x,MID($B364,FIND("/models/",$B364)+8,80),y,LEFT(x,FIND("-",x&amp;"-")-1),LEFT(y,FIND("?",y&amp;"?")-1)),"")</x:f>
        <x:v>80</x:v>
      </x:c>
      <x:c r="D364" s="75" t="str">
        <x:f>IF($B364="","",IFERROR(XLOOKUP($C364,MakerWorld_Verileri!$A:$A,MakerWorld_Verileri!$B:$B,""),""))</x:f>
      </x:c>
      <x:c r="E364" s="75" t="str">
        <x:f>IF($B364="","",IFERROR(XLOOKUP($C364,MakerWorld_Verileri!$A:$A,MakerWorld_Verileri!$C:$C,""),""))</x:f>
      </x:c>
      <x:c r="F364" s="75" t="str"/>
      <x:c r="G364" s="75" t="str">
        <x:f>IF($B364&lt;&gt;"",Ayarlar!$B$7,"")</x:f>
      </x:c>
      <x:c r="H364" s="82" t="str">
        <x:f>IF($B364&lt;&gt;"",1,"")</x:f>
      </x:c>
      <x:c r="I364" s="82" t="str">
        <x:f>IF($B364="","",IFERROR(XLOOKUP($C364,MakerWorld_Verileri!$A:$A,MakerWorld_Verileri!$D:$D,""),""))</x:f>
      </x:c>
      <x:c r="J364" s="82" t="str"/>
      <x:c r="K364" s="82" t="str">
        <x:f>IF($I364&lt;&gt;"",$I364,$J364)</x:f>
      </x:c>
      <x:c r="L364" s="82" t="str">
        <x:f>IF($B364="","",IFERROR(XLOOKUP($C364,MakerWorld_Verileri!$A:$A,MakerWorld_Verileri!$E:$E,""),""))</x:f>
      </x:c>
      <x:c r="M364" s="82" t="str"/>
      <x:c r="N364" s="82" t="str">
        <x:f>IF($L364&lt;&gt;"",$L364,$M364)</x:f>
      </x:c>
      <x:c r="O364" s="82" t="str">
        <x:f>IF($B364&lt;&gt;"",0,"")</x:f>
      </x:c>
      <x:c r="P364" s="75" t="str">
        <x:f>IF($B364&lt;&gt;"","Orta","")</x:f>
      </x:c>
      <x:c r="Q364" s="82" t="str">
        <x:f>IF($B364&lt;&gt;"",10,"")</x:f>
      </x:c>
      <x:c r="R364" s="83" t="str">
        <x:f>IF($B364&lt;&gt;"",Ayarlar!$B$10,"")</x:f>
      </x:c>
      <x:c r="S364" s="83" t="str">
        <x:f>IF($B364&lt;&gt;"",0,"")</x:f>
      </x:c>
      <x:c r="T364" s="83" t="n">
        <x:f>IFERROR(($K364+$O364)*XLOOKUP($G364,Ayarlar!$A$19:$A$28,Ayarlar!$C$19:$C$28,0)*(1+Ayarlar!$B$11),0)</x:f>
        <x:v>0</x:v>
      </x:c>
      <x:c r="U364" s="83" t="n">
        <x:f>IFERROR($N364/60*Ayarlar!$B$8,0)</x:f>
        <x:v>0</x:v>
      </x:c>
      <x:c r="V364" s="83" t="n">
        <x:f>IF($B364&lt;&gt;"",Ayarlar!$B$12+($Q364/60*Ayarlar!$B$9),0)</x:f>
        <x:v>0</x:v>
      </x:c>
      <x:c r="W364" s="83" t="n">
        <x:f>IF($B364&lt;&gt;"",SUM($T364:$V364,$R364:$S364),0)</x:f>
        <x:v>0</x:v>
      </x:c>
      <x:c r="X364" s="83" t="n">
        <x:f>IF($B364&lt;&gt;"",$W364*Ayarlar!$B$15,0)</x:f>
        <x:v>0</x:v>
      </x:c>
      <x:c r="Y364" s="83" t="n">
        <x:f>IF($B364&lt;&gt;"",($W364+$X364)*Ayarlar!$B$13,0)</x:f>
        <x:v>0</x:v>
      </x:c>
      <x:c r="Z364" s="83" t="n">
        <x:f>IF($B364&lt;&gt;"",($W364+$X364+$Y364)*Ayarlar!$B$14,0)</x:f>
        <x:v>0</x:v>
      </x:c>
      <x:c r="AA364" s="83" t="str">
        <x:f>IF($B364="","",IF(OR($K364="",$N364=""),"",CEILING($W364+$X364+$Y364+$Z364,Ayarlar!$B$16)))</x:f>
      </x:c>
      <x:c r="AB364" s="83" t="str">
        <x:f>IFERROR($AA364/$H364,"")</x:f>
      </x:c>
      <x:c r="AC364" s="75" t="str">
        <x:f>IF($B364="","",IF(OR($K364="",$N364=""),"Veri Eksik","Fiyat Hazır"))</x:f>
      </x:c>
      <x:c r="AD364" s="75" t="str">
        <x:f>IF($C364&lt;&gt;"","MW-"&amp;$C364,"")</x:f>
        <x:v>MW-80</x:v>
      </x:c>
      <x:c r="AE364" s="75" t="str">
        <x:f>IF($G364&lt;&gt;"","3D Baskı / "&amp;$G364,"3D Baskı")</x:f>
        <x:v>3D Baskı</x:v>
      </x:c>
      <x:c r="AF364" s="75" t="str">
        <x:f>IF($D364&lt;&gt;"",$D364&amp;" - "&amp;$G364,$AD364&amp;" - "&amp;$G364)</x:f>
        <x:v>MW-80 - </x:v>
      </x:c>
      <x:c r="AG364" s="75" t="str"/>
    </x:row>
    <x:row r="365">
      <x:c r="A365" s="75" t="str">
        <x:f>IF($B365&lt;&gt;"",ROW()-4,"")</x:f>
      </x:c>
      <x:c r="B365" s="75" t="str"/>
      <x:c r="C365" s="75" t="n">
        <x:f>IFERROR(LET(x,MID($B365,FIND("/models/",$B365)+8,80),y,LEFT(x,FIND("-",x&amp;"-")-1),LEFT(y,FIND("?",y&amp;"?")-1)),"")</x:f>
        <x:v>80</x:v>
      </x:c>
      <x:c r="D365" s="75" t="str">
        <x:f>IF($B365="","",IFERROR(XLOOKUP($C365,MakerWorld_Verileri!$A:$A,MakerWorld_Verileri!$B:$B,""),""))</x:f>
      </x:c>
      <x:c r="E365" s="75" t="str">
        <x:f>IF($B365="","",IFERROR(XLOOKUP($C365,MakerWorld_Verileri!$A:$A,MakerWorld_Verileri!$C:$C,""),""))</x:f>
      </x:c>
      <x:c r="F365" s="75" t="str"/>
      <x:c r="G365" s="75" t="str">
        <x:f>IF($B365&lt;&gt;"",Ayarlar!$B$7,"")</x:f>
      </x:c>
      <x:c r="H365" s="82" t="str">
        <x:f>IF($B365&lt;&gt;"",1,"")</x:f>
      </x:c>
      <x:c r="I365" s="82" t="str">
        <x:f>IF($B365="","",IFERROR(XLOOKUP($C365,MakerWorld_Verileri!$A:$A,MakerWorld_Verileri!$D:$D,""),""))</x:f>
      </x:c>
      <x:c r="J365" s="82" t="str"/>
      <x:c r="K365" s="82" t="str">
        <x:f>IF($I365&lt;&gt;"",$I365,$J365)</x:f>
      </x:c>
      <x:c r="L365" s="82" t="str">
        <x:f>IF($B365="","",IFERROR(XLOOKUP($C365,MakerWorld_Verileri!$A:$A,MakerWorld_Verileri!$E:$E,""),""))</x:f>
      </x:c>
      <x:c r="M365" s="82" t="str"/>
      <x:c r="N365" s="82" t="str">
        <x:f>IF($L365&lt;&gt;"",$L365,$M365)</x:f>
      </x:c>
      <x:c r="O365" s="82" t="str">
        <x:f>IF($B365&lt;&gt;"",0,"")</x:f>
      </x:c>
      <x:c r="P365" s="75" t="str">
        <x:f>IF($B365&lt;&gt;"","Orta","")</x:f>
      </x:c>
      <x:c r="Q365" s="82" t="str">
        <x:f>IF($B365&lt;&gt;"",10,"")</x:f>
      </x:c>
      <x:c r="R365" s="83" t="str">
        <x:f>IF($B365&lt;&gt;"",Ayarlar!$B$10,"")</x:f>
      </x:c>
      <x:c r="S365" s="83" t="str">
        <x:f>IF($B365&lt;&gt;"",0,"")</x:f>
      </x:c>
      <x:c r="T365" s="83" t="n">
        <x:f>IFERROR(($K365+$O365)*XLOOKUP($G365,Ayarlar!$A$19:$A$28,Ayarlar!$C$19:$C$28,0)*(1+Ayarlar!$B$11),0)</x:f>
        <x:v>0</x:v>
      </x:c>
      <x:c r="U365" s="83" t="n">
        <x:f>IFERROR($N365/60*Ayarlar!$B$8,0)</x:f>
        <x:v>0</x:v>
      </x:c>
      <x:c r="V365" s="83" t="n">
        <x:f>IF($B365&lt;&gt;"",Ayarlar!$B$12+($Q365/60*Ayarlar!$B$9),0)</x:f>
        <x:v>0</x:v>
      </x:c>
      <x:c r="W365" s="83" t="n">
        <x:f>IF($B365&lt;&gt;"",SUM($T365:$V365,$R365:$S365),0)</x:f>
        <x:v>0</x:v>
      </x:c>
      <x:c r="X365" s="83" t="n">
        <x:f>IF($B365&lt;&gt;"",$W365*Ayarlar!$B$15,0)</x:f>
        <x:v>0</x:v>
      </x:c>
      <x:c r="Y365" s="83" t="n">
        <x:f>IF($B365&lt;&gt;"",($W365+$X365)*Ayarlar!$B$13,0)</x:f>
        <x:v>0</x:v>
      </x:c>
      <x:c r="Z365" s="83" t="n">
        <x:f>IF($B365&lt;&gt;"",($W365+$X365+$Y365)*Ayarlar!$B$14,0)</x:f>
        <x:v>0</x:v>
      </x:c>
      <x:c r="AA365" s="83" t="str">
        <x:f>IF($B365="","",IF(OR($K365="",$N365=""),"",CEILING($W365+$X365+$Y365+$Z365,Ayarlar!$B$16)))</x:f>
      </x:c>
      <x:c r="AB365" s="83" t="str">
        <x:f>IFERROR($AA365/$H365,"")</x:f>
      </x:c>
      <x:c r="AC365" s="75" t="str">
        <x:f>IF($B365="","",IF(OR($K365="",$N365=""),"Veri Eksik","Fiyat Hazır"))</x:f>
      </x:c>
      <x:c r="AD365" s="75" t="str">
        <x:f>IF($C365&lt;&gt;"","MW-"&amp;$C365,"")</x:f>
        <x:v>MW-80</x:v>
      </x:c>
      <x:c r="AE365" s="75" t="str">
        <x:f>IF($G365&lt;&gt;"","3D Baskı / "&amp;$G365,"3D Baskı")</x:f>
        <x:v>3D Baskı</x:v>
      </x:c>
      <x:c r="AF365" s="75" t="str">
        <x:f>IF($D365&lt;&gt;"",$D365&amp;" - "&amp;$G365,$AD365&amp;" - "&amp;$G365)</x:f>
        <x:v>MW-80 - </x:v>
      </x:c>
      <x:c r="AG365" s="75" t="str"/>
    </x:row>
    <x:row r="366">
      <x:c r="A366" s="75" t="str">
        <x:f>IF($B366&lt;&gt;"",ROW()-4,"")</x:f>
      </x:c>
      <x:c r="B366" s="75" t="str"/>
      <x:c r="C366" s="75" t="n">
        <x:f>IFERROR(LET(x,MID($B366,FIND("/models/",$B366)+8,80),y,LEFT(x,FIND("-",x&amp;"-")-1),LEFT(y,FIND("?",y&amp;"?")-1)),"")</x:f>
        <x:v>80</x:v>
      </x:c>
      <x:c r="D366" s="75" t="str">
        <x:f>IF($B366="","",IFERROR(XLOOKUP($C366,MakerWorld_Verileri!$A:$A,MakerWorld_Verileri!$B:$B,""),""))</x:f>
      </x:c>
      <x:c r="E366" s="75" t="str">
        <x:f>IF($B366="","",IFERROR(XLOOKUP($C366,MakerWorld_Verileri!$A:$A,MakerWorld_Verileri!$C:$C,""),""))</x:f>
      </x:c>
      <x:c r="F366" s="75" t="str"/>
      <x:c r="G366" s="75" t="str">
        <x:f>IF($B366&lt;&gt;"",Ayarlar!$B$7,"")</x:f>
      </x:c>
      <x:c r="H366" s="82" t="str">
        <x:f>IF($B366&lt;&gt;"",1,"")</x:f>
      </x:c>
      <x:c r="I366" s="82" t="str">
        <x:f>IF($B366="","",IFERROR(XLOOKUP($C366,MakerWorld_Verileri!$A:$A,MakerWorld_Verileri!$D:$D,""),""))</x:f>
      </x:c>
      <x:c r="J366" s="82" t="str"/>
      <x:c r="K366" s="82" t="str">
        <x:f>IF($I366&lt;&gt;"",$I366,$J366)</x:f>
      </x:c>
      <x:c r="L366" s="82" t="str">
        <x:f>IF($B366="","",IFERROR(XLOOKUP($C366,MakerWorld_Verileri!$A:$A,MakerWorld_Verileri!$E:$E,""),""))</x:f>
      </x:c>
      <x:c r="M366" s="82" t="str"/>
      <x:c r="N366" s="82" t="str">
        <x:f>IF($L366&lt;&gt;"",$L366,$M366)</x:f>
      </x:c>
      <x:c r="O366" s="82" t="str">
        <x:f>IF($B366&lt;&gt;"",0,"")</x:f>
      </x:c>
      <x:c r="P366" s="75" t="str">
        <x:f>IF($B366&lt;&gt;"","Orta","")</x:f>
      </x:c>
      <x:c r="Q366" s="82" t="str">
        <x:f>IF($B366&lt;&gt;"",10,"")</x:f>
      </x:c>
      <x:c r="R366" s="83" t="str">
        <x:f>IF($B366&lt;&gt;"",Ayarlar!$B$10,"")</x:f>
      </x:c>
      <x:c r="S366" s="83" t="str">
        <x:f>IF($B366&lt;&gt;"",0,"")</x:f>
      </x:c>
      <x:c r="T366" s="83" t="n">
        <x:f>IFERROR(($K366+$O366)*XLOOKUP($G366,Ayarlar!$A$19:$A$28,Ayarlar!$C$19:$C$28,0)*(1+Ayarlar!$B$11),0)</x:f>
        <x:v>0</x:v>
      </x:c>
      <x:c r="U366" s="83" t="n">
        <x:f>IFERROR($N366/60*Ayarlar!$B$8,0)</x:f>
        <x:v>0</x:v>
      </x:c>
      <x:c r="V366" s="83" t="n">
        <x:f>IF($B366&lt;&gt;"",Ayarlar!$B$12+($Q366/60*Ayarlar!$B$9),0)</x:f>
        <x:v>0</x:v>
      </x:c>
      <x:c r="W366" s="83" t="n">
        <x:f>IF($B366&lt;&gt;"",SUM($T366:$V366,$R366:$S366),0)</x:f>
        <x:v>0</x:v>
      </x:c>
      <x:c r="X366" s="83" t="n">
        <x:f>IF($B366&lt;&gt;"",$W366*Ayarlar!$B$15,0)</x:f>
        <x:v>0</x:v>
      </x:c>
      <x:c r="Y366" s="83" t="n">
        <x:f>IF($B366&lt;&gt;"",($W366+$X366)*Ayarlar!$B$13,0)</x:f>
        <x:v>0</x:v>
      </x:c>
      <x:c r="Z366" s="83" t="n">
        <x:f>IF($B366&lt;&gt;"",($W366+$X366+$Y366)*Ayarlar!$B$14,0)</x:f>
        <x:v>0</x:v>
      </x:c>
      <x:c r="AA366" s="83" t="str">
        <x:f>IF($B366="","",IF(OR($K366="",$N366=""),"",CEILING($W366+$X366+$Y366+$Z366,Ayarlar!$B$16)))</x:f>
      </x:c>
      <x:c r="AB366" s="83" t="str">
        <x:f>IFERROR($AA366/$H366,"")</x:f>
      </x:c>
      <x:c r="AC366" s="75" t="str">
        <x:f>IF($B366="","",IF(OR($K366="",$N366=""),"Veri Eksik","Fiyat Hazır"))</x:f>
      </x:c>
      <x:c r="AD366" s="75" t="str">
        <x:f>IF($C366&lt;&gt;"","MW-"&amp;$C366,"")</x:f>
        <x:v>MW-80</x:v>
      </x:c>
      <x:c r="AE366" s="75" t="str">
        <x:f>IF($G366&lt;&gt;"","3D Baskı / "&amp;$G366,"3D Baskı")</x:f>
        <x:v>3D Baskı</x:v>
      </x:c>
      <x:c r="AF366" s="75" t="str">
        <x:f>IF($D366&lt;&gt;"",$D366&amp;" - "&amp;$G366,$AD366&amp;" - "&amp;$G366)</x:f>
        <x:v>MW-80 - </x:v>
      </x:c>
      <x:c r="AG366" s="75" t="str"/>
    </x:row>
    <x:row r="367">
      <x:c r="A367" s="75" t="str">
        <x:f>IF($B367&lt;&gt;"",ROW()-4,"")</x:f>
      </x:c>
      <x:c r="B367" s="75" t="str"/>
      <x:c r="C367" s="75" t="n">
        <x:f>IFERROR(LET(x,MID($B367,FIND("/models/",$B367)+8,80),y,LEFT(x,FIND("-",x&amp;"-")-1),LEFT(y,FIND("?",y&amp;"?")-1)),"")</x:f>
        <x:v>80</x:v>
      </x:c>
      <x:c r="D367" s="75" t="str">
        <x:f>IF($B367="","",IFERROR(XLOOKUP($C367,MakerWorld_Verileri!$A:$A,MakerWorld_Verileri!$B:$B,""),""))</x:f>
      </x:c>
      <x:c r="E367" s="75" t="str">
        <x:f>IF($B367="","",IFERROR(XLOOKUP($C367,MakerWorld_Verileri!$A:$A,MakerWorld_Verileri!$C:$C,""),""))</x:f>
      </x:c>
      <x:c r="F367" s="75" t="str"/>
      <x:c r="G367" s="75" t="str">
        <x:f>IF($B367&lt;&gt;"",Ayarlar!$B$7,"")</x:f>
      </x:c>
      <x:c r="H367" s="82" t="str">
        <x:f>IF($B367&lt;&gt;"",1,"")</x:f>
      </x:c>
      <x:c r="I367" s="82" t="str">
        <x:f>IF($B367="","",IFERROR(XLOOKUP($C367,MakerWorld_Verileri!$A:$A,MakerWorld_Verileri!$D:$D,""),""))</x:f>
      </x:c>
      <x:c r="J367" s="82" t="str"/>
      <x:c r="K367" s="82" t="str">
        <x:f>IF($I367&lt;&gt;"",$I367,$J367)</x:f>
      </x:c>
      <x:c r="L367" s="82" t="str">
        <x:f>IF($B367="","",IFERROR(XLOOKUP($C367,MakerWorld_Verileri!$A:$A,MakerWorld_Verileri!$E:$E,""),""))</x:f>
      </x:c>
      <x:c r="M367" s="82" t="str"/>
      <x:c r="N367" s="82" t="str">
        <x:f>IF($L367&lt;&gt;"",$L367,$M367)</x:f>
      </x:c>
      <x:c r="O367" s="82" t="str">
        <x:f>IF($B367&lt;&gt;"",0,"")</x:f>
      </x:c>
      <x:c r="P367" s="75" t="str">
        <x:f>IF($B367&lt;&gt;"","Orta","")</x:f>
      </x:c>
      <x:c r="Q367" s="82" t="str">
        <x:f>IF($B367&lt;&gt;"",10,"")</x:f>
      </x:c>
      <x:c r="R367" s="83" t="str">
        <x:f>IF($B367&lt;&gt;"",Ayarlar!$B$10,"")</x:f>
      </x:c>
      <x:c r="S367" s="83" t="str">
        <x:f>IF($B367&lt;&gt;"",0,"")</x:f>
      </x:c>
      <x:c r="T367" s="83" t="n">
        <x:f>IFERROR(($K367+$O367)*XLOOKUP($G367,Ayarlar!$A$19:$A$28,Ayarlar!$C$19:$C$28,0)*(1+Ayarlar!$B$11),0)</x:f>
        <x:v>0</x:v>
      </x:c>
      <x:c r="U367" s="83" t="n">
        <x:f>IFERROR($N367/60*Ayarlar!$B$8,0)</x:f>
        <x:v>0</x:v>
      </x:c>
      <x:c r="V367" s="83" t="n">
        <x:f>IF($B367&lt;&gt;"",Ayarlar!$B$12+($Q367/60*Ayarlar!$B$9),0)</x:f>
        <x:v>0</x:v>
      </x:c>
      <x:c r="W367" s="83" t="n">
        <x:f>IF($B367&lt;&gt;"",SUM($T367:$V367,$R367:$S367),0)</x:f>
        <x:v>0</x:v>
      </x:c>
      <x:c r="X367" s="83" t="n">
        <x:f>IF($B367&lt;&gt;"",$W367*Ayarlar!$B$15,0)</x:f>
        <x:v>0</x:v>
      </x:c>
      <x:c r="Y367" s="83" t="n">
        <x:f>IF($B367&lt;&gt;"",($W367+$X367)*Ayarlar!$B$13,0)</x:f>
        <x:v>0</x:v>
      </x:c>
      <x:c r="Z367" s="83" t="n">
        <x:f>IF($B367&lt;&gt;"",($W367+$X367+$Y367)*Ayarlar!$B$14,0)</x:f>
        <x:v>0</x:v>
      </x:c>
      <x:c r="AA367" s="83" t="str">
        <x:f>IF($B367="","",IF(OR($K367="",$N367=""),"",CEILING($W367+$X367+$Y367+$Z367,Ayarlar!$B$16)))</x:f>
      </x:c>
      <x:c r="AB367" s="83" t="str">
        <x:f>IFERROR($AA367/$H367,"")</x:f>
      </x:c>
      <x:c r="AC367" s="75" t="str">
        <x:f>IF($B367="","",IF(OR($K367="",$N367=""),"Veri Eksik","Fiyat Hazır"))</x:f>
      </x:c>
      <x:c r="AD367" s="75" t="str">
        <x:f>IF($C367&lt;&gt;"","MW-"&amp;$C367,"")</x:f>
        <x:v>MW-80</x:v>
      </x:c>
      <x:c r="AE367" s="75" t="str">
        <x:f>IF($G367&lt;&gt;"","3D Baskı / "&amp;$G367,"3D Baskı")</x:f>
        <x:v>3D Baskı</x:v>
      </x:c>
      <x:c r="AF367" s="75" t="str">
        <x:f>IF($D367&lt;&gt;"",$D367&amp;" - "&amp;$G367,$AD367&amp;" - "&amp;$G367)</x:f>
        <x:v>MW-80 - </x:v>
      </x:c>
      <x:c r="AG367" s="75" t="str"/>
    </x:row>
    <x:row r="368">
      <x:c r="A368" s="75" t="str">
        <x:f>IF($B368&lt;&gt;"",ROW()-4,"")</x:f>
      </x:c>
      <x:c r="B368" s="75" t="str"/>
      <x:c r="C368" s="75" t="n">
        <x:f>IFERROR(LET(x,MID($B368,FIND("/models/",$B368)+8,80),y,LEFT(x,FIND("-",x&amp;"-")-1),LEFT(y,FIND("?",y&amp;"?")-1)),"")</x:f>
        <x:v>80</x:v>
      </x:c>
      <x:c r="D368" s="75" t="str">
        <x:f>IF($B368="","",IFERROR(XLOOKUP($C368,MakerWorld_Verileri!$A:$A,MakerWorld_Verileri!$B:$B,""),""))</x:f>
      </x:c>
      <x:c r="E368" s="75" t="str">
        <x:f>IF($B368="","",IFERROR(XLOOKUP($C368,MakerWorld_Verileri!$A:$A,MakerWorld_Verileri!$C:$C,""),""))</x:f>
      </x:c>
      <x:c r="F368" s="75" t="str"/>
      <x:c r="G368" s="75" t="str">
        <x:f>IF($B368&lt;&gt;"",Ayarlar!$B$7,"")</x:f>
      </x:c>
      <x:c r="H368" s="82" t="str">
        <x:f>IF($B368&lt;&gt;"",1,"")</x:f>
      </x:c>
      <x:c r="I368" s="82" t="str">
        <x:f>IF($B368="","",IFERROR(XLOOKUP($C368,MakerWorld_Verileri!$A:$A,MakerWorld_Verileri!$D:$D,""),""))</x:f>
      </x:c>
      <x:c r="J368" s="82" t="str"/>
      <x:c r="K368" s="82" t="str">
        <x:f>IF($I368&lt;&gt;"",$I368,$J368)</x:f>
      </x:c>
      <x:c r="L368" s="82" t="str">
        <x:f>IF($B368="","",IFERROR(XLOOKUP($C368,MakerWorld_Verileri!$A:$A,MakerWorld_Verileri!$E:$E,""),""))</x:f>
      </x:c>
      <x:c r="M368" s="82" t="str"/>
      <x:c r="N368" s="82" t="str">
        <x:f>IF($L368&lt;&gt;"",$L368,$M368)</x:f>
      </x:c>
      <x:c r="O368" s="82" t="str">
        <x:f>IF($B368&lt;&gt;"",0,"")</x:f>
      </x:c>
      <x:c r="P368" s="75" t="str">
        <x:f>IF($B368&lt;&gt;"","Orta","")</x:f>
      </x:c>
      <x:c r="Q368" s="82" t="str">
        <x:f>IF($B368&lt;&gt;"",10,"")</x:f>
      </x:c>
      <x:c r="R368" s="83" t="str">
        <x:f>IF($B368&lt;&gt;"",Ayarlar!$B$10,"")</x:f>
      </x:c>
      <x:c r="S368" s="83" t="str">
        <x:f>IF($B368&lt;&gt;"",0,"")</x:f>
      </x:c>
      <x:c r="T368" s="83" t="n">
        <x:f>IFERROR(($K368+$O368)*XLOOKUP($G368,Ayarlar!$A$19:$A$28,Ayarlar!$C$19:$C$28,0)*(1+Ayarlar!$B$11),0)</x:f>
        <x:v>0</x:v>
      </x:c>
      <x:c r="U368" s="83" t="n">
        <x:f>IFERROR($N368/60*Ayarlar!$B$8,0)</x:f>
        <x:v>0</x:v>
      </x:c>
      <x:c r="V368" s="83" t="n">
        <x:f>IF($B368&lt;&gt;"",Ayarlar!$B$12+($Q368/60*Ayarlar!$B$9),0)</x:f>
        <x:v>0</x:v>
      </x:c>
      <x:c r="W368" s="83" t="n">
        <x:f>IF($B368&lt;&gt;"",SUM($T368:$V368,$R368:$S368),0)</x:f>
        <x:v>0</x:v>
      </x:c>
      <x:c r="X368" s="83" t="n">
        <x:f>IF($B368&lt;&gt;"",$W368*Ayarlar!$B$15,0)</x:f>
        <x:v>0</x:v>
      </x:c>
      <x:c r="Y368" s="83" t="n">
        <x:f>IF($B368&lt;&gt;"",($W368+$X368)*Ayarlar!$B$13,0)</x:f>
        <x:v>0</x:v>
      </x:c>
      <x:c r="Z368" s="83" t="n">
        <x:f>IF($B368&lt;&gt;"",($W368+$X368+$Y368)*Ayarlar!$B$14,0)</x:f>
        <x:v>0</x:v>
      </x:c>
      <x:c r="AA368" s="83" t="str">
        <x:f>IF($B368="","",IF(OR($K368="",$N368=""),"",CEILING($W368+$X368+$Y368+$Z368,Ayarlar!$B$16)))</x:f>
      </x:c>
      <x:c r="AB368" s="83" t="str">
        <x:f>IFERROR($AA368/$H368,"")</x:f>
      </x:c>
      <x:c r="AC368" s="75" t="str">
        <x:f>IF($B368="","",IF(OR($K368="",$N368=""),"Veri Eksik","Fiyat Hazır"))</x:f>
      </x:c>
      <x:c r="AD368" s="75" t="str">
        <x:f>IF($C368&lt;&gt;"","MW-"&amp;$C368,"")</x:f>
        <x:v>MW-80</x:v>
      </x:c>
      <x:c r="AE368" s="75" t="str">
        <x:f>IF($G368&lt;&gt;"","3D Baskı / "&amp;$G368,"3D Baskı")</x:f>
        <x:v>3D Baskı</x:v>
      </x:c>
      <x:c r="AF368" s="75" t="str">
        <x:f>IF($D368&lt;&gt;"",$D368&amp;" - "&amp;$G368,$AD368&amp;" - "&amp;$G368)</x:f>
        <x:v>MW-80 - </x:v>
      </x:c>
      <x:c r="AG368" s="75" t="str"/>
    </x:row>
    <x:row r="369">
      <x:c r="A369" s="75" t="str">
        <x:f>IF($B369&lt;&gt;"",ROW()-4,"")</x:f>
      </x:c>
      <x:c r="B369" s="75" t="str"/>
      <x:c r="C369" s="75" t="n">
        <x:f>IFERROR(LET(x,MID($B369,FIND("/models/",$B369)+8,80),y,LEFT(x,FIND("-",x&amp;"-")-1),LEFT(y,FIND("?",y&amp;"?")-1)),"")</x:f>
        <x:v>80</x:v>
      </x:c>
      <x:c r="D369" s="75" t="str">
        <x:f>IF($B369="","",IFERROR(XLOOKUP($C369,MakerWorld_Verileri!$A:$A,MakerWorld_Verileri!$B:$B,""),""))</x:f>
      </x:c>
      <x:c r="E369" s="75" t="str">
        <x:f>IF($B369="","",IFERROR(XLOOKUP($C369,MakerWorld_Verileri!$A:$A,MakerWorld_Verileri!$C:$C,""),""))</x:f>
      </x:c>
      <x:c r="F369" s="75" t="str"/>
      <x:c r="G369" s="75" t="str">
        <x:f>IF($B369&lt;&gt;"",Ayarlar!$B$7,"")</x:f>
      </x:c>
      <x:c r="H369" s="82" t="str">
        <x:f>IF($B369&lt;&gt;"",1,"")</x:f>
      </x:c>
      <x:c r="I369" s="82" t="str">
        <x:f>IF($B369="","",IFERROR(XLOOKUP($C369,MakerWorld_Verileri!$A:$A,MakerWorld_Verileri!$D:$D,""),""))</x:f>
      </x:c>
      <x:c r="J369" s="82" t="str"/>
      <x:c r="K369" s="82" t="str">
        <x:f>IF($I369&lt;&gt;"",$I369,$J369)</x:f>
      </x:c>
      <x:c r="L369" s="82" t="str">
        <x:f>IF($B369="","",IFERROR(XLOOKUP($C369,MakerWorld_Verileri!$A:$A,MakerWorld_Verileri!$E:$E,""),""))</x:f>
      </x:c>
      <x:c r="M369" s="82" t="str"/>
      <x:c r="N369" s="82" t="str">
        <x:f>IF($L369&lt;&gt;"",$L369,$M369)</x:f>
      </x:c>
      <x:c r="O369" s="82" t="str">
        <x:f>IF($B369&lt;&gt;"",0,"")</x:f>
      </x:c>
      <x:c r="P369" s="75" t="str">
        <x:f>IF($B369&lt;&gt;"","Orta","")</x:f>
      </x:c>
      <x:c r="Q369" s="82" t="str">
        <x:f>IF($B369&lt;&gt;"",10,"")</x:f>
      </x:c>
      <x:c r="R369" s="83" t="str">
        <x:f>IF($B369&lt;&gt;"",Ayarlar!$B$10,"")</x:f>
      </x:c>
      <x:c r="S369" s="83" t="str">
        <x:f>IF($B369&lt;&gt;"",0,"")</x:f>
      </x:c>
      <x:c r="T369" s="83" t="n">
        <x:f>IFERROR(($K369+$O369)*XLOOKUP($G369,Ayarlar!$A$19:$A$28,Ayarlar!$C$19:$C$28,0)*(1+Ayarlar!$B$11),0)</x:f>
        <x:v>0</x:v>
      </x:c>
      <x:c r="U369" s="83" t="n">
        <x:f>IFERROR($N369/60*Ayarlar!$B$8,0)</x:f>
        <x:v>0</x:v>
      </x:c>
      <x:c r="V369" s="83" t="n">
        <x:f>IF($B369&lt;&gt;"",Ayarlar!$B$12+($Q369/60*Ayarlar!$B$9),0)</x:f>
        <x:v>0</x:v>
      </x:c>
      <x:c r="W369" s="83" t="n">
        <x:f>IF($B369&lt;&gt;"",SUM($T369:$V369,$R369:$S369),0)</x:f>
        <x:v>0</x:v>
      </x:c>
      <x:c r="X369" s="83" t="n">
        <x:f>IF($B369&lt;&gt;"",$W369*Ayarlar!$B$15,0)</x:f>
        <x:v>0</x:v>
      </x:c>
      <x:c r="Y369" s="83" t="n">
        <x:f>IF($B369&lt;&gt;"",($W369+$X369)*Ayarlar!$B$13,0)</x:f>
        <x:v>0</x:v>
      </x:c>
      <x:c r="Z369" s="83" t="n">
        <x:f>IF($B369&lt;&gt;"",($W369+$X369+$Y369)*Ayarlar!$B$14,0)</x:f>
        <x:v>0</x:v>
      </x:c>
      <x:c r="AA369" s="83" t="str">
        <x:f>IF($B369="","",IF(OR($K369="",$N369=""),"",CEILING($W369+$X369+$Y369+$Z369,Ayarlar!$B$16)))</x:f>
      </x:c>
      <x:c r="AB369" s="83" t="str">
        <x:f>IFERROR($AA369/$H369,"")</x:f>
      </x:c>
      <x:c r="AC369" s="75" t="str">
        <x:f>IF($B369="","",IF(OR($K369="",$N369=""),"Veri Eksik","Fiyat Hazır"))</x:f>
      </x:c>
      <x:c r="AD369" s="75" t="str">
        <x:f>IF($C369&lt;&gt;"","MW-"&amp;$C369,"")</x:f>
        <x:v>MW-80</x:v>
      </x:c>
      <x:c r="AE369" s="75" t="str">
        <x:f>IF($G369&lt;&gt;"","3D Baskı / "&amp;$G369,"3D Baskı")</x:f>
        <x:v>3D Baskı</x:v>
      </x:c>
      <x:c r="AF369" s="75" t="str">
        <x:f>IF($D369&lt;&gt;"",$D369&amp;" - "&amp;$G369,$AD369&amp;" - "&amp;$G369)</x:f>
        <x:v>MW-80 - </x:v>
      </x:c>
      <x:c r="AG369" s="75" t="str"/>
    </x:row>
    <x:row r="370">
      <x:c r="A370" s="75" t="str">
        <x:f>IF($B370&lt;&gt;"",ROW()-4,"")</x:f>
      </x:c>
      <x:c r="B370" s="75" t="str"/>
      <x:c r="C370" s="75" t="n">
        <x:f>IFERROR(LET(x,MID($B370,FIND("/models/",$B370)+8,80),y,LEFT(x,FIND("-",x&amp;"-")-1),LEFT(y,FIND("?",y&amp;"?")-1)),"")</x:f>
        <x:v>80</x:v>
      </x:c>
      <x:c r="D370" s="75" t="str">
        <x:f>IF($B370="","",IFERROR(XLOOKUP($C370,MakerWorld_Verileri!$A:$A,MakerWorld_Verileri!$B:$B,""),""))</x:f>
      </x:c>
      <x:c r="E370" s="75" t="str">
        <x:f>IF($B370="","",IFERROR(XLOOKUP($C370,MakerWorld_Verileri!$A:$A,MakerWorld_Verileri!$C:$C,""),""))</x:f>
      </x:c>
      <x:c r="F370" s="75" t="str"/>
      <x:c r="G370" s="75" t="str">
        <x:f>IF($B370&lt;&gt;"",Ayarlar!$B$7,"")</x:f>
      </x:c>
      <x:c r="H370" s="82" t="str">
        <x:f>IF($B370&lt;&gt;"",1,"")</x:f>
      </x:c>
      <x:c r="I370" s="82" t="str">
        <x:f>IF($B370="","",IFERROR(XLOOKUP($C370,MakerWorld_Verileri!$A:$A,MakerWorld_Verileri!$D:$D,""),""))</x:f>
      </x:c>
      <x:c r="J370" s="82" t="str"/>
      <x:c r="K370" s="82" t="str">
        <x:f>IF($I370&lt;&gt;"",$I370,$J370)</x:f>
      </x:c>
      <x:c r="L370" s="82" t="str">
        <x:f>IF($B370="","",IFERROR(XLOOKUP($C370,MakerWorld_Verileri!$A:$A,MakerWorld_Verileri!$E:$E,""),""))</x:f>
      </x:c>
      <x:c r="M370" s="82" t="str"/>
      <x:c r="N370" s="82" t="str">
        <x:f>IF($L370&lt;&gt;"",$L370,$M370)</x:f>
      </x:c>
      <x:c r="O370" s="82" t="str">
        <x:f>IF($B370&lt;&gt;"",0,"")</x:f>
      </x:c>
      <x:c r="P370" s="75" t="str">
        <x:f>IF($B370&lt;&gt;"","Orta","")</x:f>
      </x:c>
      <x:c r="Q370" s="82" t="str">
        <x:f>IF($B370&lt;&gt;"",10,"")</x:f>
      </x:c>
      <x:c r="R370" s="83" t="str">
        <x:f>IF($B370&lt;&gt;"",Ayarlar!$B$10,"")</x:f>
      </x:c>
      <x:c r="S370" s="83" t="str">
        <x:f>IF($B370&lt;&gt;"",0,"")</x:f>
      </x:c>
      <x:c r="T370" s="83" t="n">
        <x:f>IFERROR(($K370+$O370)*XLOOKUP($G370,Ayarlar!$A$19:$A$28,Ayarlar!$C$19:$C$28,0)*(1+Ayarlar!$B$11),0)</x:f>
        <x:v>0</x:v>
      </x:c>
      <x:c r="U370" s="83" t="n">
        <x:f>IFERROR($N370/60*Ayarlar!$B$8,0)</x:f>
        <x:v>0</x:v>
      </x:c>
      <x:c r="V370" s="83" t="n">
        <x:f>IF($B370&lt;&gt;"",Ayarlar!$B$12+($Q370/60*Ayarlar!$B$9),0)</x:f>
        <x:v>0</x:v>
      </x:c>
      <x:c r="W370" s="83" t="n">
        <x:f>IF($B370&lt;&gt;"",SUM($T370:$V370,$R370:$S370),0)</x:f>
        <x:v>0</x:v>
      </x:c>
      <x:c r="X370" s="83" t="n">
        <x:f>IF($B370&lt;&gt;"",$W370*Ayarlar!$B$15,0)</x:f>
        <x:v>0</x:v>
      </x:c>
      <x:c r="Y370" s="83" t="n">
        <x:f>IF($B370&lt;&gt;"",($W370+$X370)*Ayarlar!$B$13,0)</x:f>
        <x:v>0</x:v>
      </x:c>
      <x:c r="Z370" s="83" t="n">
        <x:f>IF($B370&lt;&gt;"",($W370+$X370+$Y370)*Ayarlar!$B$14,0)</x:f>
        <x:v>0</x:v>
      </x:c>
      <x:c r="AA370" s="83" t="str">
        <x:f>IF($B370="","",IF(OR($K370="",$N370=""),"",CEILING($W370+$X370+$Y370+$Z370,Ayarlar!$B$16)))</x:f>
      </x:c>
      <x:c r="AB370" s="83" t="str">
        <x:f>IFERROR($AA370/$H370,"")</x:f>
      </x:c>
      <x:c r="AC370" s="75" t="str">
        <x:f>IF($B370="","",IF(OR($K370="",$N370=""),"Veri Eksik","Fiyat Hazır"))</x:f>
      </x:c>
      <x:c r="AD370" s="75" t="str">
        <x:f>IF($C370&lt;&gt;"","MW-"&amp;$C370,"")</x:f>
        <x:v>MW-80</x:v>
      </x:c>
      <x:c r="AE370" s="75" t="str">
        <x:f>IF($G370&lt;&gt;"","3D Baskı / "&amp;$G370,"3D Baskı")</x:f>
        <x:v>3D Baskı</x:v>
      </x:c>
      <x:c r="AF370" s="75" t="str">
        <x:f>IF($D370&lt;&gt;"",$D370&amp;" - "&amp;$G370,$AD370&amp;" - "&amp;$G370)</x:f>
        <x:v>MW-80 - </x:v>
      </x:c>
      <x:c r="AG370" s="75" t="str"/>
    </x:row>
    <x:row r="371">
      <x:c r="A371" s="75" t="str">
        <x:f>IF($B371&lt;&gt;"",ROW()-4,"")</x:f>
      </x:c>
      <x:c r="B371" s="75" t="str"/>
      <x:c r="C371" s="75" t="n">
        <x:f>IFERROR(LET(x,MID($B371,FIND("/models/",$B371)+8,80),y,LEFT(x,FIND("-",x&amp;"-")-1),LEFT(y,FIND("?",y&amp;"?")-1)),"")</x:f>
        <x:v>80</x:v>
      </x:c>
      <x:c r="D371" s="75" t="str">
        <x:f>IF($B371="","",IFERROR(XLOOKUP($C371,MakerWorld_Verileri!$A:$A,MakerWorld_Verileri!$B:$B,""),""))</x:f>
      </x:c>
      <x:c r="E371" s="75" t="str">
        <x:f>IF($B371="","",IFERROR(XLOOKUP($C371,MakerWorld_Verileri!$A:$A,MakerWorld_Verileri!$C:$C,""),""))</x:f>
      </x:c>
      <x:c r="F371" s="75" t="str"/>
      <x:c r="G371" s="75" t="str">
        <x:f>IF($B371&lt;&gt;"",Ayarlar!$B$7,"")</x:f>
      </x:c>
      <x:c r="H371" s="82" t="str">
        <x:f>IF($B371&lt;&gt;"",1,"")</x:f>
      </x:c>
      <x:c r="I371" s="82" t="str">
        <x:f>IF($B371="","",IFERROR(XLOOKUP($C371,MakerWorld_Verileri!$A:$A,MakerWorld_Verileri!$D:$D,""),""))</x:f>
      </x:c>
      <x:c r="J371" s="82" t="str"/>
      <x:c r="K371" s="82" t="str">
        <x:f>IF($I371&lt;&gt;"",$I371,$J371)</x:f>
      </x:c>
      <x:c r="L371" s="82" t="str">
        <x:f>IF($B371="","",IFERROR(XLOOKUP($C371,MakerWorld_Verileri!$A:$A,MakerWorld_Verileri!$E:$E,""),""))</x:f>
      </x:c>
      <x:c r="M371" s="82" t="str"/>
      <x:c r="N371" s="82" t="str">
        <x:f>IF($L371&lt;&gt;"",$L371,$M371)</x:f>
      </x:c>
      <x:c r="O371" s="82" t="str">
        <x:f>IF($B371&lt;&gt;"",0,"")</x:f>
      </x:c>
      <x:c r="P371" s="75" t="str">
        <x:f>IF($B371&lt;&gt;"","Orta","")</x:f>
      </x:c>
      <x:c r="Q371" s="82" t="str">
        <x:f>IF($B371&lt;&gt;"",10,"")</x:f>
      </x:c>
      <x:c r="R371" s="83" t="str">
        <x:f>IF($B371&lt;&gt;"",Ayarlar!$B$10,"")</x:f>
      </x:c>
      <x:c r="S371" s="83" t="str">
        <x:f>IF($B371&lt;&gt;"",0,"")</x:f>
      </x:c>
      <x:c r="T371" s="83" t="n">
        <x:f>IFERROR(($K371+$O371)*XLOOKUP($G371,Ayarlar!$A$19:$A$28,Ayarlar!$C$19:$C$28,0)*(1+Ayarlar!$B$11),0)</x:f>
        <x:v>0</x:v>
      </x:c>
      <x:c r="U371" s="83" t="n">
        <x:f>IFERROR($N371/60*Ayarlar!$B$8,0)</x:f>
        <x:v>0</x:v>
      </x:c>
      <x:c r="V371" s="83" t="n">
        <x:f>IF($B371&lt;&gt;"",Ayarlar!$B$12+($Q371/60*Ayarlar!$B$9),0)</x:f>
        <x:v>0</x:v>
      </x:c>
      <x:c r="W371" s="83" t="n">
        <x:f>IF($B371&lt;&gt;"",SUM($T371:$V371,$R371:$S371),0)</x:f>
        <x:v>0</x:v>
      </x:c>
      <x:c r="X371" s="83" t="n">
        <x:f>IF($B371&lt;&gt;"",$W371*Ayarlar!$B$15,0)</x:f>
        <x:v>0</x:v>
      </x:c>
      <x:c r="Y371" s="83" t="n">
        <x:f>IF($B371&lt;&gt;"",($W371+$X371)*Ayarlar!$B$13,0)</x:f>
        <x:v>0</x:v>
      </x:c>
      <x:c r="Z371" s="83" t="n">
        <x:f>IF($B371&lt;&gt;"",($W371+$X371+$Y371)*Ayarlar!$B$14,0)</x:f>
        <x:v>0</x:v>
      </x:c>
      <x:c r="AA371" s="83" t="str">
        <x:f>IF($B371="","",IF(OR($K371="",$N371=""),"",CEILING($W371+$X371+$Y371+$Z371,Ayarlar!$B$16)))</x:f>
      </x:c>
      <x:c r="AB371" s="83" t="str">
        <x:f>IFERROR($AA371/$H371,"")</x:f>
      </x:c>
      <x:c r="AC371" s="75" t="str">
        <x:f>IF($B371="","",IF(OR($K371="",$N371=""),"Veri Eksik","Fiyat Hazır"))</x:f>
      </x:c>
      <x:c r="AD371" s="75" t="str">
        <x:f>IF($C371&lt;&gt;"","MW-"&amp;$C371,"")</x:f>
        <x:v>MW-80</x:v>
      </x:c>
      <x:c r="AE371" s="75" t="str">
        <x:f>IF($G371&lt;&gt;"","3D Baskı / "&amp;$G371,"3D Baskı")</x:f>
        <x:v>3D Baskı</x:v>
      </x:c>
      <x:c r="AF371" s="75" t="str">
        <x:f>IF($D371&lt;&gt;"",$D371&amp;" - "&amp;$G371,$AD371&amp;" - "&amp;$G371)</x:f>
        <x:v>MW-80 - </x:v>
      </x:c>
      <x:c r="AG371" s="75" t="str"/>
    </x:row>
    <x:row r="372">
      <x:c r="A372" s="75" t="str">
        <x:f>IF($B372&lt;&gt;"",ROW()-4,"")</x:f>
      </x:c>
      <x:c r="B372" s="75" t="str"/>
      <x:c r="C372" s="75" t="n">
        <x:f>IFERROR(LET(x,MID($B372,FIND("/models/",$B372)+8,80),y,LEFT(x,FIND("-",x&amp;"-")-1),LEFT(y,FIND("?",y&amp;"?")-1)),"")</x:f>
        <x:v>80</x:v>
      </x:c>
      <x:c r="D372" s="75" t="str">
        <x:f>IF($B372="","",IFERROR(XLOOKUP($C372,MakerWorld_Verileri!$A:$A,MakerWorld_Verileri!$B:$B,""),""))</x:f>
      </x:c>
      <x:c r="E372" s="75" t="str">
        <x:f>IF($B372="","",IFERROR(XLOOKUP($C372,MakerWorld_Verileri!$A:$A,MakerWorld_Verileri!$C:$C,""),""))</x:f>
      </x:c>
      <x:c r="F372" s="75" t="str"/>
      <x:c r="G372" s="75" t="str">
        <x:f>IF($B372&lt;&gt;"",Ayarlar!$B$7,"")</x:f>
      </x:c>
      <x:c r="H372" s="82" t="str">
        <x:f>IF($B372&lt;&gt;"",1,"")</x:f>
      </x:c>
      <x:c r="I372" s="82" t="str">
        <x:f>IF($B372="","",IFERROR(XLOOKUP($C372,MakerWorld_Verileri!$A:$A,MakerWorld_Verileri!$D:$D,""),""))</x:f>
      </x:c>
      <x:c r="J372" s="82" t="str"/>
      <x:c r="K372" s="82" t="str">
        <x:f>IF($I372&lt;&gt;"",$I372,$J372)</x:f>
      </x:c>
      <x:c r="L372" s="82" t="str">
        <x:f>IF($B372="","",IFERROR(XLOOKUP($C372,MakerWorld_Verileri!$A:$A,MakerWorld_Verileri!$E:$E,""),""))</x:f>
      </x:c>
      <x:c r="M372" s="82" t="str"/>
      <x:c r="N372" s="82" t="str">
        <x:f>IF($L372&lt;&gt;"",$L372,$M372)</x:f>
      </x:c>
      <x:c r="O372" s="82" t="str">
        <x:f>IF($B372&lt;&gt;"",0,"")</x:f>
      </x:c>
      <x:c r="P372" s="75" t="str">
        <x:f>IF($B372&lt;&gt;"","Orta","")</x:f>
      </x:c>
      <x:c r="Q372" s="82" t="str">
        <x:f>IF($B372&lt;&gt;"",10,"")</x:f>
      </x:c>
      <x:c r="R372" s="83" t="str">
        <x:f>IF($B372&lt;&gt;"",Ayarlar!$B$10,"")</x:f>
      </x:c>
      <x:c r="S372" s="83" t="str">
        <x:f>IF($B372&lt;&gt;"",0,"")</x:f>
      </x:c>
      <x:c r="T372" s="83" t="n">
        <x:f>IFERROR(($K372+$O372)*XLOOKUP($G372,Ayarlar!$A$19:$A$28,Ayarlar!$C$19:$C$28,0)*(1+Ayarlar!$B$11),0)</x:f>
        <x:v>0</x:v>
      </x:c>
      <x:c r="U372" s="83" t="n">
        <x:f>IFERROR($N372/60*Ayarlar!$B$8,0)</x:f>
        <x:v>0</x:v>
      </x:c>
      <x:c r="V372" s="83" t="n">
        <x:f>IF($B372&lt;&gt;"",Ayarlar!$B$12+($Q372/60*Ayarlar!$B$9),0)</x:f>
        <x:v>0</x:v>
      </x:c>
      <x:c r="W372" s="83" t="n">
        <x:f>IF($B372&lt;&gt;"",SUM($T372:$V372,$R372:$S372),0)</x:f>
        <x:v>0</x:v>
      </x:c>
      <x:c r="X372" s="83" t="n">
        <x:f>IF($B372&lt;&gt;"",$W372*Ayarlar!$B$15,0)</x:f>
        <x:v>0</x:v>
      </x:c>
      <x:c r="Y372" s="83" t="n">
        <x:f>IF($B372&lt;&gt;"",($W372+$X372)*Ayarlar!$B$13,0)</x:f>
        <x:v>0</x:v>
      </x:c>
      <x:c r="Z372" s="83" t="n">
        <x:f>IF($B372&lt;&gt;"",($W372+$X372+$Y372)*Ayarlar!$B$14,0)</x:f>
        <x:v>0</x:v>
      </x:c>
      <x:c r="AA372" s="83" t="str">
        <x:f>IF($B372="","",IF(OR($K372="",$N372=""),"",CEILING($W372+$X372+$Y372+$Z372,Ayarlar!$B$16)))</x:f>
      </x:c>
      <x:c r="AB372" s="83" t="str">
        <x:f>IFERROR($AA372/$H372,"")</x:f>
      </x:c>
      <x:c r="AC372" s="75" t="str">
        <x:f>IF($B372="","",IF(OR($K372="",$N372=""),"Veri Eksik","Fiyat Hazır"))</x:f>
      </x:c>
      <x:c r="AD372" s="75" t="str">
        <x:f>IF($C372&lt;&gt;"","MW-"&amp;$C372,"")</x:f>
        <x:v>MW-80</x:v>
      </x:c>
      <x:c r="AE372" s="75" t="str">
        <x:f>IF($G372&lt;&gt;"","3D Baskı / "&amp;$G372,"3D Baskı")</x:f>
        <x:v>3D Baskı</x:v>
      </x:c>
      <x:c r="AF372" s="75" t="str">
        <x:f>IF($D372&lt;&gt;"",$D372&amp;" - "&amp;$G372,$AD372&amp;" - "&amp;$G372)</x:f>
        <x:v>MW-80 - </x:v>
      </x:c>
      <x:c r="AG372" s="75" t="str"/>
    </x:row>
    <x:row r="373">
      <x:c r="A373" s="75" t="str">
        <x:f>IF($B373&lt;&gt;"",ROW()-4,"")</x:f>
      </x:c>
      <x:c r="B373" s="75" t="str"/>
      <x:c r="C373" s="75" t="n">
        <x:f>IFERROR(LET(x,MID($B373,FIND("/models/",$B373)+8,80),y,LEFT(x,FIND("-",x&amp;"-")-1),LEFT(y,FIND("?",y&amp;"?")-1)),"")</x:f>
        <x:v>80</x:v>
      </x:c>
      <x:c r="D373" s="75" t="str">
        <x:f>IF($B373="","",IFERROR(XLOOKUP($C373,MakerWorld_Verileri!$A:$A,MakerWorld_Verileri!$B:$B,""),""))</x:f>
      </x:c>
      <x:c r="E373" s="75" t="str">
        <x:f>IF($B373="","",IFERROR(XLOOKUP($C373,MakerWorld_Verileri!$A:$A,MakerWorld_Verileri!$C:$C,""),""))</x:f>
      </x:c>
      <x:c r="F373" s="75" t="str"/>
      <x:c r="G373" s="75" t="str">
        <x:f>IF($B373&lt;&gt;"",Ayarlar!$B$7,"")</x:f>
      </x:c>
      <x:c r="H373" s="82" t="str">
        <x:f>IF($B373&lt;&gt;"",1,"")</x:f>
      </x:c>
      <x:c r="I373" s="82" t="str">
        <x:f>IF($B373="","",IFERROR(XLOOKUP($C373,MakerWorld_Verileri!$A:$A,MakerWorld_Verileri!$D:$D,""),""))</x:f>
      </x:c>
      <x:c r="J373" s="82" t="str"/>
      <x:c r="K373" s="82" t="str">
        <x:f>IF($I373&lt;&gt;"",$I373,$J373)</x:f>
      </x:c>
      <x:c r="L373" s="82" t="str">
        <x:f>IF($B373="","",IFERROR(XLOOKUP($C373,MakerWorld_Verileri!$A:$A,MakerWorld_Verileri!$E:$E,""),""))</x:f>
      </x:c>
      <x:c r="M373" s="82" t="str"/>
      <x:c r="N373" s="82" t="str">
        <x:f>IF($L373&lt;&gt;"",$L373,$M373)</x:f>
      </x:c>
      <x:c r="O373" s="82" t="str">
        <x:f>IF($B373&lt;&gt;"",0,"")</x:f>
      </x:c>
      <x:c r="P373" s="75" t="str">
        <x:f>IF($B373&lt;&gt;"","Orta","")</x:f>
      </x:c>
      <x:c r="Q373" s="82" t="str">
        <x:f>IF($B373&lt;&gt;"",10,"")</x:f>
      </x:c>
      <x:c r="R373" s="83" t="str">
        <x:f>IF($B373&lt;&gt;"",Ayarlar!$B$10,"")</x:f>
      </x:c>
      <x:c r="S373" s="83" t="str">
        <x:f>IF($B373&lt;&gt;"",0,"")</x:f>
      </x:c>
      <x:c r="T373" s="83" t="n">
        <x:f>IFERROR(($K373+$O373)*XLOOKUP($G373,Ayarlar!$A$19:$A$28,Ayarlar!$C$19:$C$28,0)*(1+Ayarlar!$B$11),0)</x:f>
        <x:v>0</x:v>
      </x:c>
      <x:c r="U373" s="83" t="n">
        <x:f>IFERROR($N373/60*Ayarlar!$B$8,0)</x:f>
        <x:v>0</x:v>
      </x:c>
      <x:c r="V373" s="83" t="n">
        <x:f>IF($B373&lt;&gt;"",Ayarlar!$B$12+($Q373/60*Ayarlar!$B$9),0)</x:f>
        <x:v>0</x:v>
      </x:c>
      <x:c r="W373" s="83" t="n">
        <x:f>IF($B373&lt;&gt;"",SUM($T373:$V373,$R373:$S373),0)</x:f>
        <x:v>0</x:v>
      </x:c>
      <x:c r="X373" s="83" t="n">
        <x:f>IF($B373&lt;&gt;"",$W373*Ayarlar!$B$15,0)</x:f>
        <x:v>0</x:v>
      </x:c>
      <x:c r="Y373" s="83" t="n">
        <x:f>IF($B373&lt;&gt;"",($W373+$X373)*Ayarlar!$B$13,0)</x:f>
        <x:v>0</x:v>
      </x:c>
      <x:c r="Z373" s="83" t="n">
        <x:f>IF($B373&lt;&gt;"",($W373+$X373+$Y373)*Ayarlar!$B$14,0)</x:f>
        <x:v>0</x:v>
      </x:c>
      <x:c r="AA373" s="83" t="str">
        <x:f>IF($B373="","",IF(OR($K373="",$N373=""),"",CEILING($W373+$X373+$Y373+$Z373,Ayarlar!$B$16)))</x:f>
      </x:c>
      <x:c r="AB373" s="83" t="str">
        <x:f>IFERROR($AA373/$H373,"")</x:f>
      </x:c>
      <x:c r="AC373" s="75" t="str">
        <x:f>IF($B373="","",IF(OR($K373="",$N373=""),"Veri Eksik","Fiyat Hazır"))</x:f>
      </x:c>
      <x:c r="AD373" s="75" t="str">
        <x:f>IF($C373&lt;&gt;"","MW-"&amp;$C373,"")</x:f>
        <x:v>MW-80</x:v>
      </x:c>
      <x:c r="AE373" s="75" t="str">
        <x:f>IF($G373&lt;&gt;"","3D Baskı / "&amp;$G373,"3D Baskı")</x:f>
        <x:v>3D Baskı</x:v>
      </x:c>
      <x:c r="AF373" s="75" t="str">
        <x:f>IF($D373&lt;&gt;"",$D373&amp;" - "&amp;$G373,$AD373&amp;" - "&amp;$G373)</x:f>
        <x:v>MW-80 - </x:v>
      </x:c>
      <x:c r="AG373" s="75" t="str"/>
    </x:row>
    <x:row r="374">
      <x:c r="A374" s="75" t="str">
        <x:f>IF($B374&lt;&gt;"",ROW()-4,"")</x:f>
      </x:c>
      <x:c r="B374" s="75" t="str"/>
      <x:c r="C374" s="75" t="n">
        <x:f>IFERROR(LET(x,MID($B374,FIND("/models/",$B374)+8,80),y,LEFT(x,FIND("-",x&amp;"-")-1),LEFT(y,FIND("?",y&amp;"?")-1)),"")</x:f>
        <x:v>80</x:v>
      </x:c>
      <x:c r="D374" s="75" t="str">
        <x:f>IF($B374="","",IFERROR(XLOOKUP($C374,MakerWorld_Verileri!$A:$A,MakerWorld_Verileri!$B:$B,""),""))</x:f>
      </x:c>
      <x:c r="E374" s="75" t="str">
        <x:f>IF($B374="","",IFERROR(XLOOKUP($C374,MakerWorld_Verileri!$A:$A,MakerWorld_Verileri!$C:$C,""),""))</x:f>
      </x:c>
      <x:c r="F374" s="75" t="str"/>
      <x:c r="G374" s="75" t="str">
        <x:f>IF($B374&lt;&gt;"",Ayarlar!$B$7,"")</x:f>
      </x:c>
      <x:c r="H374" s="82" t="str">
        <x:f>IF($B374&lt;&gt;"",1,"")</x:f>
      </x:c>
      <x:c r="I374" s="82" t="str">
        <x:f>IF($B374="","",IFERROR(XLOOKUP($C374,MakerWorld_Verileri!$A:$A,MakerWorld_Verileri!$D:$D,""),""))</x:f>
      </x:c>
      <x:c r="J374" s="82" t="str"/>
      <x:c r="K374" s="82" t="str">
        <x:f>IF($I374&lt;&gt;"",$I374,$J374)</x:f>
      </x:c>
      <x:c r="L374" s="82" t="str">
        <x:f>IF($B374="","",IFERROR(XLOOKUP($C374,MakerWorld_Verileri!$A:$A,MakerWorld_Verileri!$E:$E,""),""))</x:f>
      </x:c>
      <x:c r="M374" s="82" t="str"/>
      <x:c r="N374" s="82" t="str">
        <x:f>IF($L374&lt;&gt;"",$L374,$M374)</x:f>
      </x:c>
      <x:c r="O374" s="82" t="str">
        <x:f>IF($B374&lt;&gt;"",0,"")</x:f>
      </x:c>
      <x:c r="P374" s="75" t="str">
        <x:f>IF($B374&lt;&gt;"","Orta","")</x:f>
      </x:c>
      <x:c r="Q374" s="82" t="str">
        <x:f>IF($B374&lt;&gt;"",10,"")</x:f>
      </x:c>
      <x:c r="R374" s="83" t="str">
        <x:f>IF($B374&lt;&gt;"",Ayarlar!$B$10,"")</x:f>
      </x:c>
      <x:c r="S374" s="83" t="str">
        <x:f>IF($B374&lt;&gt;"",0,"")</x:f>
      </x:c>
      <x:c r="T374" s="83" t="n">
        <x:f>IFERROR(($K374+$O374)*XLOOKUP($G374,Ayarlar!$A$19:$A$28,Ayarlar!$C$19:$C$28,0)*(1+Ayarlar!$B$11),0)</x:f>
        <x:v>0</x:v>
      </x:c>
      <x:c r="U374" s="83" t="n">
        <x:f>IFERROR($N374/60*Ayarlar!$B$8,0)</x:f>
        <x:v>0</x:v>
      </x:c>
      <x:c r="V374" s="83" t="n">
        <x:f>IF($B374&lt;&gt;"",Ayarlar!$B$12+($Q374/60*Ayarlar!$B$9),0)</x:f>
        <x:v>0</x:v>
      </x:c>
      <x:c r="W374" s="83" t="n">
        <x:f>IF($B374&lt;&gt;"",SUM($T374:$V374,$R374:$S374),0)</x:f>
        <x:v>0</x:v>
      </x:c>
      <x:c r="X374" s="83" t="n">
        <x:f>IF($B374&lt;&gt;"",$W374*Ayarlar!$B$15,0)</x:f>
        <x:v>0</x:v>
      </x:c>
      <x:c r="Y374" s="83" t="n">
        <x:f>IF($B374&lt;&gt;"",($W374+$X374)*Ayarlar!$B$13,0)</x:f>
        <x:v>0</x:v>
      </x:c>
      <x:c r="Z374" s="83" t="n">
        <x:f>IF($B374&lt;&gt;"",($W374+$X374+$Y374)*Ayarlar!$B$14,0)</x:f>
        <x:v>0</x:v>
      </x:c>
      <x:c r="AA374" s="83" t="str">
        <x:f>IF($B374="","",IF(OR($K374="",$N374=""),"",CEILING($W374+$X374+$Y374+$Z374,Ayarlar!$B$16)))</x:f>
      </x:c>
      <x:c r="AB374" s="83" t="str">
        <x:f>IFERROR($AA374/$H374,"")</x:f>
      </x:c>
      <x:c r="AC374" s="75" t="str">
        <x:f>IF($B374="","",IF(OR($K374="",$N374=""),"Veri Eksik","Fiyat Hazır"))</x:f>
      </x:c>
      <x:c r="AD374" s="75" t="str">
        <x:f>IF($C374&lt;&gt;"","MW-"&amp;$C374,"")</x:f>
        <x:v>MW-80</x:v>
      </x:c>
      <x:c r="AE374" s="75" t="str">
        <x:f>IF($G374&lt;&gt;"","3D Baskı / "&amp;$G374,"3D Baskı")</x:f>
        <x:v>3D Baskı</x:v>
      </x:c>
      <x:c r="AF374" s="75" t="str">
        <x:f>IF($D374&lt;&gt;"",$D374&amp;" - "&amp;$G374,$AD374&amp;" - "&amp;$G374)</x:f>
        <x:v>MW-80 - </x:v>
      </x:c>
      <x:c r="AG374" s="75" t="str"/>
    </x:row>
    <x:row r="375">
      <x:c r="A375" s="75" t="str">
        <x:f>IF($B375&lt;&gt;"",ROW()-4,"")</x:f>
      </x:c>
      <x:c r="B375" s="75" t="str"/>
      <x:c r="C375" s="75" t="n">
        <x:f>IFERROR(LET(x,MID($B375,FIND("/models/",$B375)+8,80),y,LEFT(x,FIND("-",x&amp;"-")-1),LEFT(y,FIND("?",y&amp;"?")-1)),"")</x:f>
        <x:v>80</x:v>
      </x:c>
      <x:c r="D375" s="75" t="str">
        <x:f>IF($B375="","",IFERROR(XLOOKUP($C375,MakerWorld_Verileri!$A:$A,MakerWorld_Verileri!$B:$B,""),""))</x:f>
      </x:c>
      <x:c r="E375" s="75" t="str">
        <x:f>IF($B375="","",IFERROR(XLOOKUP($C375,MakerWorld_Verileri!$A:$A,MakerWorld_Verileri!$C:$C,""),""))</x:f>
      </x:c>
      <x:c r="F375" s="75" t="str"/>
      <x:c r="G375" s="75" t="str">
        <x:f>IF($B375&lt;&gt;"",Ayarlar!$B$7,"")</x:f>
      </x:c>
      <x:c r="H375" s="82" t="str">
        <x:f>IF($B375&lt;&gt;"",1,"")</x:f>
      </x:c>
      <x:c r="I375" s="82" t="str">
        <x:f>IF($B375="","",IFERROR(XLOOKUP($C375,MakerWorld_Verileri!$A:$A,MakerWorld_Verileri!$D:$D,""),""))</x:f>
      </x:c>
      <x:c r="J375" s="82" t="str"/>
      <x:c r="K375" s="82" t="str">
        <x:f>IF($I375&lt;&gt;"",$I375,$J375)</x:f>
      </x:c>
      <x:c r="L375" s="82" t="str">
        <x:f>IF($B375="","",IFERROR(XLOOKUP($C375,MakerWorld_Verileri!$A:$A,MakerWorld_Verileri!$E:$E,""),""))</x:f>
      </x:c>
      <x:c r="M375" s="82" t="str"/>
      <x:c r="N375" s="82" t="str">
        <x:f>IF($L375&lt;&gt;"",$L375,$M375)</x:f>
      </x:c>
      <x:c r="O375" s="82" t="str">
        <x:f>IF($B375&lt;&gt;"",0,"")</x:f>
      </x:c>
      <x:c r="P375" s="75" t="str">
        <x:f>IF($B375&lt;&gt;"","Orta","")</x:f>
      </x:c>
      <x:c r="Q375" s="82" t="str">
        <x:f>IF($B375&lt;&gt;"",10,"")</x:f>
      </x:c>
      <x:c r="R375" s="83" t="str">
        <x:f>IF($B375&lt;&gt;"",Ayarlar!$B$10,"")</x:f>
      </x:c>
      <x:c r="S375" s="83" t="str">
        <x:f>IF($B375&lt;&gt;"",0,"")</x:f>
      </x:c>
      <x:c r="T375" s="83" t="n">
        <x:f>IFERROR(($K375+$O375)*XLOOKUP($G375,Ayarlar!$A$19:$A$28,Ayarlar!$C$19:$C$28,0)*(1+Ayarlar!$B$11),0)</x:f>
        <x:v>0</x:v>
      </x:c>
      <x:c r="U375" s="83" t="n">
        <x:f>IFERROR($N375/60*Ayarlar!$B$8,0)</x:f>
        <x:v>0</x:v>
      </x:c>
      <x:c r="V375" s="83" t="n">
        <x:f>IF($B375&lt;&gt;"",Ayarlar!$B$12+($Q375/60*Ayarlar!$B$9),0)</x:f>
        <x:v>0</x:v>
      </x:c>
      <x:c r="W375" s="83" t="n">
        <x:f>IF($B375&lt;&gt;"",SUM($T375:$V375,$R375:$S375),0)</x:f>
        <x:v>0</x:v>
      </x:c>
      <x:c r="X375" s="83" t="n">
        <x:f>IF($B375&lt;&gt;"",$W375*Ayarlar!$B$15,0)</x:f>
        <x:v>0</x:v>
      </x:c>
      <x:c r="Y375" s="83" t="n">
        <x:f>IF($B375&lt;&gt;"",($W375+$X375)*Ayarlar!$B$13,0)</x:f>
        <x:v>0</x:v>
      </x:c>
      <x:c r="Z375" s="83" t="n">
        <x:f>IF($B375&lt;&gt;"",($W375+$X375+$Y375)*Ayarlar!$B$14,0)</x:f>
        <x:v>0</x:v>
      </x:c>
      <x:c r="AA375" s="83" t="str">
        <x:f>IF($B375="","",IF(OR($K375="",$N375=""),"",CEILING($W375+$X375+$Y375+$Z375,Ayarlar!$B$16)))</x:f>
      </x:c>
      <x:c r="AB375" s="83" t="str">
        <x:f>IFERROR($AA375/$H375,"")</x:f>
      </x:c>
      <x:c r="AC375" s="75" t="str">
        <x:f>IF($B375="","",IF(OR($K375="",$N375=""),"Veri Eksik","Fiyat Hazır"))</x:f>
      </x:c>
      <x:c r="AD375" s="75" t="str">
        <x:f>IF($C375&lt;&gt;"","MW-"&amp;$C375,"")</x:f>
        <x:v>MW-80</x:v>
      </x:c>
      <x:c r="AE375" s="75" t="str">
        <x:f>IF($G375&lt;&gt;"","3D Baskı / "&amp;$G375,"3D Baskı")</x:f>
        <x:v>3D Baskı</x:v>
      </x:c>
      <x:c r="AF375" s="75" t="str">
        <x:f>IF($D375&lt;&gt;"",$D375&amp;" - "&amp;$G375,$AD375&amp;" - "&amp;$G375)</x:f>
        <x:v>MW-80 - </x:v>
      </x:c>
      <x:c r="AG375" s="75" t="str"/>
    </x:row>
    <x:row r="376">
      <x:c r="A376" s="75" t="str">
        <x:f>IF($B376&lt;&gt;"",ROW()-4,"")</x:f>
      </x:c>
      <x:c r="B376" s="75" t="str"/>
      <x:c r="C376" s="75" t="n">
        <x:f>IFERROR(LET(x,MID($B376,FIND("/models/",$B376)+8,80),y,LEFT(x,FIND("-",x&amp;"-")-1),LEFT(y,FIND("?",y&amp;"?")-1)),"")</x:f>
        <x:v>80</x:v>
      </x:c>
      <x:c r="D376" s="75" t="str">
        <x:f>IF($B376="","",IFERROR(XLOOKUP($C376,MakerWorld_Verileri!$A:$A,MakerWorld_Verileri!$B:$B,""),""))</x:f>
      </x:c>
      <x:c r="E376" s="75" t="str">
        <x:f>IF($B376="","",IFERROR(XLOOKUP($C376,MakerWorld_Verileri!$A:$A,MakerWorld_Verileri!$C:$C,""),""))</x:f>
      </x:c>
      <x:c r="F376" s="75" t="str"/>
      <x:c r="G376" s="75" t="str">
        <x:f>IF($B376&lt;&gt;"",Ayarlar!$B$7,"")</x:f>
      </x:c>
      <x:c r="H376" s="82" t="str">
        <x:f>IF($B376&lt;&gt;"",1,"")</x:f>
      </x:c>
      <x:c r="I376" s="82" t="str">
        <x:f>IF($B376="","",IFERROR(XLOOKUP($C376,MakerWorld_Verileri!$A:$A,MakerWorld_Verileri!$D:$D,""),""))</x:f>
      </x:c>
      <x:c r="J376" s="82" t="str"/>
      <x:c r="K376" s="82" t="str">
        <x:f>IF($I376&lt;&gt;"",$I376,$J376)</x:f>
      </x:c>
      <x:c r="L376" s="82" t="str">
        <x:f>IF($B376="","",IFERROR(XLOOKUP($C376,MakerWorld_Verileri!$A:$A,MakerWorld_Verileri!$E:$E,""),""))</x:f>
      </x:c>
      <x:c r="M376" s="82" t="str"/>
      <x:c r="N376" s="82" t="str">
        <x:f>IF($L376&lt;&gt;"",$L376,$M376)</x:f>
      </x:c>
      <x:c r="O376" s="82" t="str">
        <x:f>IF($B376&lt;&gt;"",0,"")</x:f>
      </x:c>
      <x:c r="P376" s="75" t="str">
        <x:f>IF($B376&lt;&gt;"","Orta","")</x:f>
      </x:c>
      <x:c r="Q376" s="82" t="str">
        <x:f>IF($B376&lt;&gt;"",10,"")</x:f>
      </x:c>
      <x:c r="R376" s="83" t="str">
        <x:f>IF($B376&lt;&gt;"",Ayarlar!$B$10,"")</x:f>
      </x:c>
      <x:c r="S376" s="83" t="str">
        <x:f>IF($B376&lt;&gt;"",0,"")</x:f>
      </x:c>
      <x:c r="T376" s="83" t="n">
        <x:f>IFERROR(($K376+$O376)*XLOOKUP($G376,Ayarlar!$A$19:$A$28,Ayarlar!$C$19:$C$28,0)*(1+Ayarlar!$B$11),0)</x:f>
        <x:v>0</x:v>
      </x:c>
      <x:c r="U376" s="83" t="n">
        <x:f>IFERROR($N376/60*Ayarlar!$B$8,0)</x:f>
        <x:v>0</x:v>
      </x:c>
      <x:c r="V376" s="83" t="n">
        <x:f>IF($B376&lt;&gt;"",Ayarlar!$B$12+($Q376/60*Ayarlar!$B$9),0)</x:f>
        <x:v>0</x:v>
      </x:c>
      <x:c r="W376" s="83" t="n">
        <x:f>IF($B376&lt;&gt;"",SUM($T376:$V376,$R376:$S376),0)</x:f>
        <x:v>0</x:v>
      </x:c>
      <x:c r="X376" s="83" t="n">
        <x:f>IF($B376&lt;&gt;"",$W376*Ayarlar!$B$15,0)</x:f>
        <x:v>0</x:v>
      </x:c>
      <x:c r="Y376" s="83" t="n">
        <x:f>IF($B376&lt;&gt;"",($W376+$X376)*Ayarlar!$B$13,0)</x:f>
        <x:v>0</x:v>
      </x:c>
      <x:c r="Z376" s="83" t="n">
        <x:f>IF($B376&lt;&gt;"",($W376+$X376+$Y376)*Ayarlar!$B$14,0)</x:f>
        <x:v>0</x:v>
      </x:c>
      <x:c r="AA376" s="83" t="str">
        <x:f>IF($B376="","",IF(OR($K376="",$N376=""),"",CEILING($W376+$X376+$Y376+$Z376,Ayarlar!$B$16)))</x:f>
      </x:c>
      <x:c r="AB376" s="83" t="str">
        <x:f>IFERROR($AA376/$H376,"")</x:f>
      </x:c>
      <x:c r="AC376" s="75" t="str">
        <x:f>IF($B376="","",IF(OR($K376="",$N376=""),"Veri Eksik","Fiyat Hazır"))</x:f>
      </x:c>
      <x:c r="AD376" s="75" t="str">
        <x:f>IF($C376&lt;&gt;"","MW-"&amp;$C376,"")</x:f>
        <x:v>MW-80</x:v>
      </x:c>
      <x:c r="AE376" s="75" t="str">
        <x:f>IF($G376&lt;&gt;"","3D Baskı / "&amp;$G376,"3D Baskı")</x:f>
        <x:v>3D Baskı</x:v>
      </x:c>
      <x:c r="AF376" s="75" t="str">
        <x:f>IF($D376&lt;&gt;"",$D376&amp;" - "&amp;$G376,$AD376&amp;" - "&amp;$G376)</x:f>
        <x:v>MW-80 - </x:v>
      </x:c>
      <x:c r="AG376" s="75" t="str"/>
    </x:row>
    <x:row r="377">
      <x:c r="A377" s="75" t="str">
        <x:f>IF($B377&lt;&gt;"",ROW()-4,"")</x:f>
      </x:c>
      <x:c r="B377" s="75" t="str"/>
      <x:c r="C377" s="75" t="n">
        <x:f>IFERROR(LET(x,MID($B377,FIND("/models/",$B377)+8,80),y,LEFT(x,FIND("-",x&amp;"-")-1),LEFT(y,FIND("?",y&amp;"?")-1)),"")</x:f>
        <x:v>80</x:v>
      </x:c>
      <x:c r="D377" s="75" t="str">
        <x:f>IF($B377="","",IFERROR(XLOOKUP($C377,MakerWorld_Verileri!$A:$A,MakerWorld_Verileri!$B:$B,""),""))</x:f>
      </x:c>
      <x:c r="E377" s="75" t="str">
        <x:f>IF($B377="","",IFERROR(XLOOKUP($C377,MakerWorld_Verileri!$A:$A,MakerWorld_Verileri!$C:$C,""),""))</x:f>
      </x:c>
      <x:c r="F377" s="75" t="str"/>
      <x:c r="G377" s="75" t="str">
        <x:f>IF($B377&lt;&gt;"",Ayarlar!$B$7,"")</x:f>
      </x:c>
      <x:c r="H377" s="82" t="str">
        <x:f>IF($B377&lt;&gt;"",1,"")</x:f>
      </x:c>
      <x:c r="I377" s="82" t="str">
        <x:f>IF($B377="","",IFERROR(XLOOKUP($C377,MakerWorld_Verileri!$A:$A,MakerWorld_Verileri!$D:$D,""),""))</x:f>
      </x:c>
      <x:c r="J377" s="82" t="str"/>
      <x:c r="K377" s="82" t="str">
        <x:f>IF($I377&lt;&gt;"",$I377,$J377)</x:f>
      </x:c>
      <x:c r="L377" s="82" t="str">
        <x:f>IF($B377="","",IFERROR(XLOOKUP($C377,MakerWorld_Verileri!$A:$A,MakerWorld_Verileri!$E:$E,""),""))</x:f>
      </x:c>
      <x:c r="M377" s="82" t="str"/>
      <x:c r="N377" s="82" t="str">
        <x:f>IF($L377&lt;&gt;"",$L377,$M377)</x:f>
      </x:c>
      <x:c r="O377" s="82" t="str">
        <x:f>IF($B377&lt;&gt;"",0,"")</x:f>
      </x:c>
      <x:c r="P377" s="75" t="str">
        <x:f>IF($B377&lt;&gt;"","Orta","")</x:f>
      </x:c>
      <x:c r="Q377" s="82" t="str">
        <x:f>IF($B377&lt;&gt;"",10,"")</x:f>
      </x:c>
      <x:c r="R377" s="83" t="str">
        <x:f>IF($B377&lt;&gt;"",Ayarlar!$B$10,"")</x:f>
      </x:c>
      <x:c r="S377" s="83" t="str">
        <x:f>IF($B377&lt;&gt;"",0,"")</x:f>
      </x:c>
      <x:c r="T377" s="83" t="n">
        <x:f>IFERROR(($K377+$O377)*XLOOKUP($G377,Ayarlar!$A$19:$A$28,Ayarlar!$C$19:$C$28,0)*(1+Ayarlar!$B$11),0)</x:f>
        <x:v>0</x:v>
      </x:c>
      <x:c r="U377" s="83" t="n">
        <x:f>IFERROR($N377/60*Ayarlar!$B$8,0)</x:f>
        <x:v>0</x:v>
      </x:c>
      <x:c r="V377" s="83" t="n">
        <x:f>IF($B377&lt;&gt;"",Ayarlar!$B$12+($Q377/60*Ayarlar!$B$9),0)</x:f>
        <x:v>0</x:v>
      </x:c>
      <x:c r="W377" s="83" t="n">
        <x:f>IF($B377&lt;&gt;"",SUM($T377:$V377,$R377:$S377),0)</x:f>
        <x:v>0</x:v>
      </x:c>
      <x:c r="X377" s="83" t="n">
        <x:f>IF($B377&lt;&gt;"",$W377*Ayarlar!$B$15,0)</x:f>
        <x:v>0</x:v>
      </x:c>
      <x:c r="Y377" s="83" t="n">
        <x:f>IF($B377&lt;&gt;"",($W377+$X377)*Ayarlar!$B$13,0)</x:f>
        <x:v>0</x:v>
      </x:c>
      <x:c r="Z377" s="83" t="n">
        <x:f>IF($B377&lt;&gt;"",($W377+$X377+$Y377)*Ayarlar!$B$14,0)</x:f>
        <x:v>0</x:v>
      </x:c>
      <x:c r="AA377" s="83" t="str">
        <x:f>IF($B377="","",IF(OR($K377="",$N377=""),"",CEILING($W377+$X377+$Y377+$Z377,Ayarlar!$B$16)))</x:f>
      </x:c>
      <x:c r="AB377" s="83" t="str">
        <x:f>IFERROR($AA377/$H377,"")</x:f>
      </x:c>
      <x:c r="AC377" s="75" t="str">
        <x:f>IF($B377="","",IF(OR($K377="",$N377=""),"Veri Eksik","Fiyat Hazır"))</x:f>
      </x:c>
      <x:c r="AD377" s="75" t="str">
        <x:f>IF($C377&lt;&gt;"","MW-"&amp;$C377,"")</x:f>
        <x:v>MW-80</x:v>
      </x:c>
      <x:c r="AE377" s="75" t="str">
        <x:f>IF($G377&lt;&gt;"","3D Baskı / "&amp;$G377,"3D Baskı")</x:f>
        <x:v>3D Baskı</x:v>
      </x:c>
      <x:c r="AF377" s="75" t="str">
        <x:f>IF($D377&lt;&gt;"",$D377&amp;" - "&amp;$G377,$AD377&amp;" - "&amp;$G377)</x:f>
        <x:v>MW-80 - </x:v>
      </x:c>
      <x:c r="AG377" s="75" t="str"/>
    </x:row>
    <x:row r="378">
      <x:c r="A378" s="75" t="str">
        <x:f>IF($B378&lt;&gt;"",ROW()-4,"")</x:f>
      </x:c>
      <x:c r="B378" s="75" t="str"/>
      <x:c r="C378" s="75" t="n">
        <x:f>IFERROR(LET(x,MID($B378,FIND("/models/",$B378)+8,80),y,LEFT(x,FIND("-",x&amp;"-")-1),LEFT(y,FIND("?",y&amp;"?")-1)),"")</x:f>
        <x:v>80</x:v>
      </x:c>
      <x:c r="D378" s="75" t="str">
        <x:f>IF($B378="","",IFERROR(XLOOKUP($C378,MakerWorld_Verileri!$A:$A,MakerWorld_Verileri!$B:$B,""),""))</x:f>
      </x:c>
      <x:c r="E378" s="75" t="str">
        <x:f>IF($B378="","",IFERROR(XLOOKUP($C378,MakerWorld_Verileri!$A:$A,MakerWorld_Verileri!$C:$C,""),""))</x:f>
      </x:c>
      <x:c r="F378" s="75" t="str"/>
      <x:c r="G378" s="75" t="str">
        <x:f>IF($B378&lt;&gt;"",Ayarlar!$B$7,"")</x:f>
      </x:c>
      <x:c r="H378" s="82" t="str">
        <x:f>IF($B378&lt;&gt;"",1,"")</x:f>
      </x:c>
      <x:c r="I378" s="82" t="str">
        <x:f>IF($B378="","",IFERROR(XLOOKUP($C378,MakerWorld_Verileri!$A:$A,MakerWorld_Verileri!$D:$D,""),""))</x:f>
      </x:c>
      <x:c r="J378" s="82" t="str"/>
      <x:c r="K378" s="82" t="str">
        <x:f>IF($I378&lt;&gt;"",$I378,$J378)</x:f>
      </x:c>
      <x:c r="L378" s="82" t="str">
        <x:f>IF($B378="","",IFERROR(XLOOKUP($C378,MakerWorld_Verileri!$A:$A,MakerWorld_Verileri!$E:$E,""),""))</x:f>
      </x:c>
      <x:c r="M378" s="82" t="str"/>
      <x:c r="N378" s="82" t="str">
        <x:f>IF($L378&lt;&gt;"",$L378,$M378)</x:f>
      </x:c>
      <x:c r="O378" s="82" t="str">
        <x:f>IF($B378&lt;&gt;"",0,"")</x:f>
      </x:c>
      <x:c r="P378" s="75" t="str">
        <x:f>IF($B378&lt;&gt;"","Orta","")</x:f>
      </x:c>
      <x:c r="Q378" s="82" t="str">
        <x:f>IF($B378&lt;&gt;"",10,"")</x:f>
      </x:c>
      <x:c r="R378" s="83" t="str">
        <x:f>IF($B378&lt;&gt;"",Ayarlar!$B$10,"")</x:f>
      </x:c>
      <x:c r="S378" s="83" t="str">
        <x:f>IF($B378&lt;&gt;"",0,"")</x:f>
      </x:c>
      <x:c r="T378" s="83" t="n">
        <x:f>IFERROR(($K378+$O378)*XLOOKUP($G378,Ayarlar!$A$19:$A$28,Ayarlar!$C$19:$C$28,0)*(1+Ayarlar!$B$11),0)</x:f>
        <x:v>0</x:v>
      </x:c>
      <x:c r="U378" s="83" t="n">
        <x:f>IFERROR($N378/60*Ayarlar!$B$8,0)</x:f>
        <x:v>0</x:v>
      </x:c>
      <x:c r="V378" s="83" t="n">
        <x:f>IF($B378&lt;&gt;"",Ayarlar!$B$12+($Q378/60*Ayarlar!$B$9),0)</x:f>
        <x:v>0</x:v>
      </x:c>
      <x:c r="W378" s="83" t="n">
        <x:f>IF($B378&lt;&gt;"",SUM($T378:$V378,$R378:$S378),0)</x:f>
        <x:v>0</x:v>
      </x:c>
      <x:c r="X378" s="83" t="n">
        <x:f>IF($B378&lt;&gt;"",$W378*Ayarlar!$B$15,0)</x:f>
        <x:v>0</x:v>
      </x:c>
      <x:c r="Y378" s="83" t="n">
        <x:f>IF($B378&lt;&gt;"",($W378+$X378)*Ayarlar!$B$13,0)</x:f>
        <x:v>0</x:v>
      </x:c>
      <x:c r="Z378" s="83" t="n">
        <x:f>IF($B378&lt;&gt;"",($W378+$X378+$Y378)*Ayarlar!$B$14,0)</x:f>
        <x:v>0</x:v>
      </x:c>
      <x:c r="AA378" s="83" t="str">
        <x:f>IF($B378="","",IF(OR($K378="",$N378=""),"",CEILING($W378+$X378+$Y378+$Z378,Ayarlar!$B$16)))</x:f>
      </x:c>
      <x:c r="AB378" s="83" t="str">
        <x:f>IFERROR($AA378/$H378,"")</x:f>
      </x:c>
      <x:c r="AC378" s="75" t="str">
        <x:f>IF($B378="","",IF(OR($K378="",$N378=""),"Veri Eksik","Fiyat Hazır"))</x:f>
      </x:c>
      <x:c r="AD378" s="75" t="str">
        <x:f>IF($C378&lt;&gt;"","MW-"&amp;$C378,"")</x:f>
        <x:v>MW-80</x:v>
      </x:c>
      <x:c r="AE378" s="75" t="str">
        <x:f>IF($G378&lt;&gt;"","3D Baskı / "&amp;$G378,"3D Baskı")</x:f>
        <x:v>3D Baskı</x:v>
      </x:c>
      <x:c r="AF378" s="75" t="str">
        <x:f>IF($D378&lt;&gt;"",$D378&amp;" - "&amp;$G378,$AD378&amp;" - "&amp;$G378)</x:f>
        <x:v>MW-80 - </x:v>
      </x:c>
      <x:c r="AG378" s="75" t="str"/>
    </x:row>
    <x:row r="379">
      <x:c r="A379" s="75" t="str">
        <x:f>IF($B379&lt;&gt;"",ROW()-4,"")</x:f>
      </x:c>
      <x:c r="B379" s="75" t="str"/>
      <x:c r="C379" s="75" t="n">
        <x:f>IFERROR(LET(x,MID($B379,FIND("/models/",$B379)+8,80),y,LEFT(x,FIND("-",x&amp;"-")-1),LEFT(y,FIND("?",y&amp;"?")-1)),"")</x:f>
        <x:v>80</x:v>
      </x:c>
      <x:c r="D379" s="75" t="str">
        <x:f>IF($B379="","",IFERROR(XLOOKUP($C379,MakerWorld_Verileri!$A:$A,MakerWorld_Verileri!$B:$B,""),""))</x:f>
      </x:c>
      <x:c r="E379" s="75" t="str">
        <x:f>IF($B379="","",IFERROR(XLOOKUP($C379,MakerWorld_Verileri!$A:$A,MakerWorld_Verileri!$C:$C,""),""))</x:f>
      </x:c>
      <x:c r="F379" s="75" t="str"/>
      <x:c r="G379" s="75" t="str">
        <x:f>IF($B379&lt;&gt;"",Ayarlar!$B$7,"")</x:f>
      </x:c>
      <x:c r="H379" s="82" t="str">
        <x:f>IF($B379&lt;&gt;"",1,"")</x:f>
      </x:c>
      <x:c r="I379" s="82" t="str">
        <x:f>IF($B379="","",IFERROR(XLOOKUP($C379,MakerWorld_Verileri!$A:$A,MakerWorld_Verileri!$D:$D,""),""))</x:f>
      </x:c>
      <x:c r="J379" s="82" t="str"/>
      <x:c r="K379" s="82" t="str">
        <x:f>IF($I379&lt;&gt;"",$I379,$J379)</x:f>
      </x:c>
      <x:c r="L379" s="82" t="str">
        <x:f>IF($B379="","",IFERROR(XLOOKUP($C379,MakerWorld_Verileri!$A:$A,MakerWorld_Verileri!$E:$E,""),""))</x:f>
      </x:c>
      <x:c r="M379" s="82" t="str"/>
      <x:c r="N379" s="82" t="str">
        <x:f>IF($L379&lt;&gt;"",$L379,$M379)</x:f>
      </x:c>
      <x:c r="O379" s="82" t="str">
        <x:f>IF($B379&lt;&gt;"",0,"")</x:f>
      </x:c>
      <x:c r="P379" s="75" t="str">
        <x:f>IF($B379&lt;&gt;"","Orta","")</x:f>
      </x:c>
      <x:c r="Q379" s="82" t="str">
        <x:f>IF($B379&lt;&gt;"",10,"")</x:f>
      </x:c>
      <x:c r="R379" s="83" t="str">
        <x:f>IF($B379&lt;&gt;"",Ayarlar!$B$10,"")</x:f>
      </x:c>
      <x:c r="S379" s="83" t="str">
        <x:f>IF($B379&lt;&gt;"",0,"")</x:f>
      </x:c>
      <x:c r="T379" s="83" t="n">
        <x:f>IFERROR(($K379+$O379)*XLOOKUP($G379,Ayarlar!$A$19:$A$28,Ayarlar!$C$19:$C$28,0)*(1+Ayarlar!$B$11),0)</x:f>
        <x:v>0</x:v>
      </x:c>
      <x:c r="U379" s="83" t="n">
        <x:f>IFERROR($N379/60*Ayarlar!$B$8,0)</x:f>
        <x:v>0</x:v>
      </x:c>
      <x:c r="V379" s="83" t="n">
        <x:f>IF($B379&lt;&gt;"",Ayarlar!$B$12+($Q379/60*Ayarlar!$B$9),0)</x:f>
        <x:v>0</x:v>
      </x:c>
      <x:c r="W379" s="83" t="n">
        <x:f>IF($B379&lt;&gt;"",SUM($T379:$V379,$R379:$S379),0)</x:f>
        <x:v>0</x:v>
      </x:c>
      <x:c r="X379" s="83" t="n">
        <x:f>IF($B379&lt;&gt;"",$W379*Ayarlar!$B$15,0)</x:f>
        <x:v>0</x:v>
      </x:c>
      <x:c r="Y379" s="83" t="n">
        <x:f>IF($B379&lt;&gt;"",($W379+$X379)*Ayarlar!$B$13,0)</x:f>
        <x:v>0</x:v>
      </x:c>
      <x:c r="Z379" s="83" t="n">
        <x:f>IF($B379&lt;&gt;"",($W379+$X379+$Y379)*Ayarlar!$B$14,0)</x:f>
        <x:v>0</x:v>
      </x:c>
      <x:c r="AA379" s="83" t="str">
        <x:f>IF($B379="","",IF(OR($K379="",$N379=""),"",CEILING($W379+$X379+$Y379+$Z379,Ayarlar!$B$16)))</x:f>
      </x:c>
      <x:c r="AB379" s="83" t="str">
        <x:f>IFERROR($AA379/$H379,"")</x:f>
      </x:c>
      <x:c r="AC379" s="75" t="str">
        <x:f>IF($B379="","",IF(OR($K379="",$N379=""),"Veri Eksik","Fiyat Hazır"))</x:f>
      </x:c>
      <x:c r="AD379" s="75" t="str">
        <x:f>IF($C379&lt;&gt;"","MW-"&amp;$C379,"")</x:f>
        <x:v>MW-80</x:v>
      </x:c>
      <x:c r="AE379" s="75" t="str">
        <x:f>IF($G379&lt;&gt;"","3D Baskı / "&amp;$G379,"3D Baskı")</x:f>
        <x:v>3D Baskı</x:v>
      </x:c>
      <x:c r="AF379" s="75" t="str">
        <x:f>IF($D379&lt;&gt;"",$D379&amp;" - "&amp;$G379,$AD379&amp;" - "&amp;$G379)</x:f>
        <x:v>MW-80 - </x:v>
      </x:c>
      <x:c r="AG379" s="75" t="str"/>
    </x:row>
    <x:row r="380">
      <x:c r="A380" s="75" t="str">
        <x:f>IF($B380&lt;&gt;"",ROW()-4,"")</x:f>
      </x:c>
      <x:c r="B380" s="75" t="str"/>
      <x:c r="C380" s="75" t="n">
        <x:f>IFERROR(LET(x,MID($B380,FIND("/models/",$B380)+8,80),y,LEFT(x,FIND("-",x&amp;"-")-1),LEFT(y,FIND("?",y&amp;"?")-1)),"")</x:f>
        <x:v>80</x:v>
      </x:c>
      <x:c r="D380" s="75" t="str">
        <x:f>IF($B380="","",IFERROR(XLOOKUP($C380,MakerWorld_Verileri!$A:$A,MakerWorld_Verileri!$B:$B,""),""))</x:f>
      </x:c>
      <x:c r="E380" s="75" t="str">
        <x:f>IF($B380="","",IFERROR(XLOOKUP($C380,MakerWorld_Verileri!$A:$A,MakerWorld_Verileri!$C:$C,""),""))</x:f>
      </x:c>
      <x:c r="F380" s="75" t="str"/>
      <x:c r="G380" s="75" t="str">
        <x:f>IF($B380&lt;&gt;"",Ayarlar!$B$7,"")</x:f>
      </x:c>
      <x:c r="H380" s="82" t="str">
        <x:f>IF($B380&lt;&gt;"",1,"")</x:f>
      </x:c>
      <x:c r="I380" s="82" t="str">
        <x:f>IF($B380="","",IFERROR(XLOOKUP($C380,MakerWorld_Verileri!$A:$A,MakerWorld_Verileri!$D:$D,""),""))</x:f>
      </x:c>
      <x:c r="J380" s="82" t="str"/>
      <x:c r="K380" s="82" t="str">
        <x:f>IF($I380&lt;&gt;"",$I380,$J380)</x:f>
      </x:c>
      <x:c r="L380" s="82" t="str">
        <x:f>IF($B380="","",IFERROR(XLOOKUP($C380,MakerWorld_Verileri!$A:$A,MakerWorld_Verileri!$E:$E,""),""))</x:f>
      </x:c>
      <x:c r="M380" s="82" t="str"/>
      <x:c r="N380" s="82" t="str">
        <x:f>IF($L380&lt;&gt;"",$L380,$M380)</x:f>
      </x:c>
      <x:c r="O380" s="82" t="str">
        <x:f>IF($B380&lt;&gt;"",0,"")</x:f>
      </x:c>
      <x:c r="P380" s="75" t="str">
        <x:f>IF($B380&lt;&gt;"","Orta","")</x:f>
      </x:c>
      <x:c r="Q380" s="82" t="str">
        <x:f>IF($B380&lt;&gt;"",10,"")</x:f>
      </x:c>
      <x:c r="R380" s="83" t="str">
        <x:f>IF($B380&lt;&gt;"",Ayarlar!$B$10,"")</x:f>
      </x:c>
      <x:c r="S380" s="83" t="str">
        <x:f>IF($B380&lt;&gt;"",0,"")</x:f>
      </x:c>
      <x:c r="T380" s="83" t="n">
        <x:f>IFERROR(($K380+$O380)*XLOOKUP($G380,Ayarlar!$A$19:$A$28,Ayarlar!$C$19:$C$28,0)*(1+Ayarlar!$B$11),0)</x:f>
        <x:v>0</x:v>
      </x:c>
      <x:c r="U380" s="83" t="n">
        <x:f>IFERROR($N380/60*Ayarlar!$B$8,0)</x:f>
        <x:v>0</x:v>
      </x:c>
      <x:c r="V380" s="83" t="n">
        <x:f>IF($B380&lt;&gt;"",Ayarlar!$B$12+($Q380/60*Ayarlar!$B$9),0)</x:f>
        <x:v>0</x:v>
      </x:c>
      <x:c r="W380" s="83" t="n">
        <x:f>IF($B380&lt;&gt;"",SUM($T380:$V380,$R380:$S380),0)</x:f>
        <x:v>0</x:v>
      </x:c>
      <x:c r="X380" s="83" t="n">
        <x:f>IF($B380&lt;&gt;"",$W380*Ayarlar!$B$15,0)</x:f>
        <x:v>0</x:v>
      </x:c>
      <x:c r="Y380" s="83" t="n">
        <x:f>IF($B380&lt;&gt;"",($W380+$X380)*Ayarlar!$B$13,0)</x:f>
        <x:v>0</x:v>
      </x:c>
      <x:c r="Z380" s="83" t="n">
        <x:f>IF($B380&lt;&gt;"",($W380+$X380+$Y380)*Ayarlar!$B$14,0)</x:f>
        <x:v>0</x:v>
      </x:c>
      <x:c r="AA380" s="83" t="str">
        <x:f>IF($B380="","",IF(OR($K380="",$N380=""),"",CEILING($W380+$X380+$Y380+$Z380,Ayarlar!$B$16)))</x:f>
      </x:c>
      <x:c r="AB380" s="83" t="str">
        <x:f>IFERROR($AA380/$H380,"")</x:f>
      </x:c>
      <x:c r="AC380" s="75" t="str">
        <x:f>IF($B380="","",IF(OR($K380="",$N380=""),"Veri Eksik","Fiyat Hazır"))</x:f>
      </x:c>
      <x:c r="AD380" s="75" t="str">
        <x:f>IF($C380&lt;&gt;"","MW-"&amp;$C380,"")</x:f>
        <x:v>MW-80</x:v>
      </x:c>
      <x:c r="AE380" s="75" t="str">
        <x:f>IF($G380&lt;&gt;"","3D Baskı / "&amp;$G380,"3D Baskı")</x:f>
        <x:v>3D Baskı</x:v>
      </x:c>
      <x:c r="AF380" s="75" t="str">
        <x:f>IF($D380&lt;&gt;"",$D380&amp;" - "&amp;$G380,$AD380&amp;" - "&amp;$G380)</x:f>
        <x:v>MW-80 - </x:v>
      </x:c>
      <x:c r="AG380" s="75" t="str"/>
    </x:row>
    <x:row r="381">
      <x:c r="A381" s="75" t="str">
        <x:f>IF($B381&lt;&gt;"",ROW()-4,"")</x:f>
      </x:c>
      <x:c r="B381" s="75" t="str"/>
      <x:c r="C381" s="75" t="n">
        <x:f>IFERROR(LET(x,MID($B381,FIND("/models/",$B381)+8,80),y,LEFT(x,FIND("-",x&amp;"-")-1),LEFT(y,FIND("?",y&amp;"?")-1)),"")</x:f>
        <x:v>80</x:v>
      </x:c>
      <x:c r="D381" s="75" t="str">
        <x:f>IF($B381="","",IFERROR(XLOOKUP($C381,MakerWorld_Verileri!$A:$A,MakerWorld_Verileri!$B:$B,""),""))</x:f>
      </x:c>
      <x:c r="E381" s="75" t="str">
        <x:f>IF($B381="","",IFERROR(XLOOKUP($C381,MakerWorld_Verileri!$A:$A,MakerWorld_Verileri!$C:$C,""),""))</x:f>
      </x:c>
      <x:c r="F381" s="75" t="str"/>
      <x:c r="G381" s="75" t="str">
        <x:f>IF($B381&lt;&gt;"",Ayarlar!$B$7,"")</x:f>
      </x:c>
      <x:c r="H381" s="82" t="str">
        <x:f>IF($B381&lt;&gt;"",1,"")</x:f>
      </x:c>
      <x:c r="I381" s="82" t="str">
        <x:f>IF($B381="","",IFERROR(XLOOKUP($C381,MakerWorld_Verileri!$A:$A,MakerWorld_Verileri!$D:$D,""),""))</x:f>
      </x:c>
      <x:c r="J381" s="82" t="str"/>
      <x:c r="K381" s="82" t="str">
        <x:f>IF($I381&lt;&gt;"",$I381,$J381)</x:f>
      </x:c>
      <x:c r="L381" s="82" t="str">
        <x:f>IF($B381="","",IFERROR(XLOOKUP($C381,MakerWorld_Verileri!$A:$A,MakerWorld_Verileri!$E:$E,""),""))</x:f>
      </x:c>
      <x:c r="M381" s="82" t="str"/>
      <x:c r="N381" s="82" t="str">
        <x:f>IF($L381&lt;&gt;"",$L381,$M381)</x:f>
      </x:c>
      <x:c r="O381" s="82" t="str">
        <x:f>IF($B381&lt;&gt;"",0,"")</x:f>
      </x:c>
      <x:c r="P381" s="75" t="str">
        <x:f>IF($B381&lt;&gt;"","Orta","")</x:f>
      </x:c>
      <x:c r="Q381" s="82" t="str">
        <x:f>IF($B381&lt;&gt;"",10,"")</x:f>
      </x:c>
      <x:c r="R381" s="83" t="str">
        <x:f>IF($B381&lt;&gt;"",Ayarlar!$B$10,"")</x:f>
      </x:c>
      <x:c r="S381" s="83" t="str">
        <x:f>IF($B381&lt;&gt;"",0,"")</x:f>
      </x:c>
      <x:c r="T381" s="83" t="n">
        <x:f>IFERROR(($K381+$O381)*XLOOKUP($G381,Ayarlar!$A$19:$A$28,Ayarlar!$C$19:$C$28,0)*(1+Ayarlar!$B$11),0)</x:f>
        <x:v>0</x:v>
      </x:c>
      <x:c r="U381" s="83" t="n">
        <x:f>IFERROR($N381/60*Ayarlar!$B$8,0)</x:f>
        <x:v>0</x:v>
      </x:c>
      <x:c r="V381" s="83" t="n">
        <x:f>IF($B381&lt;&gt;"",Ayarlar!$B$12+($Q381/60*Ayarlar!$B$9),0)</x:f>
        <x:v>0</x:v>
      </x:c>
      <x:c r="W381" s="83" t="n">
        <x:f>IF($B381&lt;&gt;"",SUM($T381:$V381,$R381:$S381),0)</x:f>
        <x:v>0</x:v>
      </x:c>
      <x:c r="X381" s="83" t="n">
        <x:f>IF($B381&lt;&gt;"",$W381*Ayarlar!$B$15,0)</x:f>
        <x:v>0</x:v>
      </x:c>
      <x:c r="Y381" s="83" t="n">
        <x:f>IF($B381&lt;&gt;"",($W381+$X381)*Ayarlar!$B$13,0)</x:f>
        <x:v>0</x:v>
      </x:c>
      <x:c r="Z381" s="83" t="n">
        <x:f>IF($B381&lt;&gt;"",($W381+$X381+$Y381)*Ayarlar!$B$14,0)</x:f>
        <x:v>0</x:v>
      </x:c>
      <x:c r="AA381" s="83" t="str">
        <x:f>IF($B381="","",IF(OR($K381="",$N381=""),"",CEILING($W381+$X381+$Y381+$Z381,Ayarlar!$B$16)))</x:f>
      </x:c>
      <x:c r="AB381" s="83" t="str">
        <x:f>IFERROR($AA381/$H381,"")</x:f>
      </x:c>
      <x:c r="AC381" s="75" t="str">
        <x:f>IF($B381="","",IF(OR($K381="",$N381=""),"Veri Eksik","Fiyat Hazır"))</x:f>
      </x:c>
      <x:c r="AD381" s="75" t="str">
        <x:f>IF($C381&lt;&gt;"","MW-"&amp;$C381,"")</x:f>
        <x:v>MW-80</x:v>
      </x:c>
      <x:c r="AE381" s="75" t="str">
        <x:f>IF($G381&lt;&gt;"","3D Baskı / "&amp;$G381,"3D Baskı")</x:f>
        <x:v>3D Baskı</x:v>
      </x:c>
      <x:c r="AF381" s="75" t="str">
        <x:f>IF($D381&lt;&gt;"",$D381&amp;" - "&amp;$G381,$AD381&amp;" - "&amp;$G381)</x:f>
        <x:v>MW-80 - </x:v>
      </x:c>
      <x:c r="AG381" s="75" t="str"/>
    </x:row>
    <x:row r="382">
      <x:c r="A382" s="75" t="str">
        <x:f>IF($B382&lt;&gt;"",ROW()-4,"")</x:f>
      </x:c>
      <x:c r="B382" s="75" t="str"/>
      <x:c r="C382" s="75" t="n">
        <x:f>IFERROR(LET(x,MID($B382,FIND("/models/",$B382)+8,80),y,LEFT(x,FIND("-",x&amp;"-")-1),LEFT(y,FIND("?",y&amp;"?")-1)),"")</x:f>
        <x:v>80</x:v>
      </x:c>
      <x:c r="D382" s="75" t="str">
        <x:f>IF($B382="","",IFERROR(XLOOKUP($C382,MakerWorld_Verileri!$A:$A,MakerWorld_Verileri!$B:$B,""),""))</x:f>
      </x:c>
      <x:c r="E382" s="75" t="str">
        <x:f>IF($B382="","",IFERROR(XLOOKUP($C382,MakerWorld_Verileri!$A:$A,MakerWorld_Verileri!$C:$C,""),""))</x:f>
      </x:c>
      <x:c r="F382" s="75" t="str"/>
      <x:c r="G382" s="75" t="str">
        <x:f>IF($B382&lt;&gt;"",Ayarlar!$B$7,"")</x:f>
      </x:c>
      <x:c r="H382" s="82" t="str">
        <x:f>IF($B382&lt;&gt;"",1,"")</x:f>
      </x:c>
      <x:c r="I382" s="82" t="str">
        <x:f>IF($B382="","",IFERROR(XLOOKUP($C382,MakerWorld_Verileri!$A:$A,MakerWorld_Verileri!$D:$D,""),""))</x:f>
      </x:c>
      <x:c r="J382" s="82" t="str"/>
      <x:c r="K382" s="82" t="str">
        <x:f>IF($I382&lt;&gt;"",$I382,$J382)</x:f>
      </x:c>
      <x:c r="L382" s="82" t="str">
        <x:f>IF($B382="","",IFERROR(XLOOKUP($C382,MakerWorld_Verileri!$A:$A,MakerWorld_Verileri!$E:$E,""),""))</x:f>
      </x:c>
      <x:c r="M382" s="82" t="str"/>
      <x:c r="N382" s="82" t="str">
        <x:f>IF($L382&lt;&gt;"",$L382,$M382)</x:f>
      </x:c>
      <x:c r="O382" s="82" t="str">
        <x:f>IF($B382&lt;&gt;"",0,"")</x:f>
      </x:c>
      <x:c r="P382" s="75" t="str">
        <x:f>IF($B382&lt;&gt;"","Orta","")</x:f>
      </x:c>
      <x:c r="Q382" s="82" t="str">
        <x:f>IF($B382&lt;&gt;"",10,"")</x:f>
      </x:c>
      <x:c r="R382" s="83" t="str">
        <x:f>IF($B382&lt;&gt;"",Ayarlar!$B$10,"")</x:f>
      </x:c>
      <x:c r="S382" s="83" t="str">
        <x:f>IF($B382&lt;&gt;"",0,"")</x:f>
      </x:c>
      <x:c r="T382" s="83" t="n">
        <x:f>IFERROR(($K382+$O382)*XLOOKUP($G382,Ayarlar!$A$19:$A$28,Ayarlar!$C$19:$C$28,0)*(1+Ayarlar!$B$11),0)</x:f>
        <x:v>0</x:v>
      </x:c>
      <x:c r="U382" s="83" t="n">
        <x:f>IFERROR($N382/60*Ayarlar!$B$8,0)</x:f>
        <x:v>0</x:v>
      </x:c>
      <x:c r="V382" s="83" t="n">
        <x:f>IF($B382&lt;&gt;"",Ayarlar!$B$12+($Q382/60*Ayarlar!$B$9),0)</x:f>
        <x:v>0</x:v>
      </x:c>
      <x:c r="W382" s="83" t="n">
        <x:f>IF($B382&lt;&gt;"",SUM($T382:$V382,$R382:$S382),0)</x:f>
        <x:v>0</x:v>
      </x:c>
      <x:c r="X382" s="83" t="n">
        <x:f>IF($B382&lt;&gt;"",$W382*Ayarlar!$B$15,0)</x:f>
        <x:v>0</x:v>
      </x:c>
      <x:c r="Y382" s="83" t="n">
        <x:f>IF($B382&lt;&gt;"",($W382+$X382)*Ayarlar!$B$13,0)</x:f>
        <x:v>0</x:v>
      </x:c>
      <x:c r="Z382" s="83" t="n">
        <x:f>IF($B382&lt;&gt;"",($W382+$X382+$Y382)*Ayarlar!$B$14,0)</x:f>
        <x:v>0</x:v>
      </x:c>
      <x:c r="AA382" s="83" t="str">
        <x:f>IF($B382="","",IF(OR($K382="",$N382=""),"",CEILING($W382+$X382+$Y382+$Z382,Ayarlar!$B$16)))</x:f>
      </x:c>
      <x:c r="AB382" s="83" t="str">
        <x:f>IFERROR($AA382/$H382,"")</x:f>
      </x:c>
      <x:c r="AC382" s="75" t="str">
        <x:f>IF($B382="","",IF(OR($K382="",$N382=""),"Veri Eksik","Fiyat Hazır"))</x:f>
      </x:c>
      <x:c r="AD382" s="75" t="str">
        <x:f>IF($C382&lt;&gt;"","MW-"&amp;$C382,"")</x:f>
        <x:v>MW-80</x:v>
      </x:c>
      <x:c r="AE382" s="75" t="str">
        <x:f>IF($G382&lt;&gt;"","3D Baskı / "&amp;$G382,"3D Baskı")</x:f>
        <x:v>3D Baskı</x:v>
      </x:c>
      <x:c r="AF382" s="75" t="str">
        <x:f>IF($D382&lt;&gt;"",$D382&amp;" - "&amp;$G382,$AD382&amp;" - "&amp;$G382)</x:f>
        <x:v>MW-80 - </x:v>
      </x:c>
      <x:c r="AG382" s="75" t="str"/>
    </x:row>
    <x:row r="383">
      <x:c r="A383" s="75" t="str">
        <x:f>IF($B383&lt;&gt;"",ROW()-4,"")</x:f>
      </x:c>
      <x:c r="B383" s="75" t="str"/>
      <x:c r="C383" s="75" t="n">
        <x:f>IFERROR(LET(x,MID($B383,FIND("/models/",$B383)+8,80),y,LEFT(x,FIND("-",x&amp;"-")-1),LEFT(y,FIND("?",y&amp;"?")-1)),"")</x:f>
        <x:v>80</x:v>
      </x:c>
      <x:c r="D383" s="75" t="str">
        <x:f>IF($B383="","",IFERROR(XLOOKUP($C383,MakerWorld_Verileri!$A:$A,MakerWorld_Verileri!$B:$B,""),""))</x:f>
      </x:c>
      <x:c r="E383" s="75" t="str">
        <x:f>IF($B383="","",IFERROR(XLOOKUP($C383,MakerWorld_Verileri!$A:$A,MakerWorld_Verileri!$C:$C,""),""))</x:f>
      </x:c>
      <x:c r="F383" s="75" t="str"/>
      <x:c r="G383" s="75" t="str">
        <x:f>IF($B383&lt;&gt;"",Ayarlar!$B$7,"")</x:f>
      </x:c>
      <x:c r="H383" s="82" t="str">
        <x:f>IF($B383&lt;&gt;"",1,"")</x:f>
      </x:c>
      <x:c r="I383" s="82" t="str">
        <x:f>IF($B383="","",IFERROR(XLOOKUP($C383,MakerWorld_Verileri!$A:$A,MakerWorld_Verileri!$D:$D,""),""))</x:f>
      </x:c>
      <x:c r="J383" s="82" t="str"/>
      <x:c r="K383" s="82" t="str">
        <x:f>IF($I383&lt;&gt;"",$I383,$J383)</x:f>
      </x:c>
      <x:c r="L383" s="82" t="str">
        <x:f>IF($B383="","",IFERROR(XLOOKUP($C383,MakerWorld_Verileri!$A:$A,MakerWorld_Verileri!$E:$E,""),""))</x:f>
      </x:c>
      <x:c r="M383" s="82" t="str"/>
      <x:c r="N383" s="82" t="str">
        <x:f>IF($L383&lt;&gt;"",$L383,$M383)</x:f>
      </x:c>
      <x:c r="O383" s="82" t="str">
        <x:f>IF($B383&lt;&gt;"",0,"")</x:f>
      </x:c>
      <x:c r="P383" s="75" t="str">
        <x:f>IF($B383&lt;&gt;"","Orta","")</x:f>
      </x:c>
      <x:c r="Q383" s="82" t="str">
        <x:f>IF($B383&lt;&gt;"",10,"")</x:f>
      </x:c>
      <x:c r="R383" s="83" t="str">
        <x:f>IF($B383&lt;&gt;"",Ayarlar!$B$10,"")</x:f>
      </x:c>
      <x:c r="S383" s="83" t="str">
        <x:f>IF($B383&lt;&gt;"",0,"")</x:f>
      </x:c>
      <x:c r="T383" s="83" t="n">
        <x:f>IFERROR(($K383+$O383)*XLOOKUP($G383,Ayarlar!$A$19:$A$28,Ayarlar!$C$19:$C$28,0)*(1+Ayarlar!$B$11),0)</x:f>
        <x:v>0</x:v>
      </x:c>
      <x:c r="U383" s="83" t="n">
        <x:f>IFERROR($N383/60*Ayarlar!$B$8,0)</x:f>
        <x:v>0</x:v>
      </x:c>
      <x:c r="V383" s="83" t="n">
        <x:f>IF($B383&lt;&gt;"",Ayarlar!$B$12+($Q383/60*Ayarlar!$B$9),0)</x:f>
        <x:v>0</x:v>
      </x:c>
      <x:c r="W383" s="83" t="n">
        <x:f>IF($B383&lt;&gt;"",SUM($T383:$V383,$R383:$S383),0)</x:f>
        <x:v>0</x:v>
      </x:c>
      <x:c r="X383" s="83" t="n">
        <x:f>IF($B383&lt;&gt;"",$W383*Ayarlar!$B$15,0)</x:f>
        <x:v>0</x:v>
      </x:c>
      <x:c r="Y383" s="83" t="n">
        <x:f>IF($B383&lt;&gt;"",($W383+$X383)*Ayarlar!$B$13,0)</x:f>
        <x:v>0</x:v>
      </x:c>
      <x:c r="Z383" s="83" t="n">
        <x:f>IF($B383&lt;&gt;"",($W383+$X383+$Y383)*Ayarlar!$B$14,0)</x:f>
        <x:v>0</x:v>
      </x:c>
      <x:c r="AA383" s="83" t="str">
        <x:f>IF($B383="","",IF(OR($K383="",$N383=""),"",CEILING($W383+$X383+$Y383+$Z383,Ayarlar!$B$16)))</x:f>
      </x:c>
      <x:c r="AB383" s="83" t="str">
        <x:f>IFERROR($AA383/$H383,"")</x:f>
      </x:c>
      <x:c r="AC383" s="75" t="str">
        <x:f>IF($B383="","",IF(OR($K383="",$N383=""),"Veri Eksik","Fiyat Hazır"))</x:f>
      </x:c>
      <x:c r="AD383" s="75" t="str">
        <x:f>IF($C383&lt;&gt;"","MW-"&amp;$C383,"")</x:f>
        <x:v>MW-80</x:v>
      </x:c>
      <x:c r="AE383" s="75" t="str">
        <x:f>IF($G383&lt;&gt;"","3D Baskı / "&amp;$G383,"3D Baskı")</x:f>
        <x:v>3D Baskı</x:v>
      </x:c>
      <x:c r="AF383" s="75" t="str">
        <x:f>IF($D383&lt;&gt;"",$D383&amp;" - "&amp;$G383,$AD383&amp;" - "&amp;$G383)</x:f>
        <x:v>MW-80 - </x:v>
      </x:c>
      <x:c r="AG383" s="75" t="str"/>
    </x:row>
    <x:row r="384">
      <x:c r="A384" s="75" t="str">
        <x:f>IF($B384&lt;&gt;"",ROW()-4,"")</x:f>
      </x:c>
      <x:c r="B384" s="75" t="str"/>
      <x:c r="C384" s="75" t="n">
        <x:f>IFERROR(LET(x,MID($B384,FIND("/models/",$B384)+8,80),y,LEFT(x,FIND("-",x&amp;"-")-1),LEFT(y,FIND("?",y&amp;"?")-1)),"")</x:f>
        <x:v>80</x:v>
      </x:c>
      <x:c r="D384" s="75" t="str">
        <x:f>IF($B384="","",IFERROR(XLOOKUP($C384,MakerWorld_Verileri!$A:$A,MakerWorld_Verileri!$B:$B,""),""))</x:f>
      </x:c>
      <x:c r="E384" s="75" t="str">
        <x:f>IF($B384="","",IFERROR(XLOOKUP($C384,MakerWorld_Verileri!$A:$A,MakerWorld_Verileri!$C:$C,""),""))</x:f>
      </x:c>
      <x:c r="F384" s="75" t="str"/>
      <x:c r="G384" s="75" t="str">
        <x:f>IF($B384&lt;&gt;"",Ayarlar!$B$7,"")</x:f>
      </x:c>
      <x:c r="H384" s="82" t="str">
        <x:f>IF($B384&lt;&gt;"",1,"")</x:f>
      </x:c>
      <x:c r="I384" s="82" t="str">
        <x:f>IF($B384="","",IFERROR(XLOOKUP($C384,MakerWorld_Verileri!$A:$A,MakerWorld_Verileri!$D:$D,""),""))</x:f>
      </x:c>
      <x:c r="J384" s="82" t="str"/>
      <x:c r="K384" s="82" t="str">
        <x:f>IF($I384&lt;&gt;"",$I384,$J384)</x:f>
      </x:c>
      <x:c r="L384" s="82" t="str">
        <x:f>IF($B384="","",IFERROR(XLOOKUP($C384,MakerWorld_Verileri!$A:$A,MakerWorld_Verileri!$E:$E,""),""))</x:f>
      </x:c>
      <x:c r="M384" s="82" t="str"/>
      <x:c r="N384" s="82" t="str">
        <x:f>IF($L384&lt;&gt;"",$L384,$M384)</x:f>
      </x:c>
      <x:c r="O384" s="82" t="str">
        <x:f>IF($B384&lt;&gt;"",0,"")</x:f>
      </x:c>
      <x:c r="P384" s="75" t="str">
        <x:f>IF($B384&lt;&gt;"","Orta","")</x:f>
      </x:c>
      <x:c r="Q384" s="82" t="str">
        <x:f>IF($B384&lt;&gt;"",10,"")</x:f>
      </x:c>
      <x:c r="R384" s="83" t="str">
        <x:f>IF($B384&lt;&gt;"",Ayarlar!$B$10,"")</x:f>
      </x:c>
      <x:c r="S384" s="83" t="str">
        <x:f>IF($B384&lt;&gt;"",0,"")</x:f>
      </x:c>
      <x:c r="T384" s="83" t="n">
        <x:f>IFERROR(($K384+$O384)*XLOOKUP($G384,Ayarlar!$A$19:$A$28,Ayarlar!$C$19:$C$28,0)*(1+Ayarlar!$B$11),0)</x:f>
        <x:v>0</x:v>
      </x:c>
      <x:c r="U384" s="83" t="n">
        <x:f>IFERROR($N384/60*Ayarlar!$B$8,0)</x:f>
        <x:v>0</x:v>
      </x:c>
      <x:c r="V384" s="83" t="n">
        <x:f>IF($B384&lt;&gt;"",Ayarlar!$B$12+($Q384/60*Ayarlar!$B$9),0)</x:f>
        <x:v>0</x:v>
      </x:c>
      <x:c r="W384" s="83" t="n">
        <x:f>IF($B384&lt;&gt;"",SUM($T384:$V384,$R384:$S384),0)</x:f>
        <x:v>0</x:v>
      </x:c>
      <x:c r="X384" s="83" t="n">
        <x:f>IF($B384&lt;&gt;"",$W384*Ayarlar!$B$15,0)</x:f>
        <x:v>0</x:v>
      </x:c>
      <x:c r="Y384" s="83" t="n">
        <x:f>IF($B384&lt;&gt;"",($W384+$X384)*Ayarlar!$B$13,0)</x:f>
        <x:v>0</x:v>
      </x:c>
      <x:c r="Z384" s="83" t="n">
        <x:f>IF($B384&lt;&gt;"",($W384+$X384+$Y384)*Ayarlar!$B$14,0)</x:f>
        <x:v>0</x:v>
      </x:c>
      <x:c r="AA384" s="83" t="str">
        <x:f>IF($B384="","",IF(OR($K384="",$N384=""),"",CEILING($W384+$X384+$Y384+$Z384,Ayarlar!$B$16)))</x:f>
      </x:c>
      <x:c r="AB384" s="83" t="str">
        <x:f>IFERROR($AA384/$H384,"")</x:f>
      </x:c>
      <x:c r="AC384" s="75" t="str">
        <x:f>IF($B384="","",IF(OR($K384="",$N384=""),"Veri Eksik","Fiyat Hazır"))</x:f>
      </x:c>
      <x:c r="AD384" s="75" t="str">
        <x:f>IF($C384&lt;&gt;"","MW-"&amp;$C384,"")</x:f>
        <x:v>MW-80</x:v>
      </x:c>
      <x:c r="AE384" s="75" t="str">
        <x:f>IF($G384&lt;&gt;"","3D Baskı / "&amp;$G384,"3D Baskı")</x:f>
        <x:v>3D Baskı</x:v>
      </x:c>
      <x:c r="AF384" s="75" t="str">
        <x:f>IF($D384&lt;&gt;"",$D384&amp;" - "&amp;$G384,$AD384&amp;" - "&amp;$G384)</x:f>
        <x:v>MW-80 - </x:v>
      </x:c>
      <x:c r="AG384" s="75" t="str"/>
    </x:row>
    <x:row r="385">
      <x:c r="A385" s="75" t="str">
        <x:f>IF($B385&lt;&gt;"",ROW()-4,"")</x:f>
      </x:c>
      <x:c r="B385" s="75" t="str"/>
      <x:c r="C385" s="75" t="n">
        <x:f>IFERROR(LET(x,MID($B385,FIND("/models/",$B385)+8,80),y,LEFT(x,FIND("-",x&amp;"-")-1),LEFT(y,FIND("?",y&amp;"?")-1)),"")</x:f>
        <x:v>80</x:v>
      </x:c>
      <x:c r="D385" s="75" t="str">
        <x:f>IF($B385="","",IFERROR(XLOOKUP($C385,MakerWorld_Verileri!$A:$A,MakerWorld_Verileri!$B:$B,""),""))</x:f>
      </x:c>
      <x:c r="E385" s="75" t="str">
        <x:f>IF($B385="","",IFERROR(XLOOKUP($C385,MakerWorld_Verileri!$A:$A,MakerWorld_Verileri!$C:$C,""),""))</x:f>
      </x:c>
      <x:c r="F385" s="75" t="str"/>
      <x:c r="G385" s="75" t="str">
        <x:f>IF($B385&lt;&gt;"",Ayarlar!$B$7,"")</x:f>
      </x:c>
      <x:c r="H385" s="82" t="str">
        <x:f>IF($B385&lt;&gt;"",1,"")</x:f>
      </x:c>
      <x:c r="I385" s="82" t="str">
        <x:f>IF($B385="","",IFERROR(XLOOKUP($C385,MakerWorld_Verileri!$A:$A,MakerWorld_Verileri!$D:$D,""),""))</x:f>
      </x:c>
      <x:c r="J385" s="82" t="str"/>
      <x:c r="K385" s="82" t="str">
        <x:f>IF($I385&lt;&gt;"",$I385,$J385)</x:f>
      </x:c>
      <x:c r="L385" s="82" t="str">
        <x:f>IF($B385="","",IFERROR(XLOOKUP($C385,MakerWorld_Verileri!$A:$A,MakerWorld_Verileri!$E:$E,""),""))</x:f>
      </x:c>
      <x:c r="M385" s="82" t="str"/>
      <x:c r="N385" s="82" t="str">
        <x:f>IF($L385&lt;&gt;"",$L385,$M385)</x:f>
      </x:c>
      <x:c r="O385" s="82" t="str">
        <x:f>IF($B385&lt;&gt;"",0,"")</x:f>
      </x:c>
      <x:c r="P385" s="75" t="str">
        <x:f>IF($B385&lt;&gt;"","Orta","")</x:f>
      </x:c>
      <x:c r="Q385" s="82" t="str">
        <x:f>IF($B385&lt;&gt;"",10,"")</x:f>
      </x:c>
      <x:c r="R385" s="83" t="str">
        <x:f>IF($B385&lt;&gt;"",Ayarlar!$B$10,"")</x:f>
      </x:c>
      <x:c r="S385" s="83" t="str">
        <x:f>IF($B385&lt;&gt;"",0,"")</x:f>
      </x:c>
      <x:c r="T385" s="83" t="n">
        <x:f>IFERROR(($K385+$O385)*XLOOKUP($G385,Ayarlar!$A$19:$A$28,Ayarlar!$C$19:$C$28,0)*(1+Ayarlar!$B$11),0)</x:f>
        <x:v>0</x:v>
      </x:c>
      <x:c r="U385" s="83" t="n">
        <x:f>IFERROR($N385/60*Ayarlar!$B$8,0)</x:f>
        <x:v>0</x:v>
      </x:c>
      <x:c r="V385" s="83" t="n">
        <x:f>IF($B385&lt;&gt;"",Ayarlar!$B$12+($Q385/60*Ayarlar!$B$9),0)</x:f>
        <x:v>0</x:v>
      </x:c>
      <x:c r="W385" s="83" t="n">
        <x:f>IF($B385&lt;&gt;"",SUM($T385:$V385,$R385:$S385),0)</x:f>
        <x:v>0</x:v>
      </x:c>
      <x:c r="X385" s="83" t="n">
        <x:f>IF($B385&lt;&gt;"",$W385*Ayarlar!$B$15,0)</x:f>
        <x:v>0</x:v>
      </x:c>
      <x:c r="Y385" s="83" t="n">
        <x:f>IF($B385&lt;&gt;"",($W385+$X385)*Ayarlar!$B$13,0)</x:f>
        <x:v>0</x:v>
      </x:c>
      <x:c r="Z385" s="83" t="n">
        <x:f>IF($B385&lt;&gt;"",($W385+$X385+$Y385)*Ayarlar!$B$14,0)</x:f>
        <x:v>0</x:v>
      </x:c>
      <x:c r="AA385" s="83" t="str">
        <x:f>IF($B385="","",IF(OR($K385="",$N385=""),"",CEILING($W385+$X385+$Y385+$Z385,Ayarlar!$B$16)))</x:f>
      </x:c>
      <x:c r="AB385" s="83" t="str">
        <x:f>IFERROR($AA385/$H385,"")</x:f>
      </x:c>
      <x:c r="AC385" s="75" t="str">
        <x:f>IF($B385="","",IF(OR($K385="",$N385=""),"Veri Eksik","Fiyat Hazır"))</x:f>
      </x:c>
      <x:c r="AD385" s="75" t="str">
        <x:f>IF($C385&lt;&gt;"","MW-"&amp;$C385,"")</x:f>
        <x:v>MW-80</x:v>
      </x:c>
      <x:c r="AE385" s="75" t="str">
        <x:f>IF($G385&lt;&gt;"","3D Baskı / "&amp;$G385,"3D Baskı")</x:f>
        <x:v>3D Baskı</x:v>
      </x:c>
      <x:c r="AF385" s="75" t="str">
        <x:f>IF($D385&lt;&gt;"",$D385&amp;" - "&amp;$G385,$AD385&amp;" - "&amp;$G385)</x:f>
        <x:v>MW-80 - </x:v>
      </x:c>
      <x:c r="AG385" s="75" t="str"/>
    </x:row>
    <x:row r="386">
      <x:c r="A386" s="75" t="str">
        <x:f>IF($B386&lt;&gt;"",ROW()-4,"")</x:f>
      </x:c>
      <x:c r="B386" s="75" t="str"/>
      <x:c r="C386" s="75" t="n">
        <x:f>IFERROR(LET(x,MID($B386,FIND("/models/",$B386)+8,80),y,LEFT(x,FIND("-",x&amp;"-")-1),LEFT(y,FIND("?",y&amp;"?")-1)),"")</x:f>
        <x:v>80</x:v>
      </x:c>
      <x:c r="D386" s="75" t="str">
        <x:f>IF($B386="","",IFERROR(XLOOKUP($C386,MakerWorld_Verileri!$A:$A,MakerWorld_Verileri!$B:$B,""),""))</x:f>
      </x:c>
      <x:c r="E386" s="75" t="str">
        <x:f>IF($B386="","",IFERROR(XLOOKUP($C386,MakerWorld_Verileri!$A:$A,MakerWorld_Verileri!$C:$C,""),""))</x:f>
      </x:c>
      <x:c r="F386" s="75" t="str"/>
      <x:c r="G386" s="75" t="str">
        <x:f>IF($B386&lt;&gt;"",Ayarlar!$B$7,"")</x:f>
      </x:c>
      <x:c r="H386" s="82" t="str">
        <x:f>IF($B386&lt;&gt;"",1,"")</x:f>
      </x:c>
      <x:c r="I386" s="82" t="str">
        <x:f>IF($B386="","",IFERROR(XLOOKUP($C386,MakerWorld_Verileri!$A:$A,MakerWorld_Verileri!$D:$D,""),""))</x:f>
      </x:c>
      <x:c r="J386" s="82" t="str"/>
      <x:c r="K386" s="82" t="str">
        <x:f>IF($I386&lt;&gt;"",$I386,$J386)</x:f>
      </x:c>
      <x:c r="L386" s="82" t="str">
        <x:f>IF($B386="","",IFERROR(XLOOKUP($C386,MakerWorld_Verileri!$A:$A,MakerWorld_Verileri!$E:$E,""),""))</x:f>
      </x:c>
      <x:c r="M386" s="82" t="str"/>
      <x:c r="N386" s="82" t="str">
        <x:f>IF($L386&lt;&gt;"",$L386,$M386)</x:f>
      </x:c>
      <x:c r="O386" s="82" t="str">
        <x:f>IF($B386&lt;&gt;"",0,"")</x:f>
      </x:c>
      <x:c r="P386" s="75" t="str">
        <x:f>IF($B386&lt;&gt;"","Orta","")</x:f>
      </x:c>
      <x:c r="Q386" s="82" t="str">
        <x:f>IF($B386&lt;&gt;"",10,"")</x:f>
      </x:c>
      <x:c r="R386" s="83" t="str">
        <x:f>IF($B386&lt;&gt;"",Ayarlar!$B$10,"")</x:f>
      </x:c>
      <x:c r="S386" s="83" t="str">
        <x:f>IF($B386&lt;&gt;"",0,"")</x:f>
      </x:c>
      <x:c r="T386" s="83" t="n">
        <x:f>IFERROR(($K386+$O386)*XLOOKUP($G386,Ayarlar!$A$19:$A$28,Ayarlar!$C$19:$C$28,0)*(1+Ayarlar!$B$11),0)</x:f>
        <x:v>0</x:v>
      </x:c>
      <x:c r="U386" s="83" t="n">
        <x:f>IFERROR($N386/60*Ayarlar!$B$8,0)</x:f>
        <x:v>0</x:v>
      </x:c>
      <x:c r="V386" s="83" t="n">
        <x:f>IF($B386&lt;&gt;"",Ayarlar!$B$12+($Q386/60*Ayarlar!$B$9),0)</x:f>
        <x:v>0</x:v>
      </x:c>
      <x:c r="W386" s="83" t="n">
        <x:f>IF($B386&lt;&gt;"",SUM($T386:$V386,$R386:$S386),0)</x:f>
        <x:v>0</x:v>
      </x:c>
      <x:c r="X386" s="83" t="n">
        <x:f>IF($B386&lt;&gt;"",$W386*Ayarlar!$B$15,0)</x:f>
        <x:v>0</x:v>
      </x:c>
      <x:c r="Y386" s="83" t="n">
        <x:f>IF($B386&lt;&gt;"",($W386+$X386)*Ayarlar!$B$13,0)</x:f>
        <x:v>0</x:v>
      </x:c>
      <x:c r="Z386" s="83" t="n">
        <x:f>IF($B386&lt;&gt;"",($W386+$X386+$Y386)*Ayarlar!$B$14,0)</x:f>
        <x:v>0</x:v>
      </x:c>
      <x:c r="AA386" s="83" t="str">
        <x:f>IF($B386="","",IF(OR($K386="",$N386=""),"",CEILING($W386+$X386+$Y386+$Z386,Ayarlar!$B$16)))</x:f>
      </x:c>
      <x:c r="AB386" s="83" t="str">
        <x:f>IFERROR($AA386/$H386,"")</x:f>
      </x:c>
      <x:c r="AC386" s="75" t="str">
        <x:f>IF($B386="","",IF(OR($K386="",$N386=""),"Veri Eksik","Fiyat Hazır"))</x:f>
      </x:c>
      <x:c r="AD386" s="75" t="str">
        <x:f>IF($C386&lt;&gt;"","MW-"&amp;$C386,"")</x:f>
        <x:v>MW-80</x:v>
      </x:c>
      <x:c r="AE386" s="75" t="str">
        <x:f>IF($G386&lt;&gt;"","3D Baskı / "&amp;$G386,"3D Baskı")</x:f>
        <x:v>3D Baskı</x:v>
      </x:c>
      <x:c r="AF386" s="75" t="str">
        <x:f>IF($D386&lt;&gt;"",$D386&amp;" - "&amp;$G386,$AD386&amp;" - "&amp;$G386)</x:f>
        <x:v>MW-80 - </x:v>
      </x:c>
      <x:c r="AG386" s="75" t="str"/>
    </x:row>
    <x:row r="387">
      <x:c r="A387" s="75" t="str">
        <x:f>IF($B387&lt;&gt;"",ROW()-4,"")</x:f>
      </x:c>
      <x:c r="B387" s="75" t="str"/>
      <x:c r="C387" s="75" t="n">
        <x:f>IFERROR(LET(x,MID($B387,FIND("/models/",$B387)+8,80),y,LEFT(x,FIND("-",x&amp;"-")-1),LEFT(y,FIND("?",y&amp;"?")-1)),"")</x:f>
        <x:v>80</x:v>
      </x:c>
      <x:c r="D387" s="75" t="str">
        <x:f>IF($B387="","",IFERROR(XLOOKUP($C387,MakerWorld_Verileri!$A:$A,MakerWorld_Verileri!$B:$B,""),""))</x:f>
      </x:c>
      <x:c r="E387" s="75" t="str">
        <x:f>IF($B387="","",IFERROR(XLOOKUP($C387,MakerWorld_Verileri!$A:$A,MakerWorld_Verileri!$C:$C,""),""))</x:f>
      </x:c>
      <x:c r="F387" s="75" t="str"/>
      <x:c r="G387" s="75" t="str">
        <x:f>IF($B387&lt;&gt;"",Ayarlar!$B$7,"")</x:f>
      </x:c>
      <x:c r="H387" s="82" t="str">
        <x:f>IF($B387&lt;&gt;"",1,"")</x:f>
      </x:c>
      <x:c r="I387" s="82" t="str">
        <x:f>IF($B387="","",IFERROR(XLOOKUP($C387,MakerWorld_Verileri!$A:$A,MakerWorld_Verileri!$D:$D,""),""))</x:f>
      </x:c>
      <x:c r="J387" s="82" t="str"/>
      <x:c r="K387" s="82" t="str">
        <x:f>IF($I387&lt;&gt;"",$I387,$J387)</x:f>
      </x:c>
      <x:c r="L387" s="82" t="str">
        <x:f>IF($B387="","",IFERROR(XLOOKUP($C387,MakerWorld_Verileri!$A:$A,MakerWorld_Verileri!$E:$E,""),""))</x:f>
      </x:c>
      <x:c r="M387" s="82" t="str"/>
      <x:c r="N387" s="82" t="str">
        <x:f>IF($L387&lt;&gt;"",$L387,$M387)</x:f>
      </x:c>
      <x:c r="O387" s="82" t="str">
        <x:f>IF($B387&lt;&gt;"",0,"")</x:f>
      </x:c>
      <x:c r="P387" s="75" t="str">
        <x:f>IF($B387&lt;&gt;"","Orta","")</x:f>
      </x:c>
      <x:c r="Q387" s="82" t="str">
        <x:f>IF($B387&lt;&gt;"",10,"")</x:f>
      </x:c>
      <x:c r="R387" s="83" t="str">
        <x:f>IF($B387&lt;&gt;"",Ayarlar!$B$10,"")</x:f>
      </x:c>
      <x:c r="S387" s="83" t="str">
        <x:f>IF($B387&lt;&gt;"",0,"")</x:f>
      </x:c>
      <x:c r="T387" s="83" t="n">
        <x:f>IFERROR(($K387+$O387)*XLOOKUP($G387,Ayarlar!$A$19:$A$28,Ayarlar!$C$19:$C$28,0)*(1+Ayarlar!$B$11),0)</x:f>
        <x:v>0</x:v>
      </x:c>
      <x:c r="U387" s="83" t="n">
        <x:f>IFERROR($N387/60*Ayarlar!$B$8,0)</x:f>
        <x:v>0</x:v>
      </x:c>
      <x:c r="V387" s="83" t="n">
        <x:f>IF($B387&lt;&gt;"",Ayarlar!$B$12+($Q387/60*Ayarlar!$B$9),0)</x:f>
        <x:v>0</x:v>
      </x:c>
      <x:c r="W387" s="83" t="n">
        <x:f>IF($B387&lt;&gt;"",SUM($T387:$V387,$R387:$S387),0)</x:f>
        <x:v>0</x:v>
      </x:c>
      <x:c r="X387" s="83" t="n">
        <x:f>IF($B387&lt;&gt;"",$W387*Ayarlar!$B$15,0)</x:f>
        <x:v>0</x:v>
      </x:c>
      <x:c r="Y387" s="83" t="n">
        <x:f>IF($B387&lt;&gt;"",($W387+$X387)*Ayarlar!$B$13,0)</x:f>
        <x:v>0</x:v>
      </x:c>
      <x:c r="Z387" s="83" t="n">
        <x:f>IF($B387&lt;&gt;"",($W387+$X387+$Y387)*Ayarlar!$B$14,0)</x:f>
        <x:v>0</x:v>
      </x:c>
      <x:c r="AA387" s="83" t="str">
        <x:f>IF($B387="","",IF(OR($K387="",$N387=""),"",CEILING($W387+$X387+$Y387+$Z387,Ayarlar!$B$16)))</x:f>
      </x:c>
      <x:c r="AB387" s="83" t="str">
        <x:f>IFERROR($AA387/$H387,"")</x:f>
      </x:c>
      <x:c r="AC387" s="75" t="str">
        <x:f>IF($B387="","",IF(OR($K387="",$N387=""),"Veri Eksik","Fiyat Hazır"))</x:f>
      </x:c>
      <x:c r="AD387" s="75" t="str">
        <x:f>IF($C387&lt;&gt;"","MW-"&amp;$C387,"")</x:f>
        <x:v>MW-80</x:v>
      </x:c>
      <x:c r="AE387" s="75" t="str">
        <x:f>IF($G387&lt;&gt;"","3D Baskı / "&amp;$G387,"3D Baskı")</x:f>
        <x:v>3D Baskı</x:v>
      </x:c>
      <x:c r="AF387" s="75" t="str">
        <x:f>IF($D387&lt;&gt;"",$D387&amp;" - "&amp;$G387,$AD387&amp;" - "&amp;$G387)</x:f>
        <x:v>MW-80 - </x:v>
      </x:c>
      <x:c r="AG387" s="75" t="str"/>
    </x:row>
    <x:row r="388">
      <x:c r="A388" s="75" t="str">
        <x:f>IF($B388&lt;&gt;"",ROW()-4,"")</x:f>
      </x:c>
      <x:c r="B388" s="75" t="str"/>
      <x:c r="C388" s="75" t="n">
        <x:f>IFERROR(LET(x,MID($B388,FIND("/models/",$B388)+8,80),y,LEFT(x,FIND("-",x&amp;"-")-1),LEFT(y,FIND("?",y&amp;"?")-1)),"")</x:f>
        <x:v>80</x:v>
      </x:c>
      <x:c r="D388" s="75" t="str">
        <x:f>IF($B388="","",IFERROR(XLOOKUP($C388,MakerWorld_Verileri!$A:$A,MakerWorld_Verileri!$B:$B,""),""))</x:f>
      </x:c>
      <x:c r="E388" s="75" t="str">
        <x:f>IF($B388="","",IFERROR(XLOOKUP($C388,MakerWorld_Verileri!$A:$A,MakerWorld_Verileri!$C:$C,""),""))</x:f>
      </x:c>
      <x:c r="F388" s="75" t="str"/>
      <x:c r="G388" s="75" t="str">
        <x:f>IF($B388&lt;&gt;"",Ayarlar!$B$7,"")</x:f>
      </x:c>
      <x:c r="H388" s="82" t="str">
        <x:f>IF($B388&lt;&gt;"",1,"")</x:f>
      </x:c>
      <x:c r="I388" s="82" t="str">
        <x:f>IF($B388="","",IFERROR(XLOOKUP($C388,MakerWorld_Verileri!$A:$A,MakerWorld_Verileri!$D:$D,""),""))</x:f>
      </x:c>
      <x:c r="J388" s="82" t="str"/>
      <x:c r="K388" s="82" t="str">
        <x:f>IF($I388&lt;&gt;"",$I388,$J388)</x:f>
      </x:c>
      <x:c r="L388" s="82" t="str">
        <x:f>IF($B388="","",IFERROR(XLOOKUP($C388,MakerWorld_Verileri!$A:$A,MakerWorld_Verileri!$E:$E,""),""))</x:f>
      </x:c>
      <x:c r="M388" s="82" t="str"/>
      <x:c r="N388" s="82" t="str">
        <x:f>IF($L388&lt;&gt;"",$L388,$M388)</x:f>
      </x:c>
      <x:c r="O388" s="82" t="str">
        <x:f>IF($B388&lt;&gt;"",0,"")</x:f>
      </x:c>
      <x:c r="P388" s="75" t="str">
        <x:f>IF($B388&lt;&gt;"","Orta","")</x:f>
      </x:c>
      <x:c r="Q388" s="82" t="str">
        <x:f>IF($B388&lt;&gt;"",10,"")</x:f>
      </x:c>
      <x:c r="R388" s="83" t="str">
        <x:f>IF($B388&lt;&gt;"",Ayarlar!$B$10,"")</x:f>
      </x:c>
      <x:c r="S388" s="83" t="str">
        <x:f>IF($B388&lt;&gt;"",0,"")</x:f>
      </x:c>
      <x:c r="T388" s="83" t="n">
        <x:f>IFERROR(($K388+$O388)*XLOOKUP($G388,Ayarlar!$A$19:$A$28,Ayarlar!$C$19:$C$28,0)*(1+Ayarlar!$B$11),0)</x:f>
        <x:v>0</x:v>
      </x:c>
      <x:c r="U388" s="83" t="n">
        <x:f>IFERROR($N388/60*Ayarlar!$B$8,0)</x:f>
        <x:v>0</x:v>
      </x:c>
      <x:c r="V388" s="83" t="n">
        <x:f>IF($B388&lt;&gt;"",Ayarlar!$B$12+($Q388/60*Ayarlar!$B$9),0)</x:f>
        <x:v>0</x:v>
      </x:c>
      <x:c r="W388" s="83" t="n">
        <x:f>IF($B388&lt;&gt;"",SUM($T388:$V388,$R388:$S388),0)</x:f>
        <x:v>0</x:v>
      </x:c>
      <x:c r="X388" s="83" t="n">
        <x:f>IF($B388&lt;&gt;"",$W388*Ayarlar!$B$15,0)</x:f>
        <x:v>0</x:v>
      </x:c>
      <x:c r="Y388" s="83" t="n">
        <x:f>IF($B388&lt;&gt;"",($W388+$X388)*Ayarlar!$B$13,0)</x:f>
        <x:v>0</x:v>
      </x:c>
      <x:c r="Z388" s="83" t="n">
        <x:f>IF($B388&lt;&gt;"",($W388+$X388+$Y388)*Ayarlar!$B$14,0)</x:f>
        <x:v>0</x:v>
      </x:c>
      <x:c r="AA388" s="83" t="str">
        <x:f>IF($B388="","",IF(OR($K388="",$N388=""),"",CEILING($W388+$X388+$Y388+$Z388,Ayarlar!$B$16)))</x:f>
      </x:c>
      <x:c r="AB388" s="83" t="str">
        <x:f>IFERROR($AA388/$H388,"")</x:f>
      </x:c>
      <x:c r="AC388" s="75" t="str">
        <x:f>IF($B388="","",IF(OR($K388="",$N388=""),"Veri Eksik","Fiyat Hazır"))</x:f>
      </x:c>
      <x:c r="AD388" s="75" t="str">
        <x:f>IF($C388&lt;&gt;"","MW-"&amp;$C388,"")</x:f>
        <x:v>MW-80</x:v>
      </x:c>
      <x:c r="AE388" s="75" t="str">
        <x:f>IF($G388&lt;&gt;"","3D Baskı / "&amp;$G388,"3D Baskı")</x:f>
        <x:v>3D Baskı</x:v>
      </x:c>
      <x:c r="AF388" s="75" t="str">
        <x:f>IF($D388&lt;&gt;"",$D388&amp;" - "&amp;$G388,$AD388&amp;" - "&amp;$G388)</x:f>
        <x:v>MW-80 - </x:v>
      </x:c>
      <x:c r="AG388" s="75" t="str"/>
    </x:row>
    <x:row r="389">
      <x:c r="A389" s="75" t="str">
        <x:f>IF($B389&lt;&gt;"",ROW()-4,"")</x:f>
      </x:c>
      <x:c r="B389" s="75" t="str"/>
      <x:c r="C389" s="75" t="n">
        <x:f>IFERROR(LET(x,MID($B389,FIND("/models/",$B389)+8,80),y,LEFT(x,FIND("-",x&amp;"-")-1),LEFT(y,FIND("?",y&amp;"?")-1)),"")</x:f>
        <x:v>80</x:v>
      </x:c>
      <x:c r="D389" s="75" t="str">
        <x:f>IF($B389="","",IFERROR(XLOOKUP($C389,MakerWorld_Verileri!$A:$A,MakerWorld_Verileri!$B:$B,""),""))</x:f>
      </x:c>
      <x:c r="E389" s="75" t="str">
        <x:f>IF($B389="","",IFERROR(XLOOKUP($C389,MakerWorld_Verileri!$A:$A,MakerWorld_Verileri!$C:$C,""),""))</x:f>
      </x:c>
      <x:c r="F389" s="75" t="str"/>
      <x:c r="G389" s="75" t="str">
        <x:f>IF($B389&lt;&gt;"",Ayarlar!$B$7,"")</x:f>
      </x:c>
      <x:c r="H389" s="82" t="str">
        <x:f>IF($B389&lt;&gt;"",1,"")</x:f>
      </x:c>
      <x:c r="I389" s="82" t="str">
        <x:f>IF($B389="","",IFERROR(XLOOKUP($C389,MakerWorld_Verileri!$A:$A,MakerWorld_Verileri!$D:$D,""),""))</x:f>
      </x:c>
      <x:c r="J389" s="82" t="str"/>
      <x:c r="K389" s="82" t="str">
        <x:f>IF($I389&lt;&gt;"",$I389,$J389)</x:f>
      </x:c>
      <x:c r="L389" s="82" t="str">
        <x:f>IF($B389="","",IFERROR(XLOOKUP($C389,MakerWorld_Verileri!$A:$A,MakerWorld_Verileri!$E:$E,""),""))</x:f>
      </x:c>
      <x:c r="M389" s="82" t="str"/>
      <x:c r="N389" s="82" t="str">
        <x:f>IF($L389&lt;&gt;"",$L389,$M389)</x:f>
      </x:c>
      <x:c r="O389" s="82" t="str">
        <x:f>IF($B389&lt;&gt;"",0,"")</x:f>
      </x:c>
      <x:c r="P389" s="75" t="str">
        <x:f>IF($B389&lt;&gt;"","Orta","")</x:f>
      </x:c>
      <x:c r="Q389" s="82" t="str">
        <x:f>IF($B389&lt;&gt;"",10,"")</x:f>
      </x:c>
      <x:c r="R389" s="83" t="str">
        <x:f>IF($B389&lt;&gt;"",Ayarlar!$B$10,"")</x:f>
      </x:c>
      <x:c r="S389" s="83" t="str">
        <x:f>IF($B389&lt;&gt;"",0,"")</x:f>
      </x:c>
      <x:c r="T389" s="83" t="n">
        <x:f>IFERROR(($K389+$O389)*XLOOKUP($G389,Ayarlar!$A$19:$A$28,Ayarlar!$C$19:$C$28,0)*(1+Ayarlar!$B$11),0)</x:f>
        <x:v>0</x:v>
      </x:c>
      <x:c r="U389" s="83" t="n">
        <x:f>IFERROR($N389/60*Ayarlar!$B$8,0)</x:f>
        <x:v>0</x:v>
      </x:c>
      <x:c r="V389" s="83" t="n">
        <x:f>IF($B389&lt;&gt;"",Ayarlar!$B$12+($Q389/60*Ayarlar!$B$9),0)</x:f>
        <x:v>0</x:v>
      </x:c>
      <x:c r="W389" s="83" t="n">
        <x:f>IF($B389&lt;&gt;"",SUM($T389:$V389,$R389:$S389),0)</x:f>
        <x:v>0</x:v>
      </x:c>
      <x:c r="X389" s="83" t="n">
        <x:f>IF($B389&lt;&gt;"",$W389*Ayarlar!$B$15,0)</x:f>
        <x:v>0</x:v>
      </x:c>
      <x:c r="Y389" s="83" t="n">
        <x:f>IF($B389&lt;&gt;"",($W389+$X389)*Ayarlar!$B$13,0)</x:f>
        <x:v>0</x:v>
      </x:c>
      <x:c r="Z389" s="83" t="n">
        <x:f>IF($B389&lt;&gt;"",($W389+$X389+$Y389)*Ayarlar!$B$14,0)</x:f>
        <x:v>0</x:v>
      </x:c>
      <x:c r="AA389" s="83" t="str">
        <x:f>IF($B389="","",IF(OR($K389="",$N389=""),"",CEILING($W389+$X389+$Y389+$Z389,Ayarlar!$B$16)))</x:f>
      </x:c>
      <x:c r="AB389" s="83" t="str">
        <x:f>IFERROR($AA389/$H389,"")</x:f>
      </x:c>
      <x:c r="AC389" s="75" t="str">
        <x:f>IF($B389="","",IF(OR($K389="",$N389=""),"Veri Eksik","Fiyat Hazır"))</x:f>
      </x:c>
      <x:c r="AD389" s="75" t="str">
        <x:f>IF($C389&lt;&gt;"","MW-"&amp;$C389,"")</x:f>
        <x:v>MW-80</x:v>
      </x:c>
      <x:c r="AE389" s="75" t="str">
        <x:f>IF($G389&lt;&gt;"","3D Baskı / "&amp;$G389,"3D Baskı")</x:f>
        <x:v>3D Baskı</x:v>
      </x:c>
      <x:c r="AF389" s="75" t="str">
        <x:f>IF($D389&lt;&gt;"",$D389&amp;" - "&amp;$G389,$AD389&amp;" - "&amp;$G389)</x:f>
        <x:v>MW-80 - </x:v>
      </x:c>
      <x:c r="AG389" s="75" t="str"/>
    </x:row>
    <x:row r="390">
      <x:c r="A390" s="75" t="str">
        <x:f>IF($B390&lt;&gt;"",ROW()-4,"")</x:f>
      </x:c>
      <x:c r="B390" s="75" t="str"/>
      <x:c r="C390" s="75" t="n">
        <x:f>IFERROR(LET(x,MID($B390,FIND("/models/",$B390)+8,80),y,LEFT(x,FIND("-",x&amp;"-")-1),LEFT(y,FIND("?",y&amp;"?")-1)),"")</x:f>
        <x:v>80</x:v>
      </x:c>
      <x:c r="D390" s="75" t="str">
        <x:f>IF($B390="","",IFERROR(XLOOKUP($C390,MakerWorld_Verileri!$A:$A,MakerWorld_Verileri!$B:$B,""),""))</x:f>
      </x:c>
      <x:c r="E390" s="75" t="str">
        <x:f>IF($B390="","",IFERROR(XLOOKUP($C390,MakerWorld_Verileri!$A:$A,MakerWorld_Verileri!$C:$C,""),""))</x:f>
      </x:c>
      <x:c r="F390" s="75" t="str"/>
      <x:c r="G390" s="75" t="str">
        <x:f>IF($B390&lt;&gt;"",Ayarlar!$B$7,"")</x:f>
      </x:c>
      <x:c r="H390" s="82" t="str">
        <x:f>IF($B390&lt;&gt;"",1,"")</x:f>
      </x:c>
      <x:c r="I390" s="82" t="str">
        <x:f>IF($B390="","",IFERROR(XLOOKUP($C390,MakerWorld_Verileri!$A:$A,MakerWorld_Verileri!$D:$D,""),""))</x:f>
      </x:c>
      <x:c r="J390" s="82" t="str"/>
      <x:c r="K390" s="82" t="str">
        <x:f>IF($I390&lt;&gt;"",$I390,$J390)</x:f>
      </x:c>
      <x:c r="L390" s="82" t="str">
        <x:f>IF($B390="","",IFERROR(XLOOKUP($C390,MakerWorld_Verileri!$A:$A,MakerWorld_Verileri!$E:$E,""),""))</x:f>
      </x:c>
      <x:c r="M390" s="82" t="str"/>
      <x:c r="N390" s="82" t="str">
        <x:f>IF($L390&lt;&gt;"",$L390,$M390)</x:f>
      </x:c>
      <x:c r="O390" s="82" t="str">
        <x:f>IF($B390&lt;&gt;"",0,"")</x:f>
      </x:c>
      <x:c r="P390" s="75" t="str">
        <x:f>IF($B390&lt;&gt;"","Orta","")</x:f>
      </x:c>
      <x:c r="Q390" s="82" t="str">
        <x:f>IF($B390&lt;&gt;"",10,"")</x:f>
      </x:c>
      <x:c r="R390" s="83" t="str">
        <x:f>IF($B390&lt;&gt;"",Ayarlar!$B$10,"")</x:f>
      </x:c>
      <x:c r="S390" s="83" t="str">
        <x:f>IF($B390&lt;&gt;"",0,"")</x:f>
      </x:c>
      <x:c r="T390" s="83" t="n">
        <x:f>IFERROR(($K390+$O390)*XLOOKUP($G390,Ayarlar!$A$19:$A$28,Ayarlar!$C$19:$C$28,0)*(1+Ayarlar!$B$11),0)</x:f>
        <x:v>0</x:v>
      </x:c>
      <x:c r="U390" s="83" t="n">
        <x:f>IFERROR($N390/60*Ayarlar!$B$8,0)</x:f>
        <x:v>0</x:v>
      </x:c>
      <x:c r="V390" s="83" t="n">
        <x:f>IF($B390&lt;&gt;"",Ayarlar!$B$12+($Q390/60*Ayarlar!$B$9),0)</x:f>
        <x:v>0</x:v>
      </x:c>
      <x:c r="W390" s="83" t="n">
        <x:f>IF($B390&lt;&gt;"",SUM($T390:$V390,$R390:$S390),0)</x:f>
        <x:v>0</x:v>
      </x:c>
      <x:c r="X390" s="83" t="n">
        <x:f>IF($B390&lt;&gt;"",$W390*Ayarlar!$B$15,0)</x:f>
        <x:v>0</x:v>
      </x:c>
      <x:c r="Y390" s="83" t="n">
        <x:f>IF($B390&lt;&gt;"",($W390+$X390)*Ayarlar!$B$13,0)</x:f>
        <x:v>0</x:v>
      </x:c>
      <x:c r="Z390" s="83" t="n">
        <x:f>IF($B390&lt;&gt;"",($W390+$X390+$Y390)*Ayarlar!$B$14,0)</x:f>
        <x:v>0</x:v>
      </x:c>
      <x:c r="AA390" s="83" t="str">
        <x:f>IF($B390="","",IF(OR($K390="",$N390=""),"",CEILING($W390+$X390+$Y390+$Z390,Ayarlar!$B$16)))</x:f>
      </x:c>
      <x:c r="AB390" s="83" t="str">
        <x:f>IFERROR($AA390/$H390,"")</x:f>
      </x:c>
      <x:c r="AC390" s="75" t="str">
        <x:f>IF($B390="","",IF(OR($K390="",$N390=""),"Veri Eksik","Fiyat Hazır"))</x:f>
      </x:c>
      <x:c r="AD390" s="75" t="str">
        <x:f>IF($C390&lt;&gt;"","MW-"&amp;$C390,"")</x:f>
        <x:v>MW-80</x:v>
      </x:c>
      <x:c r="AE390" s="75" t="str">
        <x:f>IF($G390&lt;&gt;"","3D Baskı / "&amp;$G390,"3D Baskı")</x:f>
        <x:v>3D Baskı</x:v>
      </x:c>
      <x:c r="AF390" s="75" t="str">
        <x:f>IF($D390&lt;&gt;"",$D390&amp;" - "&amp;$G390,$AD390&amp;" - "&amp;$G390)</x:f>
        <x:v>MW-80 - </x:v>
      </x:c>
      <x:c r="AG390" s="75" t="str"/>
    </x:row>
    <x:row r="391">
      <x:c r="A391" s="75" t="str">
        <x:f>IF($B391&lt;&gt;"",ROW()-4,"")</x:f>
      </x:c>
      <x:c r="B391" s="75" t="str"/>
      <x:c r="C391" s="75" t="n">
        <x:f>IFERROR(LET(x,MID($B391,FIND("/models/",$B391)+8,80),y,LEFT(x,FIND("-",x&amp;"-")-1),LEFT(y,FIND("?",y&amp;"?")-1)),"")</x:f>
        <x:v>80</x:v>
      </x:c>
      <x:c r="D391" s="75" t="str">
        <x:f>IF($B391="","",IFERROR(XLOOKUP($C391,MakerWorld_Verileri!$A:$A,MakerWorld_Verileri!$B:$B,""),""))</x:f>
      </x:c>
      <x:c r="E391" s="75" t="str">
        <x:f>IF($B391="","",IFERROR(XLOOKUP($C391,MakerWorld_Verileri!$A:$A,MakerWorld_Verileri!$C:$C,""),""))</x:f>
      </x:c>
      <x:c r="F391" s="75" t="str"/>
      <x:c r="G391" s="75" t="str">
        <x:f>IF($B391&lt;&gt;"",Ayarlar!$B$7,"")</x:f>
      </x:c>
      <x:c r="H391" s="82" t="str">
        <x:f>IF($B391&lt;&gt;"",1,"")</x:f>
      </x:c>
      <x:c r="I391" s="82" t="str">
        <x:f>IF($B391="","",IFERROR(XLOOKUP($C391,MakerWorld_Verileri!$A:$A,MakerWorld_Verileri!$D:$D,""),""))</x:f>
      </x:c>
      <x:c r="J391" s="82" t="str"/>
      <x:c r="K391" s="82" t="str">
        <x:f>IF($I391&lt;&gt;"",$I391,$J391)</x:f>
      </x:c>
      <x:c r="L391" s="82" t="str">
        <x:f>IF($B391="","",IFERROR(XLOOKUP($C391,MakerWorld_Verileri!$A:$A,MakerWorld_Verileri!$E:$E,""),""))</x:f>
      </x:c>
      <x:c r="M391" s="82" t="str"/>
      <x:c r="N391" s="82" t="str">
        <x:f>IF($L391&lt;&gt;"",$L391,$M391)</x:f>
      </x:c>
      <x:c r="O391" s="82" t="str">
        <x:f>IF($B391&lt;&gt;"",0,"")</x:f>
      </x:c>
      <x:c r="P391" s="75" t="str">
        <x:f>IF($B391&lt;&gt;"","Orta","")</x:f>
      </x:c>
      <x:c r="Q391" s="82" t="str">
        <x:f>IF($B391&lt;&gt;"",10,"")</x:f>
      </x:c>
      <x:c r="R391" s="83" t="str">
        <x:f>IF($B391&lt;&gt;"",Ayarlar!$B$10,"")</x:f>
      </x:c>
      <x:c r="S391" s="83" t="str">
        <x:f>IF($B391&lt;&gt;"",0,"")</x:f>
      </x:c>
      <x:c r="T391" s="83" t="n">
        <x:f>IFERROR(($K391+$O391)*XLOOKUP($G391,Ayarlar!$A$19:$A$28,Ayarlar!$C$19:$C$28,0)*(1+Ayarlar!$B$11),0)</x:f>
        <x:v>0</x:v>
      </x:c>
      <x:c r="U391" s="83" t="n">
        <x:f>IFERROR($N391/60*Ayarlar!$B$8,0)</x:f>
        <x:v>0</x:v>
      </x:c>
      <x:c r="V391" s="83" t="n">
        <x:f>IF($B391&lt;&gt;"",Ayarlar!$B$12+($Q391/60*Ayarlar!$B$9),0)</x:f>
        <x:v>0</x:v>
      </x:c>
      <x:c r="W391" s="83" t="n">
        <x:f>IF($B391&lt;&gt;"",SUM($T391:$V391,$R391:$S391),0)</x:f>
        <x:v>0</x:v>
      </x:c>
      <x:c r="X391" s="83" t="n">
        <x:f>IF($B391&lt;&gt;"",$W391*Ayarlar!$B$15,0)</x:f>
        <x:v>0</x:v>
      </x:c>
      <x:c r="Y391" s="83" t="n">
        <x:f>IF($B391&lt;&gt;"",($W391+$X391)*Ayarlar!$B$13,0)</x:f>
        <x:v>0</x:v>
      </x:c>
      <x:c r="Z391" s="83" t="n">
        <x:f>IF($B391&lt;&gt;"",($W391+$X391+$Y391)*Ayarlar!$B$14,0)</x:f>
        <x:v>0</x:v>
      </x:c>
      <x:c r="AA391" s="83" t="str">
        <x:f>IF($B391="","",IF(OR($K391="",$N391=""),"",CEILING($W391+$X391+$Y391+$Z391,Ayarlar!$B$16)))</x:f>
      </x:c>
      <x:c r="AB391" s="83" t="str">
        <x:f>IFERROR($AA391/$H391,"")</x:f>
      </x:c>
      <x:c r="AC391" s="75" t="str">
        <x:f>IF($B391="","",IF(OR($K391="",$N391=""),"Veri Eksik","Fiyat Hazır"))</x:f>
      </x:c>
      <x:c r="AD391" s="75" t="str">
        <x:f>IF($C391&lt;&gt;"","MW-"&amp;$C391,"")</x:f>
        <x:v>MW-80</x:v>
      </x:c>
      <x:c r="AE391" s="75" t="str">
        <x:f>IF($G391&lt;&gt;"","3D Baskı / "&amp;$G391,"3D Baskı")</x:f>
        <x:v>3D Baskı</x:v>
      </x:c>
      <x:c r="AF391" s="75" t="str">
        <x:f>IF($D391&lt;&gt;"",$D391&amp;" - "&amp;$G391,$AD391&amp;" - "&amp;$G391)</x:f>
        <x:v>MW-80 - </x:v>
      </x:c>
      <x:c r="AG391" s="75" t="str"/>
    </x:row>
    <x:row r="392">
      <x:c r="A392" s="75" t="str">
        <x:f>IF($B392&lt;&gt;"",ROW()-4,"")</x:f>
      </x:c>
      <x:c r="B392" s="75" t="str"/>
      <x:c r="C392" s="75" t="n">
        <x:f>IFERROR(LET(x,MID($B392,FIND("/models/",$B392)+8,80),y,LEFT(x,FIND("-",x&amp;"-")-1),LEFT(y,FIND("?",y&amp;"?")-1)),"")</x:f>
        <x:v>80</x:v>
      </x:c>
      <x:c r="D392" s="75" t="str">
        <x:f>IF($B392="","",IFERROR(XLOOKUP($C392,MakerWorld_Verileri!$A:$A,MakerWorld_Verileri!$B:$B,""),""))</x:f>
      </x:c>
      <x:c r="E392" s="75" t="str">
        <x:f>IF($B392="","",IFERROR(XLOOKUP($C392,MakerWorld_Verileri!$A:$A,MakerWorld_Verileri!$C:$C,""),""))</x:f>
      </x:c>
      <x:c r="F392" s="75" t="str"/>
      <x:c r="G392" s="75" t="str">
        <x:f>IF($B392&lt;&gt;"",Ayarlar!$B$7,"")</x:f>
      </x:c>
      <x:c r="H392" s="82" t="str">
        <x:f>IF($B392&lt;&gt;"",1,"")</x:f>
      </x:c>
      <x:c r="I392" s="82" t="str">
        <x:f>IF($B392="","",IFERROR(XLOOKUP($C392,MakerWorld_Verileri!$A:$A,MakerWorld_Verileri!$D:$D,""),""))</x:f>
      </x:c>
      <x:c r="J392" s="82" t="str"/>
      <x:c r="K392" s="82" t="str">
        <x:f>IF($I392&lt;&gt;"",$I392,$J392)</x:f>
      </x:c>
      <x:c r="L392" s="82" t="str">
        <x:f>IF($B392="","",IFERROR(XLOOKUP($C392,MakerWorld_Verileri!$A:$A,MakerWorld_Verileri!$E:$E,""),""))</x:f>
      </x:c>
      <x:c r="M392" s="82" t="str"/>
      <x:c r="N392" s="82" t="str">
        <x:f>IF($L392&lt;&gt;"",$L392,$M392)</x:f>
      </x:c>
      <x:c r="O392" s="82" t="str">
        <x:f>IF($B392&lt;&gt;"",0,"")</x:f>
      </x:c>
      <x:c r="P392" s="75" t="str">
        <x:f>IF($B392&lt;&gt;"","Orta","")</x:f>
      </x:c>
      <x:c r="Q392" s="82" t="str">
        <x:f>IF($B392&lt;&gt;"",10,"")</x:f>
      </x:c>
      <x:c r="R392" s="83" t="str">
        <x:f>IF($B392&lt;&gt;"",Ayarlar!$B$10,"")</x:f>
      </x:c>
      <x:c r="S392" s="83" t="str">
        <x:f>IF($B392&lt;&gt;"",0,"")</x:f>
      </x:c>
      <x:c r="T392" s="83" t="n">
        <x:f>IFERROR(($K392+$O392)*XLOOKUP($G392,Ayarlar!$A$19:$A$28,Ayarlar!$C$19:$C$28,0)*(1+Ayarlar!$B$11),0)</x:f>
        <x:v>0</x:v>
      </x:c>
      <x:c r="U392" s="83" t="n">
        <x:f>IFERROR($N392/60*Ayarlar!$B$8,0)</x:f>
        <x:v>0</x:v>
      </x:c>
      <x:c r="V392" s="83" t="n">
        <x:f>IF($B392&lt;&gt;"",Ayarlar!$B$12+($Q392/60*Ayarlar!$B$9),0)</x:f>
        <x:v>0</x:v>
      </x:c>
      <x:c r="W392" s="83" t="n">
        <x:f>IF($B392&lt;&gt;"",SUM($T392:$V392,$R392:$S392),0)</x:f>
        <x:v>0</x:v>
      </x:c>
      <x:c r="X392" s="83" t="n">
        <x:f>IF($B392&lt;&gt;"",$W392*Ayarlar!$B$15,0)</x:f>
        <x:v>0</x:v>
      </x:c>
      <x:c r="Y392" s="83" t="n">
        <x:f>IF($B392&lt;&gt;"",($W392+$X392)*Ayarlar!$B$13,0)</x:f>
        <x:v>0</x:v>
      </x:c>
      <x:c r="Z392" s="83" t="n">
        <x:f>IF($B392&lt;&gt;"",($W392+$X392+$Y392)*Ayarlar!$B$14,0)</x:f>
        <x:v>0</x:v>
      </x:c>
      <x:c r="AA392" s="83" t="str">
        <x:f>IF($B392="","",IF(OR($K392="",$N392=""),"",CEILING($W392+$X392+$Y392+$Z392,Ayarlar!$B$16)))</x:f>
      </x:c>
      <x:c r="AB392" s="83" t="str">
        <x:f>IFERROR($AA392/$H392,"")</x:f>
      </x:c>
      <x:c r="AC392" s="75" t="str">
        <x:f>IF($B392="","",IF(OR($K392="",$N392=""),"Veri Eksik","Fiyat Hazır"))</x:f>
      </x:c>
      <x:c r="AD392" s="75" t="str">
        <x:f>IF($C392&lt;&gt;"","MW-"&amp;$C392,"")</x:f>
        <x:v>MW-80</x:v>
      </x:c>
      <x:c r="AE392" s="75" t="str">
        <x:f>IF($G392&lt;&gt;"","3D Baskı / "&amp;$G392,"3D Baskı")</x:f>
        <x:v>3D Baskı</x:v>
      </x:c>
      <x:c r="AF392" s="75" t="str">
        <x:f>IF($D392&lt;&gt;"",$D392&amp;" - "&amp;$G392,$AD392&amp;" - "&amp;$G392)</x:f>
        <x:v>MW-80 - </x:v>
      </x:c>
      <x:c r="AG392" s="75" t="str"/>
    </x:row>
    <x:row r="393">
      <x:c r="A393" s="75" t="str">
        <x:f>IF($B393&lt;&gt;"",ROW()-4,"")</x:f>
      </x:c>
      <x:c r="B393" s="75" t="str"/>
      <x:c r="C393" s="75" t="n">
        <x:f>IFERROR(LET(x,MID($B393,FIND("/models/",$B393)+8,80),y,LEFT(x,FIND("-",x&amp;"-")-1),LEFT(y,FIND("?",y&amp;"?")-1)),"")</x:f>
        <x:v>80</x:v>
      </x:c>
      <x:c r="D393" s="75" t="str">
        <x:f>IF($B393="","",IFERROR(XLOOKUP($C393,MakerWorld_Verileri!$A:$A,MakerWorld_Verileri!$B:$B,""),""))</x:f>
      </x:c>
      <x:c r="E393" s="75" t="str">
        <x:f>IF($B393="","",IFERROR(XLOOKUP($C393,MakerWorld_Verileri!$A:$A,MakerWorld_Verileri!$C:$C,""),""))</x:f>
      </x:c>
      <x:c r="F393" s="75" t="str"/>
      <x:c r="G393" s="75" t="str">
        <x:f>IF($B393&lt;&gt;"",Ayarlar!$B$7,"")</x:f>
      </x:c>
      <x:c r="H393" s="82" t="str">
        <x:f>IF($B393&lt;&gt;"",1,"")</x:f>
      </x:c>
      <x:c r="I393" s="82" t="str">
        <x:f>IF($B393="","",IFERROR(XLOOKUP($C393,MakerWorld_Verileri!$A:$A,MakerWorld_Verileri!$D:$D,""),""))</x:f>
      </x:c>
      <x:c r="J393" s="82" t="str"/>
      <x:c r="K393" s="82" t="str">
        <x:f>IF($I393&lt;&gt;"",$I393,$J393)</x:f>
      </x:c>
      <x:c r="L393" s="82" t="str">
        <x:f>IF($B393="","",IFERROR(XLOOKUP($C393,MakerWorld_Verileri!$A:$A,MakerWorld_Verileri!$E:$E,""),""))</x:f>
      </x:c>
      <x:c r="M393" s="82" t="str"/>
      <x:c r="N393" s="82" t="str">
        <x:f>IF($L393&lt;&gt;"",$L393,$M393)</x:f>
      </x:c>
      <x:c r="O393" s="82" t="str">
        <x:f>IF($B393&lt;&gt;"",0,"")</x:f>
      </x:c>
      <x:c r="P393" s="75" t="str">
        <x:f>IF($B393&lt;&gt;"","Orta","")</x:f>
      </x:c>
      <x:c r="Q393" s="82" t="str">
        <x:f>IF($B393&lt;&gt;"",10,"")</x:f>
      </x:c>
      <x:c r="R393" s="83" t="str">
        <x:f>IF($B393&lt;&gt;"",Ayarlar!$B$10,"")</x:f>
      </x:c>
      <x:c r="S393" s="83" t="str">
        <x:f>IF($B393&lt;&gt;"",0,"")</x:f>
      </x:c>
      <x:c r="T393" s="83" t="n">
        <x:f>IFERROR(($K393+$O393)*XLOOKUP($G393,Ayarlar!$A$19:$A$28,Ayarlar!$C$19:$C$28,0)*(1+Ayarlar!$B$11),0)</x:f>
        <x:v>0</x:v>
      </x:c>
      <x:c r="U393" s="83" t="n">
        <x:f>IFERROR($N393/60*Ayarlar!$B$8,0)</x:f>
        <x:v>0</x:v>
      </x:c>
      <x:c r="V393" s="83" t="n">
        <x:f>IF($B393&lt;&gt;"",Ayarlar!$B$12+($Q393/60*Ayarlar!$B$9),0)</x:f>
        <x:v>0</x:v>
      </x:c>
      <x:c r="W393" s="83" t="n">
        <x:f>IF($B393&lt;&gt;"",SUM($T393:$V393,$R393:$S393),0)</x:f>
        <x:v>0</x:v>
      </x:c>
      <x:c r="X393" s="83" t="n">
        <x:f>IF($B393&lt;&gt;"",$W393*Ayarlar!$B$15,0)</x:f>
        <x:v>0</x:v>
      </x:c>
      <x:c r="Y393" s="83" t="n">
        <x:f>IF($B393&lt;&gt;"",($W393+$X393)*Ayarlar!$B$13,0)</x:f>
        <x:v>0</x:v>
      </x:c>
      <x:c r="Z393" s="83" t="n">
        <x:f>IF($B393&lt;&gt;"",($W393+$X393+$Y393)*Ayarlar!$B$14,0)</x:f>
        <x:v>0</x:v>
      </x:c>
      <x:c r="AA393" s="83" t="str">
        <x:f>IF($B393="","",IF(OR($K393="",$N393=""),"",CEILING($W393+$X393+$Y393+$Z393,Ayarlar!$B$16)))</x:f>
      </x:c>
      <x:c r="AB393" s="83" t="str">
        <x:f>IFERROR($AA393/$H393,"")</x:f>
      </x:c>
      <x:c r="AC393" s="75" t="str">
        <x:f>IF($B393="","",IF(OR($K393="",$N393=""),"Veri Eksik","Fiyat Hazır"))</x:f>
      </x:c>
      <x:c r="AD393" s="75" t="str">
        <x:f>IF($C393&lt;&gt;"","MW-"&amp;$C393,"")</x:f>
        <x:v>MW-80</x:v>
      </x:c>
      <x:c r="AE393" s="75" t="str">
        <x:f>IF($G393&lt;&gt;"","3D Baskı / "&amp;$G393,"3D Baskı")</x:f>
        <x:v>3D Baskı</x:v>
      </x:c>
      <x:c r="AF393" s="75" t="str">
        <x:f>IF($D393&lt;&gt;"",$D393&amp;" - "&amp;$G393,$AD393&amp;" - "&amp;$G393)</x:f>
        <x:v>MW-80 - </x:v>
      </x:c>
      <x:c r="AG393" s="75" t="str"/>
    </x:row>
    <x:row r="394">
      <x:c r="A394" s="75" t="str">
        <x:f>IF($B394&lt;&gt;"",ROW()-4,"")</x:f>
      </x:c>
      <x:c r="B394" s="75" t="str"/>
      <x:c r="C394" s="75" t="n">
        <x:f>IFERROR(LET(x,MID($B394,FIND("/models/",$B394)+8,80),y,LEFT(x,FIND("-",x&amp;"-")-1),LEFT(y,FIND("?",y&amp;"?")-1)),"")</x:f>
        <x:v>80</x:v>
      </x:c>
      <x:c r="D394" s="75" t="str">
        <x:f>IF($B394="","",IFERROR(XLOOKUP($C394,MakerWorld_Verileri!$A:$A,MakerWorld_Verileri!$B:$B,""),""))</x:f>
      </x:c>
      <x:c r="E394" s="75" t="str">
        <x:f>IF($B394="","",IFERROR(XLOOKUP($C394,MakerWorld_Verileri!$A:$A,MakerWorld_Verileri!$C:$C,""),""))</x:f>
      </x:c>
      <x:c r="F394" s="75" t="str"/>
      <x:c r="G394" s="75" t="str">
        <x:f>IF($B394&lt;&gt;"",Ayarlar!$B$7,"")</x:f>
      </x:c>
      <x:c r="H394" s="82" t="str">
        <x:f>IF($B394&lt;&gt;"",1,"")</x:f>
      </x:c>
      <x:c r="I394" s="82" t="str">
        <x:f>IF($B394="","",IFERROR(XLOOKUP($C394,MakerWorld_Verileri!$A:$A,MakerWorld_Verileri!$D:$D,""),""))</x:f>
      </x:c>
      <x:c r="J394" s="82" t="str"/>
      <x:c r="K394" s="82" t="str">
        <x:f>IF($I394&lt;&gt;"",$I394,$J394)</x:f>
      </x:c>
      <x:c r="L394" s="82" t="str">
        <x:f>IF($B394="","",IFERROR(XLOOKUP($C394,MakerWorld_Verileri!$A:$A,MakerWorld_Verileri!$E:$E,""),""))</x:f>
      </x:c>
      <x:c r="M394" s="82" t="str"/>
      <x:c r="N394" s="82" t="str">
        <x:f>IF($L394&lt;&gt;"",$L394,$M394)</x:f>
      </x:c>
      <x:c r="O394" s="82" t="str">
        <x:f>IF($B394&lt;&gt;"",0,"")</x:f>
      </x:c>
      <x:c r="P394" s="75" t="str">
        <x:f>IF($B394&lt;&gt;"","Orta","")</x:f>
      </x:c>
      <x:c r="Q394" s="82" t="str">
        <x:f>IF($B394&lt;&gt;"",10,"")</x:f>
      </x:c>
      <x:c r="R394" s="83" t="str">
        <x:f>IF($B394&lt;&gt;"",Ayarlar!$B$10,"")</x:f>
      </x:c>
      <x:c r="S394" s="83" t="str">
        <x:f>IF($B394&lt;&gt;"",0,"")</x:f>
      </x:c>
      <x:c r="T394" s="83" t="n">
        <x:f>IFERROR(($K394+$O394)*XLOOKUP($G394,Ayarlar!$A$19:$A$28,Ayarlar!$C$19:$C$28,0)*(1+Ayarlar!$B$11),0)</x:f>
        <x:v>0</x:v>
      </x:c>
      <x:c r="U394" s="83" t="n">
        <x:f>IFERROR($N394/60*Ayarlar!$B$8,0)</x:f>
        <x:v>0</x:v>
      </x:c>
      <x:c r="V394" s="83" t="n">
        <x:f>IF($B394&lt;&gt;"",Ayarlar!$B$12+($Q394/60*Ayarlar!$B$9),0)</x:f>
        <x:v>0</x:v>
      </x:c>
      <x:c r="W394" s="83" t="n">
        <x:f>IF($B394&lt;&gt;"",SUM($T394:$V394,$R394:$S394),0)</x:f>
        <x:v>0</x:v>
      </x:c>
      <x:c r="X394" s="83" t="n">
        <x:f>IF($B394&lt;&gt;"",$W394*Ayarlar!$B$15,0)</x:f>
        <x:v>0</x:v>
      </x:c>
      <x:c r="Y394" s="83" t="n">
        <x:f>IF($B394&lt;&gt;"",($W394+$X394)*Ayarlar!$B$13,0)</x:f>
        <x:v>0</x:v>
      </x:c>
      <x:c r="Z394" s="83" t="n">
        <x:f>IF($B394&lt;&gt;"",($W394+$X394+$Y394)*Ayarlar!$B$14,0)</x:f>
        <x:v>0</x:v>
      </x:c>
      <x:c r="AA394" s="83" t="str">
        <x:f>IF($B394="","",IF(OR($K394="",$N394=""),"",CEILING($W394+$X394+$Y394+$Z394,Ayarlar!$B$16)))</x:f>
      </x:c>
      <x:c r="AB394" s="83" t="str">
        <x:f>IFERROR($AA394/$H394,"")</x:f>
      </x:c>
      <x:c r="AC394" s="75" t="str">
        <x:f>IF($B394="","",IF(OR($K394="",$N394=""),"Veri Eksik","Fiyat Hazır"))</x:f>
      </x:c>
      <x:c r="AD394" s="75" t="str">
        <x:f>IF($C394&lt;&gt;"","MW-"&amp;$C394,"")</x:f>
        <x:v>MW-80</x:v>
      </x:c>
      <x:c r="AE394" s="75" t="str">
        <x:f>IF($G394&lt;&gt;"","3D Baskı / "&amp;$G394,"3D Baskı")</x:f>
        <x:v>3D Baskı</x:v>
      </x:c>
      <x:c r="AF394" s="75" t="str">
        <x:f>IF($D394&lt;&gt;"",$D394&amp;" - "&amp;$G394,$AD394&amp;" - "&amp;$G394)</x:f>
        <x:v>MW-80 - </x:v>
      </x:c>
      <x:c r="AG394" s="75" t="str"/>
    </x:row>
    <x:row r="395">
      <x:c r="A395" s="75" t="str">
        <x:f>IF($B395&lt;&gt;"",ROW()-4,"")</x:f>
      </x:c>
      <x:c r="B395" s="75" t="str"/>
      <x:c r="C395" s="75" t="n">
        <x:f>IFERROR(LET(x,MID($B395,FIND("/models/",$B395)+8,80),y,LEFT(x,FIND("-",x&amp;"-")-1),LEFT(y,FIND("?",y&amp;"?")-1)),"")</x:f>
        <x:v>80</x:v>
      </x:c>
      <x:c r="D395" s="75" t="str">
        <x:f>IF($B395="","",IFERROR(XLOOKUP($C395,MakerWorld_Verileri!$A:$A,MakerWorld_Verileri!$B:$B,""),""))</x:f>
      </x:c>
      <x:c r="E395" s="75" t="str">
        <x:f>IF($B395="","",IFERROR(XLOOKUP($C395,MakerWorld_Verileri!$A:$A,MakerWorld_Verileri!$C:$C,""),""))</x:f>
      </x:c>
      <x:c r="F395" s="75" t="str"/>
      <x:c r="G395" s="75" t="str">
        <x:f>IF($B395&lt;&gt;"",Ayarlar!$B$7,"")</x:f>
      </x:c>
      <x:c r="H395" s="82" t="str">
        <x:f>IF($B395&lt;&gt;"",1,"")</x:f>
      </x:c>
      <x:c r="I395" s="82" t="str">
        <x:f>IF($B395="","",IFERROR(XLOOKUP($C395,MakerWorld_Verileri!$A:$A,MakerWorld_Verileri!$D:$D,""),""))</x:f>
      </x:c>
      <x:c r="J395" s="82" t="str"/>
      <x:c r="K395" s="82" t="str">
        <x:f>IF($I395&lt;&gt;"",$I395,$J395)</x:f>
      </x:c>
      <x:c r="L395" s="82" t="str">
        <x:f>IF($B395="","",IFERROR(XLOOKUP($C395,MakerWorld_Verileri!$A:$A,MakerWorld_Verileri!$E:$E,""),""))</x:f>
      </x:c>
      <x:c r="M395" s="82" t="str"/>
      <x:c r="N395" s="82" t="str">
        <x:f>IF($L395&lt;&gt;"",$L395,$M395)</x:f>
      </x:c>
      <x:c r="O395" s="82" t="str">
        <x:f>IF($B395&lt;&gt;"",0,"")</x:f>
      </x:c>
      <x:c r="P395" s="75" t="str">
        <x:f>IF($B395&lt;&gt;"","Orta","")</x:f>
      </x:c>
      <x:c r="Q395" s="82" t="str">
        <x:f>IF($B395&lt;&gt;"",10,"")</x:f>
      </x:c>
      <x:c r="R395" s="83" t="str">
        <x:f>IF($B395&lt;&gt;"",Ayarlar!$B$10,"")</x:f>
      </x:c>
      <x:c r="S395" s="83" t="str">
        <x:f>IF($B395&lt;&gt;"",0,"")</x:f>
      </x:c>
      <x:c r="T395" s="83" t="n">
        <x:f>IFERROR(($K395+$O395)*XLOOKUP($G395,Ayarlar!$A$19:$A$28,Ayarlar!$C$19:$C$28,0)*(1+Ayarlar!$B$11),0)</x:f>
        <x:v>0</x:v>
      </x:c>
      <x:c r="U395" s="83" t="n">
        <x:f>IFERROR($N395/60*Ayarlar!$B$8,0)</x:f>
        <x:v>0</x:v>
      </x:c>
      <x:c r="V395" s="83" t="n">
        <x:f>IF($B395&lt;&gt;"",Ayarlar!$B$12+($Q395/60*Ayarlar!$B$9),0)</x:f>
        <x:v>0</x:v>
      </x:c>
      <x:c r="W395" s="83" t="n">
        <x:f>IF($B395&lt;&gt;"",SUM($T395:$V395,$R395:$S395),0)</x:f>
        <x:v>0</x:v>
      </x:c>
      <x:c r="X395" s="83" t="n">
        <x:f>IF($B395&lt;&gt;"",$W395*Ayarlar!$B$15,0)</x:f>
        <x:v>0</x:v>
      </x:c>
      <x:c r="Y395" s="83" t="n">
        <x:f>IF($B395&lt;&gt;"",($W395+$X395)*Ayarlar!$B$13,0)</x:f>
        <x:v>0</x:v>
      </x:c>
      <x:c r="Z395" s="83" t="n">
        <x:f>IF($B395&lt;&gt;"",($W395+$X395+$Y395)*Ayarlar!$B$14,0)</x:f>
        <x:v>0</x:v>
      </x:c>
      <x:c r="AA395" s="83" t="str">
        <x:f>IF($B395="","",IF(OR($K395="",$N395=""),"",CEILING($W395+$X395+$Y395+$Z395,Ayarlar!$B$16)))</x:f>
      </x:c>
      <x:c r="AB395" s="83" t="str">
        <x:f>IFERROR($AA395/$H395,"")</x:f>
      </x:c>
      <x:c r="AC395" s="75" t="str">
        <x:f>IF($B395="","",IF(OR($K395="",$N395=""),"Veri Eksik","Fiyat Hazır"))</x:f>
      </x:c>
      <x:c r="AD395" s="75" t="str">
        <x:f>IF($C395&lt;&gt;"","MW-"&amp;$C395,"")</x:f>
        <x:v>MW-80</x:v>
      </x:c>
      <x:c r="AE395" s="75" t="str">
        <x:f>IF($G395&lt;&gt;"","3D Baskı / "&amp;$G395,"3D Baskı")</x:f>
        <x:v>3D Baskı</x:v>
      </x:c>
      <x:c r="AF395" s="75" t="str">
        <x:f>IF($D395&lt;&gt;"",$D395&amp;" - "&amp;$G395,$AD395&amp;" - "&amp;$G395)</x:f>
        <x:v>MW-80 - </x:v>
      </x:c>
      <x:c r="AG395" s="75" t="str"/>
    </x:row>
    <x:row r="396">
      <x:c r="A396" s="75" t="str">
        <x:f>IF($B396&lt;&gt;"",ROW()-4,"")</x:f>
      </x:c>
      <x:c r="B396" s="75" t="str"/>
      <x:c r="C396" s="75" t="n">
        <x:f>IFERROR(LET(x,MID($B396,FIND("/models/",$B396)+8,80),y,LEFT(x,FIND("-",x&amp;"-")-1),LEFT(y,FIND("?",y&amp;"?")-1)),"")</x:f>
        <x:v>80</x:v>
      </x:c>
      <x:c r="D396" s="75" t="str">
        <x:f>IF($B396="","",IFERROR(XLOOKUP($C396,MakerWorld_Verileri!$A:$A,MakerWorld_Verileri!$B:$B,""),""))</x:f>
      </x:c>
      <x:c r="E396" s="75" t="str">
        <x:f>IF($B396="","",IFERROR(XLOOKUP($C396,MakerWorld_Verileri!$A:$A,MakerWorld_Verileri!$C:$C,""),""))</x:f>
      </x:c>
      <x:c r="F396" s="75" t="str"/>
      <x:c r="G396" s="75" t="str">
        <x:f>IF($B396&lt;&gt;"",Ayarlar!$B$7,"")</x:f>
      </x:c>
      <x:c r="H396" s="82" t="str">
        <x:f>IF($B396&lt;&gt;"",1,"")</x:f>
      </x:c>
      <x:c r="I396" s="82" t="str">
        <x:f>IF($B396="","",IFERROR(XLOOKUP($C396,MakerWorld_Verileri!$A:$A,MakerWorld_Verileri!$D:$D,""),""))</x:f>
      </x:c>
      <x:c r="J396" s="82" t="str"/>
      <x:c r="K396" s="82" t="str">
        <x:f>IF($I396&lt;&gt;"",$I396,$J396)</x:f>
      </x:c>
      <x:c r="L396" s="82" t="str">
        <x:f>IF($B396="","",IFERROR(XLOOKUP($C396,MakerWorld_Verileri!$A:$A,MakerWorld_Verileri!$E:$E,""),""))</x:f>
      </x:c>
      <x:c r="M396" s="82" t="str"/>
      <x:c r="N396" s="82" t="str">
        <x:f>IF($L396&lt;&gt;"",$L396,$M396)</x:f>
      </x:c>
      <x:c r="O396" s="82" t="str">
        <x:f>IF($B396&lt;&gt;"",0,"")</x:f>
      </x:c>
      <x:c r="P396" s="75" t="str">
        <x:f>IF($B396&lt;&gt;"","Orta","")</x:f>
      </x:c>
      <x:c r="Q396" s="82" t="str">
        <x:f>IF($B396&lt;&gt;"",10,"")</x:f>
      </x:c>
      <x:c r="R396" s="83" t="str">
        <x:f>IF($B396&lt;&gt;"",Ayarlar!$B$10,"")</x:f>
      </x:c>
      <x:c r="S396" s="83" t="str">
        <x:f>IF($B396&lt;&gt;"",0,"")</x:f>
      </x:c>
      <x:c r="T396" s="83" t="n">
        <x:f>IFERROR(($K396+$O396)*XLOOKUP($G396,Ayarlar!$A$19:$A$28,Ayarlar!$C$19:$C$28,0)*(1+Ayarlar!$B$11),0)</x:f>
        <x:v>0</x:v>
      </x:c>
      <x:c r="U396" s="83" t="n">
        <x:f>IFERROR($N396/60*Ayarlar!$B$8,0)</x:f>
        <x:v>0</x:v>
      </x:c>
      <x:c r="V396" s="83" t="n">
        <x:f>IF($B396&lt;&gt;"",Ayarlar!$B$12+($Q396/60*Ayarlar!$B$9),0)</x:f>
        <x:v>0</x:v>
      </x:c>
      <x:c r="W396" s="83" t="n">
        <x:f>IF($B396&lt;&gt;"",SUM($T396:$V396,$R396:$S396),0)</x:f>
        <x:v>0</x:v>
      </x:c>
      <x:c r="X396" s="83" t="n">
        <x:f>IF($B396&lt;&gt;"",$W396*Ayarlar!$B$15,0)</x:f>
        <x:v>0</x:v>
      </x:c>
      <x:c r="Y396" s="83" t="n">
        <x:f>IF($B396&lt;&gt;"",($W396+$X396)*Ayarlar!$B$13,0)</x:f>
        <x:v>0</x:v>
      </x:c>
      <x:c r="Z396" s="83" t="n">
        <x:f>IF($B396&lt;&gt;"",($W396+$X396+$Y396)*Ayarlar!$B$14,0)</x:f>
        <x:v>0</x:v>
      </x:c>
      <x:c r="AA396" s="83" t="str">
        <x:f>IF($B396="","",IF(OR($K396="",$N396=""),"",CEILING($W396+$X396+$Y396+$Z396,Ayarlar!$B$16)))</x:f>
      </x:c>
      <x:c r="AB396" s="83" t="str">
        <x:f>IFERROR($AA396/$H396,"")</x:f>
      </x:c>
      <x:c r="AC396" s="75" t="str">
        <x:f>IF($B396="","",IF(OR($K396="",$N396=""),"Veri Eksik","Fiyat Hazır"))</x:f>
      </x:c>
      <x:c r="AD396" s="75" t="str">
        <x:f>IF($C396&lt;&gt;"","MW-"&amp;$C396,"")</x:f>
        <x:v>MW-80</x:v>
      </x:c>
      <x:c r="AE396" s="75" t="str">
        <x:f>IF($G396&lt;&gt;"","3D Baskı / "&amp;$G396,"3D Baskı")</x:f>
        <x:v>3D Baskı</x:v>
      </x:c>
      <x:c r="AF396" s="75" t="str">
        <x:f>IF($D396&lt;&gt;"",$D396&amp;" - "&amp;$G396,$AD396&amp;" - "&amp;$G396)</x:f>
        <x:v>MW-80 - </x:v>
      </x:c>
      <x:c r="AG396" s="75" t="str"/>
    </x:row>
    <x:row r="397">
      <x:c r="A397" s="75" t="str">
        <x:f>IF($B397&lt;&gt;"",ROW()-4,"")</x:f>
      </x:c>
      <x:c r="B397" s="75" t="str"/>
      <x:c r="C397" s="75" t="n">
        <x:f>IFERROR(LET(x,MID($B397,FIND("/models/",$B397)+8,80),y,LEFT(x,FIND("-",x&amp;"-")-1),LEFT(y,FIND("?",y&amp;"?")-1)),"")</x:f>
        <x:v>80</x:v>
      </x:c>
      <x:c r="D397" s="75" t="str">
        <x:f>IF($B397="","",IFERROR(XLOOKUP($C397,MakerWorld_Verileri!$A:$A,MakerWorld_Verileri!$B:$B,""),""))</x:f>
      </x:c>
      <x:c r="E397" s="75" t="str">
        <x:f>IF($B397="","",IFERROR(XLOOKUP($C397,MakerWorld_Verileri!$A:$A,MakerWorld_Verileri!$C:$C,""),""))</x:f>
      </x:c>
      <x:c r="F397" s="75" t="str"/>
      <x:c r="G397" s="75" t="str">
        <x:f>IF($B397&lt;&gt;"",Ayarlar!$B$7,"")</x:f>
      </x:c>
      <x:c r="H397" s="82" t="str">
        <x:f>IF($B397&lt;&gt;"",1,"")</x:f>
      </x:c>
      <x:c r="I397" s="82" t="str">
        <x:f>IF($B397="","",IFERROR(XLOOKUP($C397,MakerWorld_Verileri!$A:$A,MakerWorld_Verileri!$D:$D,""),""))</x:f>
      </x:c>
      <x:c r="J397" s="82" t="str"/>
      <x:c r="K397" s="82" t="str">
        <x:f>IF($I397&lt;&gt;"",$I397,$J397)</x:f>
      </x:c>
      <x:c r="L397" s="82" t="str">
        <x:f>IF($B397="","",IFERROR(XLOOKUP($C397,MakerWorld_Verileri!$A:$A,MakerWorld_Verileri!$E:$E,""),""))</x:f>
      </x:c>
      <x:c r="M397" s="82" t="str"/>
      <x:c r="N397" s="82" t="str">
        <x:f>IF($L397&lt;&gt;"",$L397,$M397)</x:f>
      </x:c>
      <x:c r="O397" s="82" t="str">
        <x:f>IF($B397&lt;&gt;"",0,"")</x:f>
      </x:c>
      <x:c r="P397" s="75" t="str">
        <x:f>IF($B397&lt;&gt;"","Orta","")</x:f>
      </x:c>
      <x:c r="Q397" s="82" t="str">
        <x:f>IF($B397&lt;&gt;"",10,"")</x:f>
      </x:c>
      <x:c r="R397" s="83" t="str">
        <x:f>IF($B397&lt;&gt;"",Ayarlar!$B$10,"")</x:f>
      </x:c>
      <x:c r="S397" s="83" t="str">
        <x:f>IF($B397&lt;&gt;"",0,"")</x:f>
      </x:c>
      <x:c r="T397" s="83" t="n">
        <x:f>IFERROR(($K397+$O397)*XLOOKUP($G397,Ayarlar!$A$19:$A$28,Ayarlar!$C$19:$C$28,0)*(1+Ayarlar!$B$11),0)</x:f>
        <x:v>0</x:v>
      </x:c>
      <x:c r="U397" s="83" t="n">
        <x:f>IFERROR($N397/60*Ayarlar!$B$8,0)</x:f>
        <x:v>0</x:v>
      </x:c>
      <x:c r="V397" s="83" t="n">
        <x:f>IF($B397&lt;&gt;"",Ayarlar!$B$12+($Q397/60*Ayarlar!$B$9),0)</x:f>
        <x:v>0</x:v>
      </x:c>
      <x:c r="W397" s="83" t="n">
        <x:f>IF($B397&lt;&gt;"",SUM($T397:$V397,$R397:$S397),0)</x:f>
        <x:v>0</x:v>
      </x:c>
      <x:c r="X397" s="83" t="n">
        <x:f>IF($B397&lt;&gt;"",$W397*Ayarlar!$B$15,0)</x:f>
        <x:v>0</x:v>
      </x:c>
      <x:c r="Y397" s="83" t="n">
        <x:f>IF($B397&lt;&gt;"",($W397+$X397)*Ayarlar!$B$13,0)</x:f>
        <x:v>0</x:v>
      </x:c>
      <x:c r="Z397" s="83" t="n">
        <x:f>IF($B397&lt;&gt;"",($W397+$X397+$Y397)*Ayarlar!$B$14,0)</x:f>
        <x:v>0</x:v>
      </x:c>
      <x:c r="AA397" s="83" t="str">
        <x:f>IF($B397="","",IF(OR($K397="",$N397=""),"",CEILING($W397+$X397+$Y397+$Z397,Ayarlar!$B$16)))</x:f>
      </x:c>
      <x:c r="AB397" s="83" t="str">
        <x:f>IFERROR($AA397/$H397,"")</x:f>
      </x:c>
      <x:c r="AC397" s="75" t="str">
        <x:f>IF($B397="","",IF(OR($K397="",$N397=""),"Veri Eksik","Fiyat Hazır"))</x:f>
      </x:c>
      <x:c r="AD397" s="75" t="str">
        <x:f>IF($C397&lt;&gt;"","MW-"&amp;$C397,"")</x:f>
        <x:v>MW-80</x:v>
      </x:c>
      <x:c r="AE397" s="75" t="str">
        <x:f>IF($G397&lt;&gt;"","3D Baskı / "&amp;$G397,"3D Baskı")</x:f>
        <x:v>3D Baskı</x:v>
      </x:c>
      <x:c r="AF397" s="75" t="str">
        <x:f>IF($D397&lt;&gt;"",$D397&amp;" - "&amp;$G397,$AD397&amp;" - "&amp;$G397)</x:f>
        <x:v>MW-80 - </x:v>
      </x:c>
      <x:c r="AG397" s="75" t="str"/>
    </x:row>
    <x:row r="398">
      <x:c r="A398" s="75" t="str">
        <x:f>IF($B398&lt;&gt;"",ROW()-4,"")</x:f>
      </x:c>
      <x:c r="B398" s="75" t="str"/>
      <x:c r="C398" s="75" t="n">
        <x:f>IFERROR(LET(x,MID($B398,FIND("/models/",$B398)+8,80),y,LEFT(x,FIND("-",x&amp;"-")-1),LEFT(y,FIND("?",y&amp;"?")-1)),"")</x:f>
        <x:v>80</x:v>
      </x:c>
      <x:c r="D398" s="75" t="str">
        <x:f>IF($B398="","",IFERROR(XLOOKUP($C398,MakerWorld_Verileri!$A:$A,MakerWorld_Verileri!$B:$B,""),""))</x:f>
      </x:c>
      <x:c r="E398" s="75" t="str">
        <x:f>IF($B398="","",IFERROR(XLOOKUP($C398,MakerWorld_Verileri!$A:$A,MakerWorld_Verileri!$C:$C,""),""))</x:f>
      </x:c>
      <x:c r="F398" s="75" t="str"/>
      <x:c r="G398" s="75" t="str">
        <x:f>IF($B398&lt;&gt;"",Ayarlar!$B$7,"")</x:f>
      </x:c>
      <x:c r="H398" s="82" t="str">
        <x:f>IF($B398&lt;&gt;"",1,"")</x:f>
      </x:c>
      <x:c r="I398" s="82" t="str">
        <x:f>IF($B398="","",IFERROR(XLOOKUP($C398,MakerWorld_Verileri!$A:$A,MakerWorld_Verileri!$D:$D,""),""))</x:f>
      </x:c>
      <x:c r="J398" s="82" t="str"/>
      <x:c r="K398" s="82" t="str">
        <x:f>IF($I398&lt;&gt;"",$I398,$J398)</x:f>
      </x:c>
      <x:c r="L398" s="82" t="str">
        <x:f>IF($B398="","",IFERROR(XLOOKUP($C398,MakerWorld_Verileri!$A:$A,MakerWorld_Verileri!$E:$E,""),""))</x:f>
      </x:c>
      <x:c r="M398" s="82" t="str"/>
      <x:c r="N398" s="82" t="str">
        <x:f>IF($L398&lt;&gt;"",$L398,$M398)</x:f>
      </x:c>
      <x:c r="O398" s="82" t="str">
        <x:f>IF($B398&lt;&gt;"",0,"")</x:f>
      </x:c>
      <x:c r="P398" s="75" t="str">
        <x:f>IF($B398&lt;&gt;"","Orta","")</x:f>
      </x:c>
      <x:c r="Q398" s="82" t="str">
        <x:f>IF($B398&lt;&gt;"",10,"")</x:f>
      </x:c>
      <x:c r="R398" s="83" t="str">
        <x:f>IF($B398&lt;&gt;"",Ayarlar!$B$10,"")</x:f>
      </x:c>
      <x:c r="S398" s="83" t="str">
        <x:f>IF($B398&lt;&gt;"",0,"")</x:f>
      </x:c>
      <x:c r="T398" s="83" t="n">
        <x:f>IFERROR(($K398+$O398)*XLOOKUP($G398,Ayarlar!$A$19:$A$28,Ayarlar!$C$19:$C$28,0)*(1+Ayarlar!$B$11),0)</x:f>
        <x:v>0</x:v>
      </x:c>
      <x:c r="U398" s="83" t="n">
        <x:f>IFERROR($N398/60*Ayarlar!$B$8,0)</x:f>
        <x:v>0</x:v>
      </x:c>
      <x:c r="V398" s="83" t="n">
        <x:f>IF($B398&lt;&gt;"",Ayarlar!$B$12+($Q398/60*Ayarlar!$B$9),0)</x:f>
        <x:v>0</x:v>
      </x:c>
      <x:c r="W398" s="83" t="n">
        <x:f>IF($B398&lt;&gt;"",SUM($T398:$V398,$R398:$S398),0)</x:f>
        <x:v>0</x:v>
      </x:c>
      <x:c r="X398" s="83" t="n">
        <x:f>IF($B398&lt;&gt;"",$W398*Ayarlar!$B$15,0)</x:f>
        <x:v>0</x:v>
      </x:c>
      <x:c r="Y398" s="83" t="n">
        <x:f>IF($B398&lt;&gt;"",($W398+$X398)*Ayarlar!$B$13,0)</x:f>
        <x:v>0</x:v>
      </x:c>
      <x:c r="Z398" s="83" t="n">
        <x:f>IF($B398&lt;&gt;"",($W398+$X398+$Y398)*Ayarlar!$B$14,0)</x:f>
        <x:v>0</x:v>
      </x:c>
      <x:c r="AA398" s="83" t="str">
        <x:f>IF($B398="","",IF(OR($K398="",$N398=""),"",CEILING($W398+$X398+$Y398+$Z398,Ayarlar!$B$16)))</x:f>
      </x:c>
      <x:c r="AB398" s="83" t="str">
        <x:f>IFERROR($AA398/$H398,"")</x:f>
      </x:c>
      <x:c r="AC398" s="75" t="str">
        <x:f>IF($B398="","",IF(OR($K398="",$N398=""),"Veri Eksik","Fiyat Hazır"))</x:f>
      </x:c>
      <x:c r="AD398" s="75" t="str">
        <x:f>IF($C398&lt;&gt;"","MW-"&amp;$C398,"")</x:f>
        <x:v>MW-80</x:v>
      </x:c>
      <x:c r="AE398" s="75" t="str">
        <x:f>IF($G398&lt;&gt;"","3D Baskı / "&amp;$G398,"3D Baskı")</x:f>
        <x:v>3D Baskı</x:v>
      </x:c>
      <x:c r="AF398" s="75" t="str">
        <x:f>IF($D398&lt;&gt;"",$D398&amp;" - "&amp;$G398,$AD398&amp;" - "&amp;$G398)</x:f>
        <x:v>MW-80 - </x:v>
      </x:c>
      <x:c r="AG398" s="75" t="str"/>
    </x:row>
    <x:row r="399">
      <x:c r="A399" s="75" t="str">
        <x:f>IF($B399&lt;&gt;"",ROW()-4,"")</x:f>
      </x:c>
      <x:c r="B399" s="75" t="str"/>
      <x:c r="C399" s="75" t="n">
        <x:f>IFERROR(LET(x,MID($B399,FIND("/models/",$B399)+8,80),y,LEFT(x,FIND("-",x&amp;"-")-1),LEFT(y,FIND("?",y&amp;"?")-1)),"")</x:f>
        <x:v>80</x:v>
      </x:c>
      <x:c r="D399" s="75" t="str">
        <x:f>IF($B399="","",IFERROR(XLOOKUP($C399,MakerWorld_Verileri!$A:$A,MakerWorld_Verileri!$B:$B,""),""))</x:f>
      </x:c>
      <x:c r="E399" s="75" t="str">
        <x:f>IF($B399="","",IFERROR(XLOOKUP($C399,MakerWorld_Verileri!$A:$A,MakerWorld_Verileri!$C:$C,""),""))</x:f>
      </x:c>
      <x:c r="F399" s="75" t="str"/>
      <x:c r="G399" s="75" t="str">
        <x:f>IF($B399&lt;&gt;"",Ayarlar!$B$7,"")</x:f>
      </x:c>
      <x:c r="H399" s="82" t="str">
        <x:f>IF($B399&lt;&gt;"",1,"")</x:f>
      </x:c>
      <x:c r="I399" s="82" t="str">
        <x:f>IF($B399="","",IFERROR(XLOOKUP($C399,MakerWorld_Verileri!$A:$A,MakerWorld_Verileri!$D:$D,""),""))</x:f>
      </x:c>
      <x:c r="J399" s="82" t="str"/>
      <x:c r="K399" s="82" t="str">
        <x:f>IF($I399&lt;&gt;"",$I399,$J399)</x:f>
      </x:c>
      <x:c r="L399" s="82" t="str">
        <x:f>IF($B399="","",IFERROR(XLOOKUP($C399,MakerWorld_Verileri!$A:$A,MakerWorld_Verileri!$E:$E,""),""))</x:f>
      </x:c>
      <x:c r="M399" s="82" t="str"/>
      <x:c r="N399" s="82" t="str">
        <x:f>IF($L399&lt;&gt;"",$L399,$M399)</x:f>
      </x:c>
      <x:c r="O399" s="82" t="str">
        <x:f>IF($B399&lt;&gt;"",0,"")</x:f>
      </x:c>
      <x:c r="P399" s="75" t="str">
        <x:f>IF($B399&lt;&gt;"","Orta","")</x:f>
      </x:c>
      <x:c r="Q399" s="82" t="str">
        <x:f>IF($B399&lt;&gt;"",10,"")</x:f>
      </x:c>
      <x:c r="R399" s="83" t="str">
        <x:f>IF($B399&lt;&gt;"",Ayarlar!$B$10,"")</x:f>
      </x:c>
      <x:c r="S399" s="83" t="str">
        <x:f>IF($B399&lt;&gt;"",0,"")</x:f>
      </x:c>
      <x:c r="T399" s="83" t="n">
        <x:f>IFERROR(($K399+$O399)*XLOOKUP($G399,Ayarlar!$A$19:$A$28,Ayarlar!$C$19:$C$28,0)*(1+Ayarlar!$B$11),0)</x:f>
        <x:v>0</x:v>
      </x:c>
      <x:c r="U399" s="83" t="n">
        <x:f>IFERROR($N399/60*Ayarlar!$B$8,0)</x:f>
        <x:v>0</x:v>
      </x:c>
      <x:c r="V399" s="83" t="n">
        <x:f>IF($B399&lt;&gt;"",Ayarlar!$B$12+($Q399/60*Ayarlar!$B$9),0)</x:f>
        <x:v>0</x:v>
      </x:c>
      <x:c r="W399" s="83" t="n">
        <x:f>IF($B399&lt;&gt;"",SUM($T399:$V399,$R399:$S399),0)</x:f>
        <x:v>0</x:v>
      </x:c>
      <x:c r="X399" s="83" t="n">
        <x:f>IF($B399&lt;&gt;"",$W399*Ayarlar!$B$15,0)</x:f>
        <x:v>0</x:v>
      </x:c>
      <x:c r="Y399" s="83" t="n">
        <x:f>IF($B399&lt;&gt;"",($W399+$X399)*Ayarlar!$B$13,0)</x:f>
        <x:v>0</x:v>
      </x:c>
      <x:c r="Z399" s="83" t="n">
        <x:f>IF($B399&lt;&gt;"",($W399+$X399+$Y399)*Ayarlar!$B$14,0)</x:f>
        <x:v>0</x:v>
      </x:c>
      <x:c r="AA399" s="83" t="str">
        <x:f>IF($B399="","",IF(OR($K399="",$N399=""),"",CEILING($W399+$X399+$Y399+$Z399,Ayarlar!$B$16)))</x:f>
      </x:c>
      <x:c r="AB399" s="83" t="str">
        <x:f>IFERROR($AA399/$H399,"")</x:f>
      </x:c>
      <x:c r="AC399" s="75" t="str">
        <x:f>IF($B399="","",IF(OR($K399="",$N399=""),"Veri Eksik","Fiyat Hazır"))</x:f>
      </x:c>
      <x:c r="AD399" s="75" t="str">
        <x:f>IF($C399&lt;&gt;"","MW-"&amp;$C399,"")</x:f>
        <x:v>MW-80</x:v>
      </x:c>
      <x:c r="AE399" s="75" t="str">
        <x:f>IF($G399&lt;&gt;"","3D Baskı / "&amp;$G399,"3D Baskı")</x:f>
        <x:v>3D Baskı</x:v>
      </x:c>
      <x:c r="AF399" s="75" t="str">
        <x:f>IF($D399&lt;&gt;"",$D399&amp;" - "&amp;$G399,$AD399&amp;" - "&amp;$G399)</x:f>
        <x:v>MW-80 - </x:v>
      </x:c>
      <x:c r="AG399" s="75" t="str"/>
    </x:row>
    <x:row r="400">
      <x:c r="A400" s="75" t="str">
        <x:f>IF($B400&lt;&gt;"",ROW()-4,"")</x:f>
      </x:c>
      <x:c r="B400" s="75" t="str"/>
      <x:c r="C400" s="75" t="n">
        <x:f>IFERROR(LET(x,MID($B400,FIND("/models/",$B400)+8,80),y,LEFT(x,FIND("-",x&amp;"-")-1),LEFT(y,FIND("?",y&amp;"?")-1)),"")</x:f>
        <x:v>80</x:v>
      </x:c>
      <x:c r="D400" s="75" t="str">
        <x:f>IF($B400="","",IFERROR(XLOOKUP($C400,MakerWorld_Verileri!$A:$A,MakerWorld_Verileri!$B:$B,""),""))</x:f>
      </x:c>
      <x:c r="E400" s="75" t="str">
        <x:f>IF($B400="","",IFERROR(XLOOKUP($C400,MakerWorld_Verileri!$A:$A,MakerWorld_Verileri!$C:$C,""),""))</x:f>
      </x:c>
      <x:c r="F400" s="75" t="str"/>
      <x:c r="G400" s="75" t="str">
        <x:f>IF($B400&lt;&gt;"",Ayarlar!$B$7,"")</x:f>
      </x:c>
      <x:c r="H400" s="82" t="str">
        <x:f>IF($B400&lt;&gt;"",1,"")</x:f>
      </x:c>
      <x:c r="I400" s="82" t="str">
        <x:f>IF($B400="","",IFERROR(XLOOKUP($C400,MakerWorld_Verileri!$A:$A,MakerWorld_Verileri!$D:$D,""),""))</x:f>
      </x:c>
      <x:c r="J400" s="82" t="str"/>
      <x:c r="K400" s="82" t="str">
        <x:f>IF($I400&lt;&gt;"",$I400,$J400)</x:f>
      </x:c>
      <x:c r="L400" s="82" t="str">
        <x:f>IF($B400="","",IFERROR(XLOOKUP($C400,MakerWorld_Verileri!$A:$A,MakerWorld_Verileri!$E:$E,""),""))</x:f>
      </x:c>
      <x:c r="M400" s="82" t="str"/>
      <x:c r="N400" s="82" t="str">
        <x:f>IF($L400&lt;&gt;"",$L400,$M400)</x:f>
      </x:c>
      <x:c r="O400" s="82" t="str">
        <x:f>IF($B400&lt;&gt;"",0,"")</x:f>
      </x:c>
      <x:c r="P400" s="75" t="str">
        <x:f>IF($B400&lt;&gt;"","Orta","")</x:f>
      </x:c>
      <x:c r="Q400" s="82" t="str">
        <x:f>IF($B400&lt;&gt;"",10,"")</x:f>
      </x:c>
      <x:c r="R400" s="83" t="str">
        <x:f>IF($B400&lt;&gt;"",Ayarlar!$B$10,"")</x:f>
      </x:c>
      <x:c r="S400" s="83" t="str">
        <x:f>IF($B400&lt;&gt;"",0,"")</x:f>
      </x:c>
      <x:c r="T400" s="83" t="n">
        <x:f>IFERROR(($K400+$O400)*XLOOKUP($G400,Ayarlar!$A$19:$A$28,Ayarlar!$C$19:$C$28,0)*(1+Ayarlar!$B$11),0)</x:f>
        <x:v>0</x:v>
      </x:c>
      <x:c r="U400" s="83" t="n">
        <x:f>IFERROR($N400/60*Ayarlar!$B$8,0)</x:f>
        <x:v>0</x:v>
      </x:c>
      <x:c r="V400" s="83" t="n">
        <x:f>IF($B400&lt;&gt;"",Ayarlar!$B$12+($Q400/60*Ayarlar!$B$9),0)</x:f>
        <x:v>0</x:v>
      </x:c>
      <x:c r="W400" s="83" t="n">
        <x:f>IF($B400&lt;&gt;"",SUM($T400:$V400,$R400:$S400),0)</x:f>
        <x:v>0</x:v>
      </x:c>
      <x:c r="X400" s="83" t="n">
        <x:f>IF($B400&lt;&gt;"",$W400*Ayarlar!$B$15,0)</x:f>
        <x:v>0</x:v>
      </x:c>
      <x:c r="Y400" s="83" t="n">
        <x:f>IF($B400&lt;&gt;"",($W400+$X400)*Ayarlar!$B$13,0)</x:f>
        <x:v>0</x:v>
      </x:c>
      <x:c r="Z400" s="83" t="n">
        <x:f>IF($B400&lt;&gt;"",($W400+$X400+$Y400)*Ayarlar!$B$14,0)</x:f>
        <x:v>0</x:v>
      </x:c>
      <x:c r="AA400" s="83" t="str">
        <x:f>IF($B400="","",IF(OR($K400="",$N400=""),"",CEILING($W400+$X400+$Y400+$Z400,Ayarlar!$B$16)))</x:f>
      </x:c>
      <x:c r="AB400" s="83" t="str">
        <x:f>IFERROR($AA400/$H400,"")</x:f>
      </x:c>
      <x:c r="AC400" s="75" t="str">
        <x:f>IF($B400="","",IF(OR($K400="",$N400=""),"Veri Eksik","Fiyat Hazır"))</x:f>
      </x:c>
      <x:c r="AD400" s="75" t="str">
        <x:f>IF($C400&lt;&gt;"","MW-"&amp;$C400,"")</x:f>
        <x:v>MW-80</x:v>
      </x:c>
      <x:c r="AE400" s="75" t="str">
        <x:f>IF($G400&lt;&gt;"","3D Baskı / "&amp;$G400,"3D Baskı")</x:f>
        <x:v>3D Baskı</x:v>
      </x:c>
      <x:c r="AF400" s="75" t="str">
        <x:f>IF($D400&lt;&gt;"",$D400&amp;" - "&amp;$G400,$AD400&amp;" - "&amp;$G400)</x:f>
        <x:v>MW-80 - </x:v>
      </x:c>
      <x:c r="AG400" s="75" t="str"/>
    </x:row>
    <x:row r="401">
      <x:c r="A401" s="75" t="str">
        <x:f>IF($B401&lt;&gt;"",ROW()-4,"")</x:f>
      </x:c>
      <x:c r="B401" s="75" t="str"/>
      <x:c r="C401" s="75" t="n">
        <x:f>IFERROR(LET(x,MID($B401,FIND("/models/",$B401)+8,80),y,LEFT(x,FIND("-",x&amp;"-")-1),LEFT(y,FIND("?",y&amp;"?")-1)),"")</x:f>
        <x:v>80</x:v>
      </x:c>
      <x:c r="D401" s="75" t="str">
        <x:f>IF($B401="","",IFERROR(XLOOKUP($C401,MakerWorld_Verileri!$A:$A,MakerWorld_Verileri!$B:$B,""),""))</x:f>
      </x:c>
      <x:c r="E401" s="75" t="str">
        <x:f>IF($B401="","",IFERROR(XLOOKUP($C401,MakerWorld_Verileri!$A:$A,MakerWorld_Verileri!$C:$C,""),""))</x:f>
      </x:c>
      <x:c r="F401" s="75" t="str"/>
      <x:c r="G401" s="75" t="str">
        <x:f>IF($B401&lt;&gt;"",Ayarlar!$B$7,"")</x:f>
      </x:c>
      <x:c r="H401" s="82" t="str">
        <x:f>IF($B401&lt;&gt;"",1,"")</x:f>
      </x:c>
      <x:c r="I401" s="82" t="str">
        <x:f>IF($B401="","",IFERROR(XLOOKUP($C401,MakerWorld_Verileri!$A:$A,MakerWorld_Verileri!$D:$D,""),""))</x:f>
      </x:c>
      <x:c r="J401" s="82" t="str"/>
      <x:c r="K401" s="82" t="str">
        <x:f>IF($I401&lt;&gt;"",$I401,$J401)</x:f>
      </x:c>
      <x:c r="L401" s="82" t="str">
        <x:f>IF($B401="","",IFERROR(XLOOKUP($C401,MakerWorld_Verileri!$A:$A,MakerWorld_Verileri!$E:$E,""),""))</x:f>
      </x:c>
      <x:c r="M401" s="82" t="str"/>
      <x:c r="N401" s="82" t="str">
        <x:f>IF($L401&lt;&gt;"",$L401,$M401)</x:f>
      </x:c>
      <x:c r="O401" s="82" t="str">
        <x:f>IF($B401&lt;&gt;"",0,"")</x:f>
      </x:c>
      <x:c r="P401" s="75" t="str">
        <x:f>IF($B401&lt;&gt;"","Orta","")</x:f>
      </x:c>
      <x:c r="Q401" s="82" t="str">
        <x:f>IF($B401&lt;&gt;"",10,"")</x:f>
      </x:c>
      <x:c r="R401" s="83" t="str">
        <x:f>IF($B401&lt;&gt;"",Ayarlar!$B$10,"")</x:f>
      </x:c>
      <x:c r="S401" s="83" t="str">
        <x:f>IF($B401&lt;&gt;"",0,"")</x:f>
      </x:c>
      <x:c r="T401" s="83" t="n">
        <x:f>IFERROR(($K401+$O401)*XLOOKUP($G401,Ayarlar!$A$19:$A$28,Ayarlar!$C$19:$C$28,0)*(1+Ayarlar!$B$11),0)</x:f>
        <x:v>0</x:v>
      </x:c>
      <x:c r="U401" s="83" t="n">
        <x:f>IFERROR($N401/60*Ayarlar!$B$8,0)</x:f>
        <x:v>0</x:v>
      </x:c>
      <x:c r="V401" s="83" t="n">
        <x:f>IF($B401&lt;&gt;"",Ayarlar!$B$12+($Q401/60*Ayarlar!$B$9),0)</x:f>
        <x:v>0</x:v>
      </x:c>
      <x:c r="W401" s="83" t="n">
        <x:f>IF($B401&lt;&gt;"",SUM($T401:$V401,$R401:$S401),0)</x:f>
        <x:v>0</x:v>
      </x:c>
      <x:c r="X401" s="83" t="n">
        <x:f>IF($B401&lt;&gt;"",$W401*Ayarlar!$B$15,0)</x:f>
        <x:v>0</x:v>
      </x:c>
      <x:c r="Y401" s="83" t="n">
        <x:f>IF($B401&lt;&gt;"",($W401+$X401)*Ayarlar!$B$13,0)</x:f>
        <x:v>0</x:v>
      </x:c>
      <x:c r="Z401" s="83" t="n">
        <x:f>IF($B401&lt;&gt;"",($W401+$X401+$Y401)*Ayarlar!$B$14,0)</x:f>
        <x:v>0</x:v>
      </x:c>
      <x:c r="AA401" s="83" t="str">
        <x:f>IF($B401="","",IF(OR($K401="",$N401=""),"",CEILING($W401+$X401+$Y401+$Z401,Ayarlar!$B$16)))</x:f>
      </x:c>
      <x:c r="AB401" s="83" t="str">
        <x:f>IFERROR($AA401/$H401,"")</x:f>
      </x:c>
      <x:c r="AC401" s="75" t="str">
        <x:f>IF($B401="","",IF(OR($K401="",$N401=""),"Veri Eksik","Fiyat Hazır"))</x:f>
      </x:c>
      <x:c r="AD401" s="75" t="str">
        <x:f>IF($C401&lt;&gt;"","MW-"&amp;$C401,"")</x:f>
        <x:v>MW-80</x:v>
      </x:c>
      <x:c r="AE401" s="75" t="str">
        <x:f>IF($G401&lt;&gt;"","3D Baskı / "&amp;$G401,"3D Baskı")</x:f>
        <x:v>3D Baskı</x:v>
      </x:c>
      <x:c r="AF401" s="75" t="str">
        <x:f>IF($D401&lt;&gt;"",$D401&amp;" - "&amp;$G401,$AD401&amp;" - "&amp;$G401)</x:f>
        <x:v>MW-80 - </x:v>
      </x:c>
      <x:c r="AG401" s="75" t="str"/>
    </x:row>
    <x:row r="402">
      <x:c r="A402" s="75" t="str">
        <x:f>IF($B402&lt;&gt;"",ROW()-4,"")</x:f>
      </x:c>
      <x:c r="B402" s="75" t="str"/>
      <x:c r="C402" s="75" t="n">
        <x:f>IFERROR(LET(x,MID($B402,FIND("/models/",$B402)+8,80),y,LEFT(x,FIND("-",x&amp;"-")-1),LEFT(y,FIND("?",y&amp;"?")-1)),"")</x:f>
        <x:v>80</x:v>
      </x:c>
      <x:c r="D402" s="75" t="str">
        <x:f>IF($B402="","",IFERROR(XLOOKUP($C402,MakerWorld_Verileri!$A:$A,MakerWorld_Verileri!$B:$B,""),""))</x:f>
      </x:c>
      <x:c r="E402" s="75" t="str">
        <x:f>IF($B402="","",IFERROR(XLOOKUP($C402,MakerWorld_Verileri!$A:$A,MakerWorld_Verileri!$C:$C,""),""))</x:f>
      </x:c>
      <x:c r="F402" s="75" t="str"/>
      <x:c r="G402" s="75" t="str">
        <x:f>IF($B402&lt;&gt;"",Ayarlar!$B$7,"")</x:f>
      </x:c>
      <x:c r="H402" s="82" t="str">
        <x:f>IF($B402&lt;&gt;"",1,"")</x:f>
      </x:c>
      <x:c r="I402" s="82" t="str">
        <x:f>IF($B402="","",IFERROR(XLOOKUP($C402,MakerWorld_Verileri!$A:$A,MakerWorld_Verileri!$D:$D,""),""))</x:f>
      </x:c>
      <x:c r="J402" s="82" t="str"/>
      <x:c r="K402" s="82" t="str">
        <x:f>IF($I402&lt;&gt;"",$I402,$J402)</x:f>
      </x:c>
      <x:c r="L402" s="82" t="str">
        <x:f>IF($B402="","",IFERROR(XLOOKUP($C402,MakerWorld_Verileri!$A:$A,MakerWorld_Verileri!$E:$E,""),""))</x:f>
      </x:c>
      <x:c r="M402" s="82" t="str"/>
      <x:c r="N402" s="82" t="str">
        <x:f>IF($L402&lt;&gt;"",$L402,$M402)</x:f>
      </x:c>
      <x:c r="O402" s="82" t="str">
        <x:f>IF($B402&lt;&gt;"",0,"")</x:f>
      </x:c>
      <x:c r="P402" s="75" t="str">
        <x:f>IF($B402&lt;&gt;"","Orta","")</x:f>
      </x:c>
      <x:c r="Q402" s="82" t="str">
        <x:f>IF($B402&lt;&gt;"",10,"")</x:f>
      </x:c>
      <x:c r="R402" s="83" t="str">
        <x:f>IF($B402&lt;&gt;"",Ayarlar!$B$10,"")</x:f>
      </x:c>
      <x:c r="S402" s="83" t="str">
        <x:f>IF($B402&lt;&gt;"",0,"")</x:f>
      </x:c>
      <x:c r="T402" s="83" t="n">
        <x:f>IFERROR(($K402+$O402)*XLOOKUP($G402,Ayarlar!$A$19:$A$28,Ayarlar!$C$19:$C$28,0)*(1+Ayarlar!$B$11),0)</x:f>
        <x:v>0</x:v>
      </x:c>
      <x:c r="U402" s="83" t="n">
        <x:f>IFERROR($N402/60*Ayarlar!$B$8,0)</x:f>
        <x:v>0</x:v>
      </x:c>
      <x:c r="V402" s="83" t="n">
        <x:f>IF($B402&lt;&gt;"",Ayarlar!$B$12+($Q402/60*Ayarlar!$B$9),0)</x:f>
        <x:v>0</x:v>
      </x:c>
      <x:c r="W402" s="83" t="n">
        <x:f>IF($B402&lt;&gt;"",SUM($T402:$V402,$R402:$S402),0)</x:f>
        <x:v>0</x:v>
      </x:c>
      <x:c r="X402" s="83" t="n">
        <x:f>IF($B402&lt;&gt;"",$W402*Ayarlar!$B$15,0)</x:f>
        <x:v>0</x:v>
      </x:c>
      <x:c r="Y402" s="83" t="n">
        <x:f>IF($B402&lt;&gt;"",($W402+$X402)*Ayarlar!$B$13,0)</x:f>
        <x:v>0</x:v>
      </x:c>
      <x:c r="Z402" s="83" t="n">
        <x:f>IF($B402&lt;&gt;"",($W402+$X402+$Y402)*Ayarlar!$B$14,0)</x:f>
        <x:v>0</x:v>
      </x:c>
      <x:c r="AA402" s="83" t="str">
        <x:f>IF($B402="","",IF(OR($K402="",$N402=""),"",CEILING($W402+$X402+$Y402+$Z402,Ayarlar!$B$16)))</x:f>
      </x:c>
      <x:c r="AB402" s="83" t="str">
        <x:f>IFERROR($AA402/$H402,"")</x:f>
      </x:c>
      <x:c r="AC402" s="75" t="str">
        <x:f>IF($B402="","",IF(OR($K402="",$N402=""),"Veri Eksik","Fiyat Hazır"))</x:f>
      </x:c>
      <x:c r="AD402" s="75" t="str">
        <x:f>IF($C402&lt;&gt;"","MW-"&amp;$C402,"")</x:f>
        <x:v>MW-80</x:v>
      </x:c>
      <x:c r="AE402" s="75" t="str">
        <x:f>IF($G402&lt;&gt;"","3D Baskı / "&amp;$G402,"3D Baskı")</x:f>
        <x:v>3D Baskı</x:v>
      </x:c>
      <x:c r="AF402" s="75" t="str">
        <x:f>IF($D402&lt;&gt;"",$D402&amp;" - "&amp;$G402,$AD402&amp;" - "&amp;$G402)</x:f>
        <x:v>MW-80 - </x:v>
      </x:c>
      <x:c r="AG402" s="75" t="str"/>
    </x:row>
    <x:row r="403">
      <x:c r="A403" s="75" t="str">
        <x:f>IF($B403&lt;&gt;"",ROW()-4,"")</x:f>
      </x:c>
      <x:c r="B403" s="75" t="str"/>
      <x:c r="C403" s="75" t="n">
        <x:f>IFERROR(LET(x,MID($B403,FIND("/models/",$B403)+8,80),y,LEFT(x,FIND("-",x&amp;"-")-1),LEFT(y,FIND("?",y&amp;"?")-1)),"")</x:f>
        <x:v>80</x:v>
      </x:c>
      <x:c r="D403" s="75" t="str">
        <x:f>IF($B403="","",IFERROR(XLOOKUP($C403,MakerWorld_Verileri!$A:$A,MakerWorld_Verileri!$B:$B,""),""))</x:f>
      </x:c>
      <x:c r="E403" s="75" t="str">
        <x:f>IF($B403="","",IFERROR(XLOOKUP($C403,MakerWorld_Verileri!$A:$A,MakerWorld_Verileri!$C:$C,""),""))</x:f>
      </x:c>
      <x:c r="F403" s="75" t="str"/>
      <x:c r="G403" s="75" t="str">
        <x:f>IF($B403&lt;&gt;"",Ayarlar!$B$7,"")</x:f>
      </x:c>
      <x:c r="H403" s="82" t="str">
        <x:f>IF($B403&lt;&gt;"",1,"")</x:f>
      </x:c>
      <x:c r="I403" s="82" t="str">
        <x:f>IF($B403="","",IFERROR(XLOOKUP($C403,MakerWorld_Verileri!$A:$A,MakerWorld_Verileri!$D:$D,""),""))</x:f>
      </x:c>
      <x:c r="J403" s="82" t="str"/>
      <x:c r="K403" s="82" t="str">
        <x:f>IF($I403&lt;&gt;"",$I403,$J403)</x:f>
      </x:c>
      <x:c r="L403" s="82" t="str">
        <x:f>IF($B403="","",IFERROR(XLOOKUP($C403,MakerWorld_Verileri!$A:$A,MakerWorld_Verileri!$E:$E,""),""))</x:f>
      </x:c>
      <x:c r="M403" s="82" t="str"/>
      <x:c r="N403" s="82" t="str">
        <x:f>IF($L403&lt;&gt;"",$L403,$M403)</x:f>
      </x:c>
      <x:c r="O403" s="82" t="str">
        <x:f>IF($B403&lt;&gt;"",0,"")</x:f>
      </x:c>
      <x:c r="P403" s="75" t="str">
        <x:f>IF($B403&lt;&gt;"","Orta","")</x:f>
      </x:c>
      <x:c r="Q403" s="82" t="str">
        <x:f>IF($B403&lt;&gt;"",10,"")</x:f>
      </x:c>
      <x:c r="R403" s="83" t="str">
        <x:f>IF($B403&lt;&gt;"",Ayarlar!$B$10,"")</x:f>
      </x:c>
      <x:c r="S403" s="83" t="str">
        <x:f>IF($B403&lt;&gt;"",0,"")</x:f>
      </x:c>
      <x:c r="T403" s="83" t="n">
        <x:f>IFERROR(($K403+$O403)*XLOOKUP($G403,Ayarlar!$A$19:$A$28,Ayarlar!$C$19:$C$28,0)*(1+Ayarlar!$B$11),0)</x:f>
        <x:v>0</x:v>
      </x:c>
      <x:c r="U403" s="83" t="n">
        <x:f>IFERROR($N403/60*Ayarlar!$B$8,0)</x:f>
        <x:v>0</x:v>
      </x:c>
      <x:c r="V403" s="83" t="n">
        <x:f>IF($B403&lt;&gt;"",Ayarlar!$B$12+($Q403/60*Ayarlar!$B$9),0)</x:f>
        <x:v>0</x:v>
      </x:c>
      <x:c r="W403" s="83" t="n">
        <x:f>IF($B403&lt;&gt;"",SUM($T403:$V403,$R403:$S403),0)</x:f>
        <x:v>0</x:v>
      </x:c>
      <x:c r="X403" s="83" t="n">
        <x:f>IF($B403&lt;&gt;"",$W403*Ayarlar!$B$15,0)</x:f>
        <x:v>0</x:v>
      </x:c>
      <x:c r="Y403" s="83" t="n">
        <x:f>IF($B403&lt;&gt;"",($W403+$X403)*Ayarlar!$B$13,0)</x:f>
        <x:v>0</x:v>
      </x:c>
      <x:c r="Z403" s="83" t="n">
        <x:f>IF($B403&lt;&gt;"",($W403+$X403+$Y403)*Ayarlar!$B$14,0)</x:f>
        <x:v>0</x:v>
      </x:c>
      <x:c r="AA403" s="83" t="str">
        <x:f>IF($B403="","",IF(OR($K403="",$N403=""),"",CEILING($W403+$X403+$Y403+$Z403,Ayarlar!$B$16)))</x:f>
      </x:c>
      <x:c r="AB403" s="83" t="str">
        <x:f>IFERROR($AA403/$H403,"")</x:f>
      </x:c>
      <x:c r="AC403" s="75" t="str">
        <x:f>IF($B403="","",IF(OR($K403="",$N403=""),"Veri Eksik","Fiyat Hazır"))</x:f>
      </x:c>
      <x:c r="AD403" s="75" t="str">
        <x:f>IF($C403&lt;&gt;"","MW-"&amp;$C403,"")</x:f>
        <x:v>MW-80</x:v>
      </x:c>
      <x:c r="AE403" s="75" t="str">
        <x:f>IF($G403&lt;&gt;"","3D Baskı / "&amp;$G403,"3D Baskı")</x:f>
        <x:v>3D Baskı</x:v>
      </x:c>
      <x:c r="AF403" s="75" t="str">
        <x:f>IF($D403&lt;&gt;"",$D403&amp;" - "&amp;$G403,$AD403&amp;" - "&amp;$G403)</x:f>
        <x:v>MW-80 - </x:v>
      </x:c>
      <x:c r="AG403" s="75" t="str"/>
    </x:row>
    <x:row r="404">
      <x:c r="A404" s="75" t="str">
        <x:f>IF($B404&lt;&gt;"",ROW()-4,"")</x:f>
      </x:c>
      <x:c r="B404" s="75" t="str"/>
      <x:c r="C404" s="75" t="n">
        <x:f>IFERROR(LET(x,MID($B404,FIND("/models/",$B404)+8,80),y,LEFT(x,FIND("-",x&amp;"-")-1),LEFT(y,FIND("?",y&amp;"?")-1)),"")</x:f>
        <x:v>80</x:v>
      </x:c>
      <x:c r="D404" s="75" t="str">
        <x:f>IF($B404="","",IFERROR(XLOOKUP($C404,MakerWorld_Verileri!$A:$A,MakerWorld_Verileri!$B:$B,""),""))</x:f>
      </x:c>
      <x:c r="E404" s="75" t="str">
        <x:f>IF($B404="","",IFERROR(XLOOKUP($C404,MakerWorld_Verileri!$A:$A,MakerWorld_Verileri!$C:$C,""),""))</x:f>
      </x:c>
      <x:c r="F404" s="75" t="str"/>
      <x:c r="G404" s="75" t="str">
        <x:f>IF($B404&lt;&gt;"",Ayarlar!$B$7,"")</x:f>
      </x:c>
      <x:c r="H404" s="82" t="str">
        <x:f>IF($B404&lt;&gt;"",1,"")</x:f>
      </x:c>
      <x:c r="I404" s="82" t="str">
        <x:f>IF($B404="","",IFERROR(XLOOKUP($C404,MakerWorld_Verileri!$A:$A,MakerWorld_Verileri!$D:$D,""),""))</x:f>
      </x:c>
      <x:c r="J404" s="82" t="str"/>
      <x:c r="K404" s="82" t="str">
        <x:f>IF($I404&lt;&gt;"",$I404,$J404)</x:f>
      </x:c>
      <x:c r="L404" s="82" t="str">
        <x:f>IF($B404="","",IFERROR(XLOOKUP($C404,MakerWorld_Verileri!$A:$A,MakerWorld_Verileri!$E:$E,""),""))</x:f>
      </x:c>
      <x:c r="M404" s="82" t="str"/>
      <x:c r="N404" s="82" t="str">
        <x:f>IF($L404&lt;&gt;"",$L404,$M404)</x:f>
      </x:c>
      <x:c r="O404" s="82" t="str">
        <x:f>IF($B404&lt;&gt;"",0,"")</x:f>
      </x:c>
      <x:c r="P404" s="75" t="str">
        <x:f>IF($B404&lt;&gt;"","Orta","")</x:f>
      </x:c>
      <x:c r="Q404" s="82" t="str">
        <x:f>IF($B404&lt;&gt;"",10,"")</x:f>
      </x:c>
      <x:c r="R404" s="83" t="str">
        <x:f>IF($B404&lt;&gt;"",Ayarlar!$B$10,"")</x:f>
      </x:c>
      <x:c r="S404" s="83" t="str">
        <x:f>IF($B404&lt;&gt;"",0,"")</x:f>
      </x:c>
      <x:c r="T404" s="83" t="n">
        <x:f>IFERROR(($K404+$O404)*XLOOKUP($G404,Ayarlar!$A$19:$A$28,Ayarlar!$C$19:$C$28,0)*(1+Ayarlar!$B$11),0)</x:f>
        <x:v>0</x:v>
      </x:c>
      <x:c r="U404" s="83" t="n">
        <x:f>IFERROR($N404/60*Ayarlar!$B$8,0)</x:f>
        <x:v>0</x:v>
      </x:c>
      <x:c r="V404" s="83" t="n">
        <x:f>IF($B404&lt;&gt;"",Ayarlar!$B$12+($Q404/60*Ayarlar!$B$9),0)</x:f>
        <x:v>0</x:v>
      </x:c>
      <x:c r="W404" s="83" t="n">
        <x:f>IF($B404&lt;&gt;"",SUM($T404:$V404,$R404:$S404),0)</x:f>
        <x:v>0</x:v>
      </x:c>
      <x:c r="X404" s="83" t="n">
        <x:f>IF($B404&lt;&gt;"",$W404*Ayarlar!$B$15,0)</x:f>
        <x:v>0</x:v>
      </x:c>
      <x:c r="Y404" s="83" t="n">
        <x:f>IF($B404&lt;&gt;"",($W404+$X404)*Ayarlar!$B$13,0)</x:f>
        <x:v>0</x:v>
      </x:c>
      <x:c r="Z404" s="83" t="n">
        <x:f>IF($B404&lt;&gt;"",($W404+$X404+$Y404)*Ayarlar!$B$14,0)</x:f>
        <x:v>0</x:v>
      </x:c>
      <x:c r="AA404" s="83" t="str">
        <x:f>IF($B404="","",IF(OR($K404="",$N404=""),"",CEILING($W404+$X404+$Y404+$Z404,Ayarlar!$B$16)))</x:f>
      </x:c>
      <x:c r="AB404" s="83" t="str">
        <x:f>IFERROR($AA404/$H404,"")</x:f>
      </x:c>
      <x:c r="AC404" s="75" t="str">
        <x:f>IF($B404="","",IF(OR($K404="",$N404=""),"Veri Eksik","Fiyat Hazır"))</x:f>
      </x:c>
      <x:c r="AD404" s="75" t="str">
        <x:f>IF($C404&lt;&gt;"","MW-"&amp;$C404,"")</x:f>
        <x:v>MW-80</x:v>
      </x:c>
      <x:c r="AE404" s="75" t="str">
        <x:f>IF($G404&lt;&gt;"","3D Baskı / "&amp;$G404,"3D Baskı")</x:f>
        <x:v>3D Baskı</x:v>
      </x:c>
      <x:c r="AF404" s="75" t="str">
        <x:f>IF($D404&lt;&gt;"",$D404&amp;" - "&amp;$G404,$AD404&amp;" - "&amp;$G404)</x:f>
        <x:v>MW-80 - </x:v>
      </x:c>
      <x:c r="AG404" s="75" t="str"/>
    </x:row>
    <x:row r="405">
      <x:c r="A405" s="75" t="str">
        <x:f>IF($B405&lt;&gt;"",ROW()-4,"")</x:f>
      </x:c>
      <x:c r="B405" s="75" t="str"/>
      <x:c r="C405" s="75" t="n">
        <x:f>IFERROR(LET(x,MID($B405,FIND("/models/",$B405)+8,80),y,LEFT(x,FIND("-",x&amp;"-")-1),LEFT(y,FIND("?",y&amp;"?")-1)),"")</x:f>
        <x:v>80</x:v>
      </x:c>
      <x:c r="D405" s="75" t="str">
        <x:f>IF($B405="","",IFERROR(XLOOKUP($C405,MakerWorld_Verileri!$A:$A,MakerWorld_Verileri!$B:$B,""),""))</x:f>
      </x:c>
      <x:c r="E405" s="75" t="str">
        <x:f>IF($B405="","",IFERROR(XLOOKUP($C405,MakerWorld_Verileri!$A:$A,MakerWorld_Verileri!$C:$C,""),""))</x:f>
      </x:c>
      <x:c r="F405" s="75" t="str"/>
      <x:c r="G405" s="75" t="str">
        <x:f>IF($B405&lt;&gt;"",Ayarlar!$B$7,"")</x:f>
      </x:c>
      <x:c r="H405" s="82" t="str">
        <x:f>IF($B405&lt;&gt;"",1,"")</x:f>
      </x:c>
      <x:c r="I405" s="82" t="str">
        <x:f>IF($B405="","",IFERROR(XLOOKUP($C405,MakerWorld_Verileri!$A:$A,MakerWorld_Verileri!$D:$D,""),""))</x:f>
      </x:c>
      <x:c r="J405" s="82" t="str"/>
      <x:c r="K405" s="82" t="str">
        <x:f>IF($I405&lt;&gt;"",$I405,$J405)</x:f>
      </x:c>
      <x:c r="L405" s="82" t="str">
        <x:f>IF($B405="","",IFERROR(XLOOKUP($C405,MakerWorld_Verileri!$A:$A,MakerWorld_Verileri!$E:$E,""),""))</x:f>
      </x:c>
      <x:c r="M405" s="82" t="str"/>
      <x:c r="N405" s="82" t="str">
        <x:f>IF($L405&lt;&gt;"",$L405,$M405)</x:f>
      </x:c>
      <x:c r="O405" s="82" t="str">
        <x:f>IF($B405&lt;&gt;"",0,"")</x:f>
      </x:c>
      <x:c r="P405" s="75" t="str">
        <x:f>IF($B405&lt;&gt;"","Orta","")</x:f>
      </x:c>
      <x:c r="Q405" s="82" t="str">
        <x:f>IF($B405&lt;&gt;"",10,"")</x:f>
      </x:c>
      <x:c r="R405" s="83" t="str">
        <x:f>IF($B405&lt;&gt;"",Ayarlar!$B$10,"")</x:f>
      </x:c>
      <x:c r="S405" s="83" t="str">
        <x:f>IF($B405&lt;&gt;"",0,"")</x:f>
      </x:c>
      <x:c r="T405" s="83" t="n">
        <x:f>IFERROR(($K405+$O405)*XLOOKUP($G405,Ayarlar!$A$19:$A$28,Ayarlar!$C$19:$C$28,0)*(1+Ayarlar!$B$11),0)</x:f>
        <x:v>0</x:v>
      </x:c>
      <x:c r="U405" s="83" t="n">
        <x:f>IFERROR($N405/60*Ayarlar!$B$8,0)</x:f>
        <x:v>0</x:v>
      </x:c>
      <x:c r="V405" s="83" t="n">
        <x:f>IF($B405&lt;&gt;"",Ayarlar!$B$12+($Q405/60*Ayarlar!$B$9),0)</x:f>
        <x:v>0</x:v>
      </x:c>
      <x:c r="W405" s="83" t="n">
        <x:f>IF($B405&lt;&gt;"",SUM($T405:$V405,$R405:$S405),0)</x:f>
        <x:v>0</x:v>
      </x:c>
      <x:c r="X405" s="83" t="n">
        <x:f>IF($B405&lt;&gt;"",$W405*Ayarlar!$B$15,0)</x:f>
        <x:v>0</x:v>
      </x:c>
      <x:c r="Y405" s="83" t="n">
        <x:f>IF($B405&lt;&gt;"",($W405+$X405)*Ayarlar!$B$13,0)</x:f>
        <x:v>0</x:v>
      </x:c>
      <x:c r="Z405" s="83" t="n">
        <x:f>IF($B405&lt;&gt;"",($W405+$X405+$Y405)*Ayarlar!$B$14,0)</x:f>
        <x:v>0</x:v>
      </x:c>
      <x:c r="AA405" s="83" t="str">
        <x:f>IF($B405="","",IF(OR($K405="",$N405=""),"",CEILING($W405+$X405+$Y405+$Z405,Ayarlar!$B$16)))</x:f>
      </x:c>
      <x:c r="AB405" s="83" t="str">
        <x:f>IFERROR($AA405/$H405,"")</x:f>
      </x:c>
      <x:c r="AC405" s="75" t="str">
        <x:f>IF($B405="","",IF(OR($K405="",$N405=""),"Veri Eksik","Fiyat Hazır"))</x:f>
      </x:c>
      <x:c r="AD405" s="75" t="str">
        <x:f>IF($C405&lt;&gt;"","MW-"&amp;$C405,"")</x:f>
        <x:v>MW-80</x:v>
      </x:c>
      <x:c r="AE405" s="75" t="str">
        <x:f>IF($G405&lt;&gt;"","3D Baskı / "&amp;$G405,"3D Baskı")</x:f>
        <x:v>3D Baskı</x:v>
      </x:c>
      <x:c r="AF405" s="75" t="str">
        <x:f>IF($D405&lt;&gt;"",$D405&amp;" - "&amp;$G405,$AD405&amp;" - "&amp;$G405)</x:f>
        <x:v>MW-80 - </x:v>
      </x:c>
      <x:c r="AG405" s="75" t="str"/>
    </x:row>
    <x:row r="406">
      <x:c r="A406" s="75" t="str">
        <x:f>IF($B406&lt;&gt;"",ROW()-4,"")</x:f>
      </x:c>
      <x:c r="B406" s="75" t="str"/>
      <x:c r="C406" s="75" t="n">
        <x:f>IFERROR(LET(x,MID($B406,FIND("/models/",$B406)+8,80),y,LEFT(x,FIND("-",x&amp;"-")-1),LEFT(y,FIND("?",y&amp;"?")-1)),"")</x:f>
        <x:v>80</x:v>
      </x:c>
      <x:c r="D406" s="75" t="str">
        <x:f>IF($B406="","",IFERROR(XLOOKUP($C406,MakerWorld_Verileri!$A:$A,MakerWorld_Verileri!$B:$B,""),""))</x:f>
      </x:c>
      <x:c r="E406" s="75" t="str">
        <x:f>IF($B406="","",IFERROR(XLOOKUP($C406,MakerWorld_Verileri!$A:$A,MakerWorld_Verileri!$C:$C,""),""))</x:f>
      </x:c>
      <x:c r="F406" s="75" t="str"/>
      <x:c r="G406" s="75" t="str">
        <x:f>IF($B406&lt;&gt;"",Ayarlar!$B$7,"")</x:f>
      </x:c>
      <x:c r="H406" s="82" t="str">
        <x:f>IF($B406&lt;&gt;"",1,"")</x:f>
      </x:c>
      <x:c r="I406" s="82" t="str">
        <x:f>IF($B406="","",IFERROR(XLOOKUP($C406,MakerWorld_Verileri!$A:$A,MakerWorld_Verileri!$D:$D,""),""))</x:f>
      </x:c>
      <x:c r="J406" s="82" t="str"/>
      <x:c r="K406" s="82" t="str">
        <x:f>IF($I406&lt;&gt;"",$I406,$J406)</x:f>
      </x:c>
      <x:c r="L406" s="82" t="str">
        <x:f>IF($B406="","",IFERROR(XLOOKUP($C406,MakerWorld_Verileri!$A:$A,MakerWorld_Verileri!$E:$E,""),""))</x:f>
      </x:c>
      <x:c r="M406" s="82" t="str"/>
      <x:c r="N406" s="82" t="str">
        <x:f>IF($L406&lt;&gt;"",$L406,$M406)</x:f>
      </x:c>
      <x:c r="O406" s="82" t="str">
        <x:f>IF($B406&lt;&gt;"",0,"")</x:f>
      </x:c>
      <x:c r="P406" s="75" t="str">
        <x:f>IF($B406&lt;&gt;"","Orta","")</x:f>
      </x:c>
      <x:c r="Q406" s="82" t="str">
        <x:f>IF($B406&lt;&gt;"",10,"")</x:f>
      </x:c>
      <x:c r="R406" s="83" t="str">
        <x:f>IF($B406&lt;&gt;"",Ayarlar!$B$10,"")</x:f>
      </x:c>
      <x:c r="S406" s="83" t="str">
        <x:f>IF($B406&lt;&gt;"",0,"")</x:f>
      </x:c>
      <x:c r="T406" s="83" t="n">
        <x:f>IFERROR(($K406+$O406)*XLOOKUP($G406,Ayarlar!$A$19:$A$28,Ayarlar!$C$19:$C$28,0)*(1+Ayarlar!$B$11),0)</x:f>
        <x:v>0</x:v>
      </x:c>
      <x:c r="U406" s="83" t="n">
        <x:f>IFERROR($N406/60*Ayarlar!$B$8,0)</x:f>
        <x:v>0</x:v>
      </x:c>
      <x:c r="V406" s="83" t="n">
        <x:f>IF($B406&lt;&gt;"",Ayarlar!$B$12+($Q406/60*Ayarlar!$B$9),0)</x:f>
        <x:v>0</x:v>
      </x:c>
      <x:c r="W406" s="83" t="n">
        <x:f>IF($B406&lt;&gt;"",SUM($T406:$V406,$R406:$S406),0)</x:f>
        <x:v>0</x:v>
      </x:c>
      <x:c r="X406" s="83" t="n">
        <x:f>IF($B406&lt;&gt;"",$W406*Ayarlar!$B$15,0)</x:f>
        <x:v>0</x:v>
      </x:c>
      <x:c r="Y406" s="83" t="n">
        <x:f>IF($B406&lt;&gt;"",($W406+$X406)*Ayarlar!$B$13,0)</x:f>
        <x:v>0</x:v>
      </x:c>
      <x:c r="Z406" s="83" t="n">
        <x:f>IF($B406&lt;&gt;"",($W406+$X406+$Y406)*Ayarlar!$B$14,0)</x:f>
        <x:v>0</x:v>
      </x:c>
      <x:c r="AA406" s="83" t="str">
        <x:f>IF($B406="","",IF(OR($K406="",$N406=""),"",CEILING($W406+$X406+$Y406+$Z406,Ayarlar!$B$16)))</x:f>
      </x:c>
      <x:c r="AB406" s="83" t="str">
        <x:f>IFERROR($AA406/$H406,"")</x:f>
      </x:c>
      <x:c r="AC406" s="75" t="str">
        <x:f>IF($B406="","",IF(OR($K406="",$N406=""),"Veri Eksik","Fiyat Hazır"))</x:f>
      </x:c>
      <x:c r="AD406" s="75" t="str">
        <x:f>IF($C406&lt;&gt;"","MW-"&amp;$C406,"")</x:f>
        <x:v>MW-80</x:v>
      </x:c>
      <x:c r="AE406" s="75" t="str">
        <x:f>IF($G406&lt;&gt;"","3D Baskı / "&amp;$G406,"3D Baskı")</x:f>
        <x:v>3D Baskı</x:v>
      </x:c>
      <x:c r="AF406" s="75" t="str">
        <x:f>IF($D406&lt;&gt;"",$D406&amp;" - "&amp;$G406,$AD406&amp;" - "&amp;$G406)</x:f>
        <x:v>MW-80 - </x:v>
      </x:c>
      <x:c r="AG406" s="75" t="str"/>
    </x:row>
    <x:row r="407">
      <x:c r="A407" s="75" t="str">
        <x:f>IF($B407&lt;&gt;"",ROW()-4,"")</x:f>
      </x:c>
      <x:c r="B407" s="75" t="str"/>
      <x:c r="C407" s="75" t="n">
        <x:f>IFERROR(LET(x,MID($B407,FIND("/models/",$B407)+8,80),y,LEFT(x,FIND("-",x&amp;"-")-1),LEFT(y,FIND("?",y&amp;"?")-1)),"")</x:f>
        <x:v>80</x:v>
      </x:c>
      <x:c r="D407" s="75" t="str">
        <x:f>IF($B407="","",IFERROR(XLOOKUP($C407,MakerWorld_Verileri!$A:$A,MakerWorld_Verileri!$B:$B,""),""))</x:f>
      </x:c>
      <x:c r="E407" s="75" t="str">
        <x:f>IF($B407="","",IFERROR(XLOOKUP($C407,MakerWorld_Verileri!$A:$A,MakerWorld_Verileri!$C:$C,""),""))</x:f>
      </x:c>
      <x:c r="F407" s="75" t="str"/>
      <x:c r="G407" s="75" t="str">
        <x:f>IF($B407&lt;&gt;"",Ayarlar!$B$7,"")</x:f>
      </x:c>
      <x:c r="H407" s="82" t="str">
        <x:f>IF($B407&lt;&gt;"",1,"")</x:f>
      </x:c>
      <x:c r="I407" s="82" t="str">
        <x:f>IF($B407="","",IFERROR(XLOOKUP($C407,MakerWorld_Verileri!$A:$A,MakerWorld_Verileri!$D:$D,""),""))</x:f>
      </x:c>
      <x:c r="J407" s="82" t="str"/>
      <x:c r="K407" s="82" t="str">
        <x:f>IF($I407&lt;&gt;"",$I407,$J407)</x:f>
      </x:c>
      <x:c r="L407" s="82" t="str">
        <x:f>IF($B407="","",IFERROR(XLOOKUP($C407,MakerWorld_Verileri!$A:$A,MakerWorld_Verileri!$E:$E,""),""))</x:f>
      </x:c>
      <x:c r="M407" s="82" t="str"/>
      <x:c r="N407" s="82" t="str">
        <x:f>IF($L407&lt;&gt;"",$L407,$M407)</x:f>
      </x:c>
      <x:c r="O407" s="82" t="str">
        <x:f>IF($B407&lt;&gt;"",0,"")</x:f>
      </x:c>
      <x:c r="P407" s="75" t="str">
        <x:f>IF($B407&lt;&gt;"","Orta","")</x:f>
      </x:c>
      <x:c r="Q407" s="82" t="str">
        <x:f>IF($B407&lt;&gt;"",10,"")</x:f>
      </x:c>
      <x:c r="R407" s="83" t="str">
        <x:f>IF($B407&lt;&gt;"",Ayarlar!$B$10,"")</x:f>
      </x:c>
      <x:c r="S407" s="83" t="str">
        <x:f>IF($B407&lt;&gt;"",0,"")</x:f>
      </x:c>
      <x:c r="T407" s="83" t="n">
        <x:f>IFERROR(($K407+$O407)*XLOOKUP($G407,Ayarlar!$A$19:$A$28,Ayarlar!$C$19:$C$28,0)*(1+Ayarlar!$B$11),0)</x:f>
        <x:v>0</x:v>
      </x:c>
      <x:c r="U407" s="83" t="n">
        <x:f>IFERROR($N407/60*Ayarlar!$B$8,0)</x:f>
        <x:v>0</x:v>
      </x:c>
      <x:c r="V407" s="83" t="n">
        <x:f>IF($B407&lt;&gt;"",Ayarlar!$B$12+($Q407/60*Ayarlar!$B$9),0)</x:f>
        <x:v>0</x:v>
      </x:c>
      <x:c r="W407" s="83" t="n">
        <x:f>IF($B407&lt;&gt;"",SUM($T407:$V407,$R407:$S407),0)</x:f>
        <x:v>0</x:v>
      </x:c>
      <x:c r="X407" s="83" t="n">
        <x:f>IF($B407&lt;&gt;"",$W407*Ayarlar!$B$15,0)</x:f>
        <x:v>0</x:v>
      </x:c>
      <x:c r="Y407" s="83" t="n">
        <x:f>IF($B407&lt;&gt;"",($W407+$X407)*Ayarlar!$B$13,0)</x:f>
        <x:v>0</x:v>
      </x:c>
      <x:c r="Z407" s="83" t="n">
        <x:f>IF($B407&lt;&gt;"",($W407+$X407+$Y407)*Ayarlar!$B$14,0)</x:f>
        <x:v>0</x:v>
      </x:c>
      <x:c r="AA407" s="83" t="str">
        <x:f>IF($B407="","",IF(OR($K407="",$N407=""),"",CEILING($W407+$X407+$Y407+$Z407,Ayarlar!$B$16)))</x:f>
      </x:c>
      <x:c r="AB407" s="83" t="str">
        <x:f>IFERROR($AA407/$H407,"")</x:f>
      </x:c>
      <x:c r="AC407" s="75" t="str">
        <x:f>IF($B407="","",IF(OR($K407="",$N407=""),"Veri Eksik","Fiyat Hazır"))</x:f>
      </x:c>
      <x:c r="AD407" s="75" t="str">
        <x:f>IF($C407&lt;&gt;"","MW-"&amp;$C407,"")</x:f>
        <x:v>MW-80</x:v>
      </x:c>
      <x:c r="AE407" s="75" t="str">
        <x:f>IF($G407&lt;&gt;"","3D Baskı / "&amp;$G407,"3D Baskı")</x:f>
        <x:v>3D Baskı</x:v>
      </x:c>
      <x:c r="AF407" s="75" t="str">
        <x:f>IF($D407&lt;&gt;"",$D407&amp;" - "&amp;$G407,$AD407&amp;" - "&amp;$G407)</x:f>
        <x:v>MW-80 - </x:v>
      </x:c>
      <x:c r="AG407" s="75" t="str"/>
    </x:row>
    <x:row r="408">
      <x:c r="A408" s="75" t="str">
        <x:f>IF($B408&lt;&gt;"",ROW()-4,"")</x:f>
      </x:c>
      <x:c r="B408" s="75" t="str"/>
      <x:c r="C408" s="75" t="n">
        <x:f>IFERROR(LET(x,MID($B408,FIND("/models/",$B408)+8,80),y,LEFT(x,FIND("-",x&amp;"-")-1),LEFT(y,FIND("?",y&amp;"?")-1)),"")</x:f>
        <x:v>80</x:v>
      </x:c>
      <x:c r="D408" s="75" t="str">
        <x:f>IF($B408="","",IFERROR(XLOOKUP($C408,MakerWorld_Verileri!$A:$A,MakerWorld_Verileri!$B:$B,""),""))</x:f>
      </x:c>
      <x:c r="E408" s="75" t="str">
        <x:f>IF($B408="","",IFERROR(XLOOKUP($C408,MakerWorld_Verileri!$A:$A,MakerWorld_Verileri!$C:$C,""),""))</x:f>
      </x:c>
      <x:c r="F408" s="75" t="str"/>
      <x:c r="G408" s="75" t="str">
        <x:f>IF($B408&lt;&gt;"",Ayarlar!$B$7,"")</x:f>
      </x:c>
      <x:c r="H408" s="82" t="str">
        <x:f>IF($B408&lt;&gt;"",1,"")</x:f>
      </x:c>
      <x:c r="I408" s="82" t="str">
        <x:f>IF($B408="","",IFERROR(XLOOKUP($C408,MakerWorld_Verileri!$A:$A,MakerWorld_Verileri!$D:$D,""),""))</x:f>
      </x:c>
      <x:c r="J408" s="82" t="str"/>
      <x:c r="K408" s="82" t="str">
        <x:f>IF($I408&lt;&gt;"",$I408,$J408)</x:f>
      </x:c>
      <x:c r="L408" s="82" t="str">
        <x:f>IF($B408="","",IFERROR(XLOOKUP($C408,MakerWorld_Verileri!$A:$A,MakerWorld_Verileri!$E:$E,""),""))</x:f>
      </x:c>
      <x:c r="M408" s="82" t="str"/>
      <x:c r="N408" s="82" t="str">
        <x:f>IF($L408&lt;&gt;"",$L408,$M408)</x:f>
      </x:c>
      <x:c r="O408" s="82" t="str">
        <x:f>IF($B408&lt;&gt;"",0,"")</x:f>
      </x:c>
      <x:c r="P408" s="75" t="str">
        <x:f>IF($B408&lt;&gt;"","Orta","")</x:f>
      </x:c>
      <x:c r="Q408" s="82" t="str">
        <x:f>IF($B408&lt;&gt;"",10,"")</x:f>
      </x:c>
      <x:c r="R408" s="83" t="str">
        <x:f>IF($B408&lt;&gt;"",Ayarlar!$B$10,"")</x:f>
      </x:c>
      <x:c r="S408" s="83" t="str">
        <x:f>IF($B408&lt;&gt;"",0,"")</x:f>
      </x:c>
      <x:c r="T408" s="83" t="n">
        <x:f>IFERROR(($K408+$O408)*XLOOKUP($G408,Ayarlar!$A$19:$A$28,Ayarlar!$C$19:$C$28,0)*(1+Ayarlar!$B$11),0)</x:f>
        <x:v>0</x:v>
      </x:c>
      <x:c r="U408" s="83" t="n">
        <x:f>IFERROR($N408/60*Ayarlar!$B$8,0)</x:f>
        <x:v>0</x:v>
      </x:c>
      <x:c r="V408" s="83" t="n">
        <x:f>IF($B408&lt;&gt;"",Ayarlar!$B$12+($Q408/60*Ayarlar!$B$9),0)</x:f>
        <x:v>0</x:v>
      </x:c>
      <x:c r="W408" s="83" t="n">
        <x:f>IF($B408&lt;&gt;"",SUM($T408:$V408,$R408:$S408),0)</x:f>
        <x:v>0</x:v>
      </x:c>
      <x:c r="X408" s="83" t="n">
        <x:f>IF($B408&lt;&gt;"",$W408*Ayarlar!$B$15,0)</x:f>
        <x:v>0</x:v>
      </x:c>
      <x:c r="Y408" s="83" t="n">
        <x:f>IF($B408&lt;&gt;"",($W408+$X408)*Ayarlar!$B$13,0)</x:f>
        <x:v>0</x:v>
      </x:c>
      <x:c r="Z408" s="83" t="n">
        <x:f>IF($B408&lt;&gt;"",($W408+$X408+$Y408)*Ayarlar!$B$14,0)</x:f>
        <x:v>0</x:v>
      </x:c>
      <x:c r="AA408" s="83" t="str">
        <x:f>IF($B408="","",IF(OR($K408="",$N408=""),"",CEILING($W408+$X408+$Y408+$Z408,Ayarlar!$B$16)))</x:f>
      </x:c>
      <x:c r="AB408" s="83" t="str">
        <x:f>IFERROR($AA408/$H408,"")</x:f>
      </x:c>
      <x:c r="AC408" s="75" t="str">
        <x:f>IF($B408="","",IF(OR($K408="",$N408=""),"Veri Eksik","Fiyat Hazır"))</x:f>
      </x:c>
      <x:c r="AD408" s="75" t="str">
        <x:f>IF($C408&lt;&gt;"","MW-"&amp;$C408,"")</x:f>
        <x:v>MW-80</x:v>
      </x:c>
      <x:c r="AE408" s="75" t="str">
        <x:f>IF($G408&lt;&gt;"","3D Baskı / "&amp;$G408,"3D Baskı")</x:f>
        <x:v>3D Baskı</x:v>
      </x:c>
      <x:c r="AF408" s="75" t="str">
        <x:f>IF($D408&lt;&gt;"",$D408&amp;" - "&amp;$G408,$AD408&amp;" - "&amp;$G408)</x:f>
        <x:v>MW-80 - </x:v>
      </x:c>
      <x:c r="AG408" s="75" t="str"/>
    </x:row>
    <x:row r="409">
      <x:c r="A409" s="75" t="str">
        <x:f>IF($B409&lt;&gt;"",ROW()-4,"")</x:f>
      </x:c>
      <x:c r="B409" s="75" t="str"/>
      <x:c r="C409" s="75" t="n">
        <x:f>IFERROR(LET(x,MID($B409,FIND("/models/",$B409)+8,80),y,LEFT(x,FIND("-",x&amp;"-")-1),LEFT(y,FIND("?",y&amp;"?")-1)),"")</x:f>
        <x:v>80</x:v>
      </x:c>
      <x:c r="D409" s="75" t="str">
        <x:f>IF($B409="","",IFERROR(XLOOKUP($C409,MakerWorld_Verileri!$A:$A,MakerWorld_Verileri!$B:$B,""),""))</x:f>
      </x:c>
      <x:c r="E409" s="75" t="str">
        <x:f>IF($B409="","",IFERROR(XLOOKUP($C409,MakerWorld_Verileri!$A:$A,MakerWorld_Verileri!$C:$C,""),""))</x:f>
      </x:c>
      <x:c r="F409" s="75" t="str"/>
      <x:c r="G409" s="75" t="str">
        <x:f>IF($B409&lt;&gt;"",Ayarlar!$B$7,"")</x:f>
      </x:c>
      <x:c r="H409" s="82" t="str">
        <x:f>IF($B409&lt;&gt;"",1,"")</x:f>
      </x:c>
      <x:c r="I409" s="82" t="str">
        <x:f>IF($B409="","",IFERROR(XLOOKUP($C409,MakerWorld_Verileri!$A:$A,MakerWorld_Verileri!$D:$D,""),""))</x:f>
      </x:c>
      <x:c r="J409" s="82" t="str"/>
      <x:c r="K409" s="82" t="str">
        <x:f>IF($I409&lt;&gt;"",$I409,$J409)</x:f>
      </x:c>
      <x:c r="L409" s="82" t="str">
        <x:f>IF($B409="","",IFERROR(XLOOKUP($C409,MakerWorld_Verileri!$A:$A,MakerWorld_Verileri!$E:$E,""),""))</x:f>
      </x:c>
      <x:c r="M409" s="82" t="str"/>
      <x:c r="N409" s="82" t="str">
        <x:f>IF($L409&lt;&gt;"",$L409,$M409)</x:f>
      </x:c>
      <x:c r="O409" s="82" t="str">
        <x:f>IF($B409&lt;&gt;"",0,"")</x:f>
      </x:c>
      <x:c r="P409" s="75" t="str">
        <x:f>IF($B409&lt;&gt;"","Orta","")</x:f>
      </x:c>
      <x:c r="Q409" s="82" t="str">
        <x:f>IF($B409&lt;&gt;"",10,"")</x:f>
      </x:c>
      <x:c r="R409" s="83" t="str">
        <x:f>IF($B409&lt;&gt;"",Ayarlar!$B$10,"")</x:f>
      </x:c>
      <x:c r="S409" s="83" t="str">
        <x:f>IF($B409&lt;&gt;"",0,"")</x:f>
      </x:c>
      <x:c r="T409" s="83" t="n">
        <x:f>IFERROR(($K409+$O409)*XLOOKUP($G409,Ayarlar!$A$19:$A$28,Ayarlar!$C$19:$C$28,0)*(1+Ayarlar!$B$11),0)</x:f>
        <x:v>0</x:v>
      </x:c>
      <x:c r="U409" s="83" t="n">
        <x:f>IFERROR($N409/60*Ayarlar!$B$8,0)</x:f>
        <x:v>0</x:v>
      </x:c>
      <x:c r="V409" s="83" t="n">
        <x:f>IF($B409&lt;&gt;"",Ayarlar!$B$12+($Q409/60*Ayarlar!$B$9),0)</x:f>
        <x:v>0</x:v>
      </x:c>
      <x:c r="W409" s="83" t="n">
        <x:f>IF($B409&lt;&gt;"",SUM($T409:$V409,$R409:$S409),0)</x:f>
        <x:v>0</x:v>
      </x:c>
      <x:c r="X409" s="83" t="n">
        <x:f>IF($B409&lt;&gt;"",$W409*Ayarlar!$B$15,0)</x:f>
        <x:v>0</x:v>
      </x:c>
      <x:c r="Y409" s="83" t="n">
        <x:f>IF($B409&lt;&gt;"",($W409+$X409)*Ayarlar!$B$13,0)</x:f>
        <x:v>0</x:v>
      </x:c>
      <x:c r="Z409" s="83" t="n">
        <x:f>IF($B409&lt;&gt;"",($W409+$X409+$Y409)*Ayarlar!$B$14,0)</x:f>
        <x:v>0</x:v>
      </x:c>
      <x:c r="AA409" s="83" t="str">
        <x:f>IF($B409="","",IF(OR($K409="",$N409=""),"",CEILING($W409+$X409+$Y409+$Z409,Ayarlar!$B$16)))</x:f>
      </x:c>
      <x:c r="AB409" s="83" t="str">
        <x:f>IFERROR($AA409/$H409,"")</x:f>
      </x:c>
      <x:c r="AC409" s="75" t="str">
        <x:f>IF($B409="","",IF(OR($K409="",$N409=""),"Veri Eksik","Fiyat Hazır"))</x:f>
      </x:c>
      <x:c r="AD409" s="75" t="str">
        <x:f>IF($C409&lt;&gt;"","MW-"&amp;$C409,"")</x:f>
        <x:v>MW-80</x:v>
      </x:c>
      <x:c r="AE409" s="75" t="str">
        <x:f>IF($G409&lt;&gt;"","3D Baskı / "&amp;$G409,"3D Baskı")</x:f>
        <x:v>3D Baskı</x:v>
      </x:c>
      <x:c r="AF409" s="75" t="str">
        <x:f>IF($D409&lt;&gt;"",$D409&amp;" - "&amp;$G409,$AD409&amp;" - "&amp;$G409)</x:f>
        <x:v>MW-80 - </x:v>
      </x:c>
      <x:c r="AG409" s="75" t="str"/>
    </x:row>
    <x:row r="410">
      <x:c r="A410" s="75" t="str">
        <x:f>IF($B410&lt;&gt;"",ROW()-4,"")</x:f>
      </x:c>
      <x:c r="B410" s="75" t="str"/>
      <x:c r="C410" s="75" t="n">
        <x:f>IFERROR(LET(x,MID($B410,FIND("/models/",$B410)+8,80),y,LEFT(x,FIND("-",x&amp;"-")-1),LEFT(y,FIND("?",y&amp;"?")-1)),"")</x:f>
        <x:v>80</x:v>
      </x:c>
      <x:c r="D410" s="75" t="str">
        <x:f>IF($B410="","",IFERROR(XLOOKUP($C410,MakerWorld_Verileri!$A:$A,MakerWorld_Verileri!$B:$B,""),""))</x:f>
      </x:c>
      <x:c r="E410" s="75" t="str">
        <x:f>IF($B410="","",IFERROR(XLOOKUP($C410,MakerWorld_Verileri!$A:$A,MakerWorld_Verileri!$C:$C,""),""))</x:f>
      </x:c>
      <x:c r="F410" s="75" t="str"/>
      <x:c r="G410" s="75" t="str">
        <x:f>IF($B410&lt;&gt;"",Ayarlar!$B$7,"")</x:f>
      </x:c>
      <x:c r="H410" s="82" t="str">
        <x:f>IF($B410&lt;&gt;"",1,"")</x:f>
      </x:c>
      <x:c r="I410" s="82" t="str">
        <x:f>IF($B410="","",IFERROR(XLOOKUP($C410,MakerWorld_Verileri!$A:$A,MakerWorld_Verileri!$D:$D,""),""))</x:f>
      </x:c>
      <x:c r="J410" s="82" t="str"/>
      <x:c r="K410" s="82" t="str">
        <x:f>IF($I410&lt;&gt;"",$I410,$J410)</x:f>
      </x:c>
      <x:c r="L410" s="82" t="str">
        <x:f>IF($B410="","",IFERROR(XLOOKUP($C410,MakerWorld_Verileri!$A:$A,MakerWorld_Verileri!$E:$E,""),""))</x:f>
      </x:c>
      <x:c r="M410" s="82" t="str"/>
      <x:c r="N410" s="82" t="str">
        <x:f>IF($L410&lt;&gt;"",$L410,$M410)</x:f>
      </x:c>
      <x:c r="O410" s="82" t="str">
        <x:f>IF($B410&lt;&gt;"",0,"")</x:f>
      </x:c>
      <x:c r="P410" s="75" t="str">
        <x:f>IF($B410&lt;&gt;"","Orta","")</x:f>
      </x:c>
      <x:c r="Q410" s="82" t="str">
        <x:f>IF($B410&lt;&gt;"",10,"")</x:f>
      </x:c>
      <x:c r="R410" s="83" t="str">
        <x:f>IF($B410&lt;&gt;"",Ayarlar!$B$10,"")</x:f>
      </x:c>
      <x:c r="S410" s="83" t="str">
        <x:f>IF($B410&lt;&gt;"",0,"")</x:f>
      </x:c>
      <x:c r="T410" s="83" t="n">
        <x:f>IFERROR(($K410+$O410)*XLOOKUP($G410,Ayarlar!$A$19:$A$28,Ayarlar!$C$19:$C$28,0)*(1+Ayarlar!$B$11),0)</x:f>
        <x:v>0</x:v>
      </x:c>
      <x:c r="U410" s="83" t="n">
        <x:f>IFERROR($N410/60*Ayarlar!$B$8,0)</x:f>
        <x:v>0</x:v>
      </x:c>
      <x:c r="V410" s="83" t="n">
        <x:f>IF($B410&lt;&gt;"",Ayarlar!$B$12+($Q410/60*Ayarlar!$B$9),0)</x:f>
        <x:v>0</x:v>
      </x:c>
      <x:c r="W410" s="83" t="n">
        <x:f>IF($B410&lt;&gt;"",SUM($T410:$V410,$R410:$S410),0)</x:f>
        <x:v>0</x:v>
      </x:c>
      <x:c r="X410" s="83" t="n">
        <x:f>IF($B410&lt;&gt;"",$W410*Ayarlar!$B$15,0)</x:f>
        <x:v>0</x:v>
      </x:c>
      <x:c r="Y410" s="83" t="n">
        <x:f>IF($B410&lt;&gt;"",($W410+$X410)*Ayarlar!$B$13,0)</x:f>
        <x:v>0</x:v>
      </x:c>
      <x:c r="Z410" s="83" t="n">
        <x:f>IF($B410&lt;&gt;"",($W410+$X410+$Y410)*Ayarlar!$B$14,0)</x:f>
        <x:v>0</x:v>
      </x:c>
      <x:c r="AA410" s="83" t="str">
        <x:f>IF($B410="","",IF(OR($K410="",$N410=""),"",CEILING($W410+$X410+$Y410+$Z410,Ayarlar!$B$16)))</x:f>
      </x:c>
      <x:c r="AB410" s="83" t="str">
        <x:f>IFERROR($AA410/$H410,"")</x:f>
      </x:c>
      <x:c r="AC410" s="75" t="str">
        <x:f>IF($B410="","",IF(OR($K410="",$N410=""),"Veri Eksik","Fiyat Hazır"))</x:f>
      </x:c>
      <x:c r="AD410" s="75" t="str">
        <x:f>IF($C410&lt;&gt;"","MW-"&amp;$C410,"")</x:f>
        <x:v>MW-80</x:v>
      </x:c>
      <x:c r="AE410" s="75" t="str">
        <x:f>IF($G410&lt;&gt;"","3D Baskı / "&amp;$G410,"3D Baskı")</x:f>
        <x:v>3D Baskı</x:v>
      </x:c>
      <x:c r="AF410" s="75" t="str">
        <x:f>IF($D410&lt;&gt;"",$D410&amp;" - "&amp;$G410,$AD410&amp;" - "&amp;$G410)</x:f>
        <x:v>MW-80 - </x:v>
      </x:c>
      <x:c r="AG410" s="75" t="str"/>
    </x:row>
    <x:row r="411">
      <x:c r="A411" s="75" t="str">
        <x:f>IF($B411&lt;&gt;"",ROW()-4,"")</x:f>
      </x:c>
      <x:c r="B411" s="75" t="str"/>
      <x:c r="C411" s="75" t="n">
        <x:f>IFERROR(LET(x,MID($B411,FIND("/models/",$B411)+8,80),y,LEFT(x,FIND("-",x&amp;"-")-1),LEFT(y,FIND("?",y&amp;"?")-1)),"")</x:f>
        <x:v>80</x:v>
      </x:c>
      <x:c r="D411" s="75" t="str">
        <x:f>IF($B411="","",IFERROR(XLOOKUP($C411,MakerWorld_Verileri!$A:$A,MakerWorld_Verileri!$B:$B,""),""))</x:f>
      </x:c>
      <x:c r="E411" s="75" t="str">
        <x:f>IF($B411="","",IFERROR(XLOOKUP($C411,MakerWorld_Verileri!$A:$A,MakerWorld_Verileri!$C:$C,""),""))</x:f>
      </x:c>
      <x:c r="F411" s="75" t="str"/>
      <x:c r="G411" s="75" t="str">
        <x:f>IF($B411&lt;&gt;"",Ayarlar!$B$7,"")</x:f>
      </x:c>
      <x:c r="H411" s="82" t="str">
        <x:f>IF($B411&lt;&gt;"",1,"")</x:f>
      </x:c>
      <x:c r="I411" s="82" t="str">
        <x:f>IF($B411="","",IFERROR(XLOOKUP($C411,MakerWorld_Verileri!$A:$A,MakerWorld_Verileri!$D:$D,""),""))</x:f>
      </x:c>
      <x:c r="J411" s="82" t="str"/>
      <x:c r="K411" s="82" t="str">
        <x:f>IF($I411&lt;&gt;"",$I411,$J411)</x:f>
      </x:c>
      <x:c r="L411" s="82" t="str">
        <x:f>IF($B411="","",IFERROR(XLOOKUP($C411,MakerWorld_Verileri!$A:$A,MakerWorld_Verileri!$E:$E,""),""))</x:f>
      </x:c>
      <x:c r="M411" s="82" t="str"/>
      <x:c r="N411" s="82" t="str">
        <x:f>IF($L411&lt;&gt;"",$L411,$M411)</x:f>
      </x:c>
      <x:c r="O411" s="82" t="str">
        <x:f>IF($B411&lt;&gt;"",0,"")</x:f>
      </x:c>
      <x:c r="P411" s="75" t="str">
        <x:f>IF($B411&lt;&gt;"","Orta","")</x:f>
      </x:c>
      <x:c r="Q411" s="82" t="str">
        <x:f>IF($B411&lt;&gt;"",10,"")</x:f>
      </x:c>
      <x:c r="R411" s="83" t="str">
        <x:f>IF($B411&lt;&gt;"",Ayarlar!$B$10,"")</x:f>
      </x:c>
      <x:c r="S411" s="83" t="str">
        <x:f>IF($B411&lt;&gt;"",0,"")</x:f>
      </x:c>
      <x:c r="T411" s="83" t="n">
        <x:f>IFERROR(($K411+$O411)*XLOOKUP($G411,Ayarlar!$A$19:$A$28,Ayarlar!$C$19:$C$28,0)*(1+Ayarlar!$B$11),0)</x:f>
        <x:v>0</x:v>
      </x:c>
      <x:c r="U411" s="83" t="n">
        <x:f>IFERROR($N411/60*Ayarlar!$B$8,0)</x:f>
        <x:v>0</x:v>
      </x:c>
      <x:c r="V411" s="83" t="n">
        <x:f>IF($B411&lt;&gt;"",Ayarlar!$B$12+($Q411/60*Ayarlar!$B$9),0)</x:f>
        <x:v>0</x:v>
      </x:c>
      <x:c r="W411" s="83" t="n">
        <x:f>IF($B411&lt;&gt;"",SUM($T411:$V411,$R411:$S411),0)</x:f>
        <x:v>0</x:v>
      </x:c>
      <x:c r="X411" s="83" t="n">
        <x:f>IF($B411&lt;&gt;"",$W411*Ayarlar!$B$15,0)</x:f>
        <x:v>0</x:v>
      </x:c>
      <x:c r="Y411" s="83" t="n">
        <x:f>IF($B411&lt;&gt;"",($W411+$X411)*Ayarlar!$B$13,0)</x:f>
        <x:v>0</x:v>
      </x:c>
      <x:c r="Z411" s="83" t="n">
        <x:f>IF($B411&lt;&gt;"",($W411+$X411+$Y411)*Ayarlar!$B$14,0)</x:f>
        <x:v>0</x:v>
      </x:c>
      <x:c r="AA411" s="83" t="str">
        <x:f>IF($B411="","",IF(OR($K411="",$N411=""),"",CEILING($W411+$X411+$Y411+$Z411,Ayarlar!$B$16)))</x:f>
      </x:c>
      <x:c r="AB411" s="83" t="str">
        <x:f>IFERROR($AA411/$H411,"")</x:f>
      </x:c>
      <x:c r="AC411" s="75" t="str">
        <x:f>IF($B411="","",IF(OR($K411="",$N411=""),"Veri Eksik","Fiyat Hazır"))</x:f>
      </x:c>
      <x:c r="AD411" s="75" t="str">
        <x:f>IF($C411&lt;&gt;"","MW-"&amp;$C411,"")</x:f>
        <x:v>MW-80</x:v>
      </x:c>
      <x:c r="AE411" s="75" t="str">
        <x:f>IF($G411&lt;&gt;"","3D Baskı / "&amp;$G411,"3D Baskı")</x:f>
        <x:v>3D Baskı</x:v>
      </x:c>
      <x:c r="AF411" s="75" t="str">
        <x:f>IF($D411&lt;&gt;"",$D411&amp;" - "&amp;$G411,$AD411&amp;" - "&amp;$G411)</x:f>
        <x:v>MW-80 - </x:v>
      </x:c>
      <x:c r="AG411" s="75" t="str"/>
    </x:row>
    <x:row r="412">
      <x:c r="A412" s="75" t="str">
        <x:f>IF($B412&lt;&gt;"",ROW()-4,"")</x:f>
      </x:c>
      <x:c r="B412" s="75" t="str"/>
      <x:c r="C412" s="75" t="n">
        <x:f>IFERROR(LET(x,MID($B412,FIND("/models/",$B412)+8,80),y,LEFT(x,FIND("-",x&amp;"-")-1),LEFT(y,FIND("?",y&amp;"?")-1)),"")</x:f>
        <x:v>80</x:v>
      </x:c>
      <x:c r="D412" s="75" t="str">
        <x:f>IF($B412="","",IFERROR(XLOOKUP($C412,MakerWorld_Verileri!$A:$A,MakerWorld_Verileri!$B:$B,""),""))</x:f>
      </x:c>
      <x:c r="E412" s="75" t="str">
        <x:f>IF($B412="","",IFERROR(XLOOKUP($C412,MakerWorld_Verileri!$A:$A,MakerWorld_Verileri!$C:$C,""),""))</x:f>
      </x:c>
      <x:c r="F412" s="75" t="str"/>
      <x:c r="G412" s="75" t="str">
        <x:f>IF($B412&lt;&gt;"",Ayarlar!$B$7,"")</x:f>
      </x:c>
      <x:c r="H412" s="82" t="str">
        <x:f>IF($B412&lt;&gt;"",1,"")</x:f>
      </x:c>
      <x:c r="I412" s="82" t="str">
        <x:f>IF($B412="","",IFERROR(XLOOKUP($C412,MakerWorld_Verileri!$A:$A,MakerWorld_Verileri!$D:$D,""),""))</x:f>
      </x:c>
      <x:c r="J412" s="82" t="str"/>
      <x:c r="K412" s="82" t="str">
        <x:f>IF($I412&lt;&gt;"",$I412,$J412)</x:f>
      </x:c>
      <x:c r="L412" s="82" t="str">
        <x:f>IF($B412="","",IFERROR(XLOOKUP($C412,MakerWorld_Verileri!$A:$A,MakerWorld_Verileri!$E:$E,""),""))</x:f>
      </x:c>
      <x:c r="M412" s="82" t="str"/>
      <x:c r="N412" s="82" t="str">
        <x:f>IF($L412&lt;&gt;"",$L412,$M412)</x:f>
      </x:c>
      <x:c r="O412" s="82" t="str">
        <x:f>IF($B412&lt;&gt;"",0,"")</x:f>
      </x:c>
      <x:c r="P412" s="75" t="str">
        <x:f>IF($B412&lt;&gt;"","Orta","")</x:f>
      </x:c>
      <x:c r="Q412" s="82" t="str">
        <x:f>IF($B412&lt;&gt;"",10,"")</x:f>
      </x:c>
      <x:c r="R412" s="83" t="str">
        <x:f>IF($B412&lt;&gt;"",Ayarlar!$B$10,"")</x:f>
      </x:c>
      <x:c r="S412" s="83" t="str">
        <x:f>IF($B412&lt;&gt;"",0,"")</x:f>
      </x:c>
      <x:c r="T412" s="83" t="n">
        <x:f>IFERROR(($K412+$O412)*XLOOKUP($G412,Ayarlar!$A$19:$A$28,Ayarlar!$C$19:$C$28,0)*(1+Ayarlar!$B$11),0)</x:f>
        <x:v>0</x:v>
      </x:c>
      <x:c r="U412" s="83" t="n">
        <x:f>IFERROR($N412/60*Ayarlar!$B$8,0)</x:f>
        <x:v>0</x:v>
      </x:c>
      <x:c r="V412" s="83" t="n">
        <x:f>IF($B412&lt;&gt;"",Ayarlar!$B$12+($Q412/60*Ayarlar!$B$9),0)</x:f>
        <x:v>0</x:v>
      </x:c>
      <x:c r="W412" s="83" t="n">
        <x:f>IF($B412&lt;&gt;"",SUM($T412:$V412,$R412:$S412),0)</x:f>
        <x:v>0</x:v>
      </x:c>
      <x:c r="X412" s="83" t="n">
        <x:f>IF($B412&lt;&gt;"",$W412*Ayarlar!$B$15,0)</x:f>
        <x:v>0</x:v>
      </x:c>
      <x:c r="Y412" s="83" t="n">
        <x:f>IF($B412&lt;&gt;"",($W412+$X412)*Ayarlar!$B$13,0)</x:f>
        <x:v>0</x:v>
      </x:c>
      <x:c r="Z412" s="83" t="n">
        <x:f>IF($B412&lt;&gt;"",($W412+$X412+$Y412)*Ayarlar!$B$14,0)</x:f>
        <x:v>0</x:v>
      </x:c>
      <x:c r="AA412" s="83" t="str">
        <x:f>IF($B412="","",IF(OR($K412="",$N412=""),"",CEILING($W412+$X412+$Y412+$Z412,Ayarlar!$B$16)))</x:f>
      </x:c>
      <x:c r="AB412" s="83" t="str">
        <x:f>IFERROR($AA412/$H412,"")</x:f>
      </x:c>
      <x:c r="AC412" s="75" t="str">
        <x:f>IF($B412="","",IF(OR($K412="",$N412=""),"Veri Eksik","Fiyat Hazır"))</x:f>
      </x:c>
      <x:c r="AD412" s="75" t="str">
        <x:f>IF($C412&lt;&gt;"","MW-"&amp;$C412,"")</x:f>
        <x:v>MW-80</x:v>
      </x:c>
      <x:c r="AE412" s="75" t="str">
        <x:f>IF($G412&lt;&gt;"","3D Baskı / "&amp;$G412,"3D Baskı")</x:f>
        <x:v>3D Baskı</x:v>
      </x:c>
      <x:c r="AF412" s="75" t="str">
        <x:f>IF($D412&lt;&gt;"",$D412&amp;" - "&amp;$G412,$AD412&amp;" - "&amp;$G412)</x:f>
        <x:v>MW-80 - </x:v>
      </x:c>
      <x:c r="AG412" s="75" t="str"/>
    </x:row>
    <x:row r="413">
      <x:c r="A413" s="75" t="str">
        <x:f>IF($B413&lt;&gt;"",ROW()-4,"")</x:f>
      </x:c>
      <x:c r="B413" s="75" t="str"/>
      <x:c r="C413" s="75" t="n">
        <x:f>IFERROR(LET(x,MID($B413,FIND("/models/",$B413)+8,80),y,LEFT(x,FIND("-",x&amp;"-")-1),LEFT(y,FIND("?",y&amp;"?")-1)),"")</x:f>
        <x:v>80</x:v>
      </x:c>
      <x:c r="D413" s="75" t="str">
        <x:f>IF($B413="","",IFERROR(XLOOKUP($C413,MakerWorld_Verileri!$A:$A,MakerWorld_Verileri!$B:$B,""),""))</x:f>
      </x:c>
      <x:c r="E413" s="75" t="str">
        <x:f>IF($B413="","",IFERROR(XLOOKUP($C413,MakerWorld_Verileri!$A:$A,MakerWorld_Verileri!$C:$C,""),""))</x:f>
      </x:c>
      <x:c r="F413" s="75" t="str"/>
      <x:c r="G413" s="75" t="str">
        <x:f>IF($B413&lt;&gt;"",Ayarlar!$B$7,"")</x:f>
      </x:c>
      <x:c r="H413" s="82" t="str">
        <x:f>IF($B413&lt;&gt;"",1,"")</x:f>
      </x:c>
      <x:c r="I413" s="82" t="str">
        <x:f>IF($B413="","",IFERROR(XLOOKUP($C413,MakerWorld_Verileri!$A:$A,MakerWorld_Verileri!$D:$D,""),""))</x:f>
      </x:c>
      <x:c r="J413" s="82" t="str"/>
      <x:c r="K413" s="82" t="str">
        <x:f>IF($I413&lt;&gt;"",$I413,$J413)</x:f>
      </x:c>
      <x:c r="L413" s="82" t="str">
        <x:f>IF($B413="","",IFERROR(XLOOKUP($C413,MakerWorld_Verileri!$A:$A,MakerWorld_Verileri!$E:$E,""),""))</x:f>
      </x:c>
      <x:c r="M413" s="82" t="str"/>
      <x:c r="N413" s="82" t="str">
        <x:f>IF($L413&lt;&gt;"",$L413,$M413)</x:f>
      </x:c>
      <x:c r="O413" s="82" t="str">
        <x:f>IF($B413&lt;&gt;"",0,"")</x:f>
      </x:c>
      <x:c r="P413" s="75" t="str">
        <x:f>IF($B413&lt;&gt;"","Orta","")</x:f>
      </x:c>
      <x:c r="Q413" s="82" t="str">
        <x:f>IF($B413&lt;&gt;"",10,"")</x:f>
      </x:c>
      <x:c r="R413" s="83" t="str">
        <x:f>IF($B413&lt;&gt;"",Ayarlar!$B$10,"")</x:f>
      </x:c>
      <x:c r="S413" s="83" t="str">
        <x:f>IF($B413&lt;&gt;"",0,"")</x:f>
      </x:c>
      <x:c r="T413" s="83" t="n">
        <x:f>IFERROR(($K413+$O413)*XLOOKUP($G413,Ayarlar!$A$19:$A$28,Ayarlar!$C$19:$C$28,0)*(1+Ayarlar!$B$11),0)</x:f>
        <x:v>0</x:v>
      </x:c>
      <x:c r="U413" s="83" t="n">
        <x:f>IFERROR($N413/60*Ayarlar!$B$8,0)</x:f>
        <x:v>0</x:v>
      </x:c>
      <x:c r="V413" s="83" t="n">
        <x:f>IF($B413&lt;&gt;"",Ayarlar!$B$12+($Q413/60*Ayarlar!$B$9),0)</x:f>
        <x:v>0</x:v>
      </x:c>
      <x:c r="W413" s="83" t="n">
        <x:f>IF($B413&lt;&gt;"",SUM($T413:$V413,$R413:$S413),0)</x:f>
        <x:v>0</x:v>
      </x:c>
      <x:c r="X413" s="83" t="n">
        <x:f>IF($B413&lt;&gt;"",$W413*Ayarlar!$B$15,0)</x:f>
        <x:v>0</x:v>
      </x:c>
      <x:c r="Y413" s="83" t="n">
        <x:f>IF($B413&lt;&gt;"",($W413+$X413)*Ayarlar!$B$13,0)</x:f>
        <x:v>0</x:v>
      </x:c>
      <x:c r="Z413" s="83" t="n">
        <x:f>IF($B413&lt;&gt;"",($W413+$X413+$Y413)*Ayarlar!$B$14,0)</x:f>
        <x:v>0</x:v>
      </x:c>
      <x:c r="AA413" s="83" t="str">
        <x:f>IF($B413="","",IF(OR($K413="",$N413=""),"",CEILING($W413+$X413+$Y413+$Z413,Ayarlar!$B$16)))</x:f>
      </x:c>
      <x:c r="AB413" s="83" t="str">
        <x:f>IFERROR($AA413/$H413,"")</x:f>
      </x:c>
      <x:c r="AC413" s="75" t="str">
        <x:f>IF($B413="","",IF(OR($K413="",$N413=""),"Veri Eksik","Fiyat Hazır"))</x:f>
      </x:c>
      <x:c r="AD413" s="75" t="str">
        <x:f>IF($C413&lt;&gt;"","MW-"&amp;$C413,"")</x:f>
        <x:v>MW-80</x:v>
      </x:c>
      <x:c r="AE413" s="75" t="str">
        <x:f>IF($G413&lt;&gt;"","3D Baskı / "&amp;$G413,"3D Baskı")</x:f>
        <x:v>3D Baskı</x:v>
      </x:c>
      <x:c r="AF413" s="75" t="str">
        <x:f>IF($D413&lt;&gt;"",$D413&amp;" - "&amp;$G413,$AD413&amp;" - "&amp;$G413)</x:f>
        <x:v>MW-80 - </x:v>
      </x:c>
      <x:c r="AG413" s="75" t="str"/>
    </x:row>
    <x:row r="414">
      <x:c r="A414" s="75" t="str">
        <x:f>IF($B414&lt;&gt;"",ROW()-4,"")</x:f>
      </x:c>
      <x:c r="B414" s="75" t="str"/>
      <x:c r="C414" s="75" t="n">
        <x:f>IFERROR(LET(x,MID($B414,FIND("/models/",$B414)+8,80),y,LEFT(x,FIND("-",x&amp;"-")-1),LEFT(y,FIND("?",y&amp;"?")-1)),"")</x:f>
        <x:v>80</x:v>
      </x:c>
      <x:c r="D414" s="75" t="str">
        <x:f>IF($B414="","",IFERROR(XLOOKUP($C414,MakerWorld_Verileri!$A:$A,MakerWorld_Verileri!$B:$B,""),""))</x:f>
      </x:c>
      <x:c r="E414" s="75" t="str">
        <x:f>IF($B414="","",IFERROR(XLOOKUP($C414,MakerWorld_Verileri!$A:$A,MakerWorld_Verileri!$C:$C,""),""))</x:f>
      </x:c>
      <x:c r="F414" s="75" t="str"/>
      <x:c r="G414" s="75" t="str">
        <x:f>IF($B414&lt;&gt;"",Ayarlar!$B$7,"")</x:f>
      </x:c>
      <x:c r="H414" s="82" t="str">
        <x:f>IF($B414&lt;&gt;"",1,"")</x:f>
      </x:c>
      <x:c r="I414" s="82" t="str">
        <x:f>IF($B414="","",IFERROR(XLOOKUP($C414,MakerWorld_Verileri!$A:$A,MakerWorld_Verileri!$D:$D,""),""))</x:f>
      </x:c>
      <x:c r="J414" s="82" t="str"/>
      <x:c r="K414" s="82" t="str">
        <x:f>IF($I414&lt;&gt;"",$I414,$J414)</x:f>
      </x:c>
      <x:c r="L414" s="82" t="str">
        <x:f>IF($B414="","",IFERROR(XLOOKUP($C414,MakerWorld_Verileri!$A:$A,MakerWorld_Verileri!$E:$E,""),""))</x:f>
      </x:c>
      <x:c r="M414" s="82" t="str"/>
      <x:c r="N414" s="82" t="str">
        <x:f>IF($L414&lt;&gt;"",$L414,$M414)</x:f>
      </x:c>
      <x:c r="O414" s="82" t="str">
        <x:f>IF($B414&lt;&gt;"",0,"")</x:f>
      </x:c>
      <x:c r="P414" s="75" t="str">
        <x:f>IF($B414&lt;&gt;"","Orta","")</x:f>
      </x:c>
      <x:c r="Q414" s="82" t="str">
        <x:f>IF($B414&lt;&gt;"",10,"")</x:f>
      </x:c>
      <x:c r="R414" s="83" t="str">
        <x:f>IF($B414&lt;&gt;"",Ayarlar!$B$10,"")</x:f>
      </x:c>
      <x:c r="S414" s="83" t="str">
        <x:f>IF($B414&lt;&gt;"",0,"")</x:f>
      </x:c>
      <x:c r="T414" s="83" t="n">
        <x:f>IFERROR(($K414+$O414)*XLOOKUP($G414,Ayarlar!$A$19:$A$28,Ayarlar!$C$19:$C$28,0)*(1+Ayarlar!$B$11),0)</x:f>
        <x:v>0</x:v>
      </x:c>
      <x:c r="U414" s="83" t="n">
        <x:f>IFERROR($N414/60*Ayarlar!$B$8,0)</x:f>
        <x:v>0</x:v>
      </x:c>
      <x:c r="V414" s="83" t="n">
        <x:f>IF($B414&lt;&gt;"",Ayarlar!$B$12+($Q414/60*Ayarlar!$B$9),0)</x:f>
        <x:v>0</x:v>
      </x:c>
      <x:c r="W414" s="83" t="n">
        <x:f>IF($B414&lt;&gt;"",SUM($T414:$V414,$R414:$S414),0)</x:f>
        <x:v>0</x:v>
      </x:c>
      <x:c r="X414" s="83" t="n">
        <x:f>IF($B414&lt;&gt;"",$W414*Ayarlar!$B$15,0)</x:f>
        <x:v>0</x:v>
      </x:c>
      <x:c r="Y414" s="83" t="n">
        <x:f>IF($B414&lt;&gt;"",($W414+$X414)*Ayarlar!$B$13,0)</x:f>
        <x:v>0</x:v>
      </x:c>
      <x:c r="Z414" s="83" t="n">
        <x:f>IF($B414&lt;&gt;"",($W414+$X414+$Y414)*Ayarlar!$B$14,0)</x:f>
        <x:v>0</x:v>
      </x:c>
      <x:c r="AA414" s="83" t="str">
        <x:f>IF($B414="","",IF(OR($K414="",$N414=""),"",CEILING($W414+$X414+$Y414+$Z414,Ayarlar!$B$16)))</x:f>
      </x:c>
      <x:c r="AB414" s="83" t="str">
        <x:f>IFERROR($AA414/$H414,"")</x:f>
      </x:c>
      <x:c r="AC414" s="75" t="str">
        <x:f>IF($B414="","",IF(OR($K414="",$N414=""),"Veri Eksik","Fiyat Hazır"))</x:f>
      </x:c>
      <x:c r="AD414" s="75" t="str">
        <x:f>IF($C414&lt;&gt;"","MW-"&amp;$C414,"")</x:f>
        <x:v>MW-80</x:v>
      </x:c>
      <x:c r="AE414" s="75" t="str">
        <x:f>IF($G414&lt;&gt;"","3D Baskı / "&amp;$G414,"3D Baskı")</x:f>
        <x:v>3D Baskı</x:v>
      </x:c>
      <x:c r="AF414" s="75" t="str">
        <x:f>IF($D414&lt;&gt;"",$D414&amp;" - "&amp;$G414,$AD414&amp;" - "&amp;$G414)</x:f>
        <x:v>MW-80 - </x:v>
      </x:c>
      <x:c r="AG414" s="75" t="str"/>
    </x:row>
    <x:row r="415">
      <x:c r="A415" s="75" t="str">
        <x:f>IF($B415&lt;&gt;"",ROW()-4,"")</x:f>
      </x:c>
      <x:c r="B415" s="75" t="str"/>
      <x:c r="C415" s="75" t="n">
        <x:f>IFERROR(LET(x,MID($B415,FIND("/models/",$B415)+8,80),y,LEFT(x,FIND("-",x&amp;"-")-1),LEFT(y,FIND("?",y&amp;"?")-1)),"")</x:f>
        <x:v>80</x:v>
      </x:c>
      <x:c r="D415" s="75" t="str">
        <x:f>IF($B415="","",IFERROR(XLOOKUP($C415,MakerWorld_Verileri!$A:$A,MakerWorld_Verileri!$B:$B,""),""))</x:f>
      </x:c>
      <x:c r="E415" s="75" t="str">
        <x:f>IF($B415="","",IFERROR(XLOOKUP($C415,MakerWorld_Verileri!$A:$A,MakerWorld_Verileri!$C:$C,""),""))</x:f>
      </x:c>
      <x:c r="F415" s="75" t="str"/>
      <x:c r="G415" s="75" t="str">
        <x:f>IF($B415&lt;&gt;"",Ayarlar!$B$7,"")</x:f>
      </x:c>
      <x:c r="H415" s="82" t="str">
        <x:f>IF($B415&lt;&gt;"",1,"")</x:f>
      </x:c>
      <x:c r="I415" s="82" t="str">
        <x:f>IF($B415="","",IFERROR(XLOOKUP($C415,MakerWorld_Verileri!$A:$A,MakerWorld_Verileri!$D:$D,""),""))</x:f>
      </x:c>
      <x:c r="J415" s="82" t="str"/>
      <x:c r="K415" s="82" t="str">
        <x:f>IF($I415&lt;&gt;"",$I415,$J415)</x:f>
      </x:c>
      <x:c r="L415" s="82" t="str">
        <x:f>IF($B415="","",IFERROR(XLOOKUP($C415,MakerWorld_Verileri!$A:$A,MakerWorld_Verileri!$E:$E,""),""))</x:f>
      </x:c>
      <x:c r="M415" s="82" t="str"/>
      <x:c r="N415" s="82" t="str">
        <x:f>IF($L415&lt;&gt;"",$L415,$M415)</x:f>
      </x:c>
      <x:c r="O415" s="82" t="str">
        <x:f>IF($B415&lt;&gt;"",0,"")</x:f>
      </x:c>
      <x:c r="P415" s="75" t="str">
        <x:f>IF($B415&lt;&gt;"","Orta","")</x:f>
      </x:c>
      <x:c r="Q415" s="82" t="str">
        <x:f>IF($B415&lt;&gt;"",10,"")</x:f>
      </x:c>
      <x:c r="R415" s="83" t="str">
        <x:f>IF($B415&lt;&gt;"",Ayarlar!$B$10,"")</x:f>
      </x:c>
      <x:c r="S415" s="83" t="str">
        <x:f>IF($B415&lt;&gt;"",0,"")</x:f>
      </x:c>
      <x:c r="T415" s="83" t="n">
        <x:f>IFERROR(($K415+$O415)*XLOOKUP($G415,Ayarlar!$A$19:$A$28,Ayarlar!$C$19:$C$28,0)*(1+Ayarlar!$B$11),0)</x:f>
        <x:v>0</x:v>
      </x:c>
      <x:c r="U415" s="83" t="n">
        <x:f>IFERROR($N415/60*Ayarlar!$B$8,0)</x:f>
        <x:v>0</x:v>
      </x:c>
      <x:c r="V415" s="83" t="n">
        <x:f>IF($B415&lt;&gt;"",Ayarlar!$B$12+($Q415/60*Ayarlar!$B$9),0)</x:f>
        <x:v>0</x:v>
      </x:c>
      <x:c r="W415" s="83" t="n">
        <x:f>IF($B415&lt;&gt;"",SUM($T415:$V415,$R415:$S415),0)</x:f>
        <x:v>0</x:v>
      </x:c>
      <x:c r="X415" s="83" t="n">
        <x:f>IF($B415&lt;&gt;"",$W415*Ayarlar!$B$15,0)</x:f>
        <x:v>0</x:v>
      </x:c>
      <x:c r="Y415" s="83" t="n">
        <x:f>IF($B415&lt;&gt;"",($W415+$X415)*Ayarlar!$B$13,0)</x:f>
        <x:v>0</x:v>
      </x:c>
      <x:c r="Z415" s="83" t="n">
        <x:f>IF($B415&lt;&gt;"",($W415+$X415+$Y415)*Ayarlar!$B$14,0)</x:f>
        <x:v>0</x:v>
      </x:c>
      <x:c r="AA415" s="83" t="str">
        <x:f>IF($B415="","",IF(OR($K415="",$N415=""),"",CEILING($W415+$X415+$Y415+$Z415,Ayarlar!$B$16)))</x:f>
      </x:c>
      <x:c r="AB415" s="83" t="str">
        <x:f>IFERROR($AA415/$H415,"")</x:f>
      </x:c>
      <x:c r="AC415" s="75" t="str">
        <x:f>IF($B415="","",IF(OR($K415="",$N415=""),"Veri Eksik","Fiyat Hazır"))</x:f>
      </x:c>
      <x:c r="AD415" s="75" t="str">
        <x:f>IF($C415&lt;&gt;"","MW-"&amp;$C415,"")</x:f>
        <x:v>MW-80</x:v>
      </x:c>
      <x:c r="AE415" s="75" t="str">
        <x:f>IF($G415&lt;&gt;"","3D Baskı / "&amp;$G415,"3D Baskı")</x:f>
        <x:v>3D Baskı</x:v>
      </x:c>
      <x:c r="AF415" s="75" t="str">
        <x:f>IF($D415&lt;&gt;"",$D415&amp;" - "&amp;$G415,$AD415&amp;" - "&amp;$G415)</x:f>
        <x:v>MW-80 - </x:v>
      </x:c>
      <x:c r="AG415" s="75" t="str"/>
    </x:row>
    <x:row r="416">
      <x:c r="A416" s="75" t="str">
        <x:f>IF($B416&lt;&gt;"",ROW()-4,"")</x:f>
      </x:c>
      <x:c r="B416" s="75" t="str"/>
      <x:c r="C416" s="75" t="n">
        <x:f>IFERROR(LET(x,MID($B416,FIND("/models/",$B416)+8,80),y,LEFT(x,FIND("-",x&amp;"-")-1),LEFT(y,FIND("?",y&amp;"?")-1)),"")</x:f>
        <x:v>80</x:v>
      </x:c>
      <x:c r="D416" s="75" t="str">
        <x:f>IF($B416="","",IFERROR(XLOOKUP($C416,MakerWorld_Verileri!$A:$A,MakerWorld_Verileri!$B:$B,""),""))</x:f>
      </x:c>
      <x:c r="E416" s="75" t="str">
        <x:f>IF($B416="","",IFERROR(XLOOKUP($C416,MakerWorld_Verileri!$A:$A,MakerWorld_Verileri!$C:$C,""),""))</x:f>
      </x:c>
      <x:c r="F416" s="75" t="str"/>
      <x:c r="G416" s="75" t="str">
        <x:f>IF($B416&lt;&gt;"",Ayarlar!$B$7,"")</x:f>
      </x:c>
      <x:c r="H416" s="82" t="str">
        <x:f>IF($B416&lt;&gt;"",1,"")</x:f>
      </x:c>
      <x:c r="I416" s="82" t="str">
        <x:f>IF($B416="","",IFERROR(XLOOKUP($C416,MakerWorld_Verileri!$A:$A,MakerWorld_Verileri!$D:$D,""),""))</x:f>
      </x:c>
      <x:c r="J416" s="82" t="str"/>
      <x:c r="K416" s="82" t="str">
        <x:f>IF($I416&lt;&gt;"",$I416,$J416)</x:f>
      </x:c>
      <x:c r="L416" s="82" t="str">
        <x:f>IF($B416="","",IFERROR(XLOOKUP($C416,MakerWorld_Verileri!$A:$A,MakerWorld_Verileri!$E:$E,""),""))</x:f>
      </x:c>
      <x:c r="M416" s="82" t="str"/>
      <x:c r="N416" s="82" t="str">
        <x:f>IF($L416&lt;&gt;"",$L416,$M416)</x:f>
      </x:c>
      <x:c r="O416" s="82" t="str">
        <x:f>IF($B416&lt;&gt;"",0,"")</x:f>
      </x:c>
      <x:c r="P416" s="75" t="str">
        <x:f>IF($B416&lt;&gt;"","Orta","")</x:f>
      </x:c>
      <x:c r="Q416" s="82" t="str">
        <x:f>IF($B416&lt;&gt;"",10,"")</x:f>
      </x:c>
      <x:c r="R416" s="83" t="str">
        <x:f>IF($B416&lt;&gt;"",Ayarlar!$B$10,"")</x:f>
      </x:c>
      <x:c r="S416" s="83" t="str">
        <x:f>IF($B416&lt;&gt;"",0,"")</x:f>
      </x:c>
      <x:c r="T416" s="83" t="n">
        <x:f>IFERROR(($K416+$O416)*XLOOKUP($G416,Ayarlar!$A$19:$A$28,Ayarlar!$C$19:$C$28,0)*(1+Ayarlar!$B$11),0)</x:f>
        <x:v>0</x:v>
      </x:c>
      <x:c r="U416" s="83" t="n">
        <x:f>IFERROR($N416/60*Ayarlar!$B$8,0)</x:f>
        <x:v>0</x:v>
      </x:c>
      <x:c r="V416" s="83" t="n">
        <x:f>IF($B416&lt;&gt;"",Ayarlar!$B$12+($Q416/60*Ayarlar!$B$9),0)</x:f>
        <x:v>0</x:v>
      </x:c>
      <x:c r="W416" s="83" t="n">
        <x:f>IF($B416&lt;&gt;"",SUM($T416:$V416,$R416:$S416),0)</x:f>
        <x:v>0</x:v>
      </x:c>
      <x:c r="X416" s="83" t="n">
        <x:f>IF($B416&lt;&gt;"",$W416*Ayarlar!$B$15,0)</x:f>
        <x:v>0</x:v>
      </x:c>
      <x:c r="Y416" s="83" t="n">
        <x:f>IF($B416&lt;&gt;"",($W416+$X416)*Ayarlar!$B$13,0)</x:f>
        <x:v>0</x:v>
      </x:c>
      <x:c r="Z416" s="83" t="n">
        <x:f>IF($B416&lt;&gt;"",($W416+$X416+$Y416)*Ayarlar!$B$14,0)</x:f>
        <x:v>0</x:v>
      </x:c>
      <x:c r="AA416" s="83" t="str">
        <x:f>IF($B416="","",IF(OR($K416="",$N416=""),"",CEILING($W416+$X416+$Y416+$Z416,Ayarlar!$B$16)))</x:f>
      </x:c>
      <x:c r="AB416" s="83" t="str">
        <x:f>IFERROR($AA416/$H416,"")</x:f>
      </x:c>
      <x:c r="AC416" s="75" t="str">
        <x:f>IF($B416="","",IF(OR($K416="",$N416=""),"Veri Eksik","Fiyat Hazır"))</x:f>
      </x:c>
      <x:c r="AD416" s="75" t="str">
        <x:f>IF($C416&lt;&gt;"","MW-"&amp;$C416,"")</x:f>
        <x:v>MW-80</x:v>
      </x:c>
      <x:c r="AE416" s="75" t="str">
        <x:f>IF($G416&lt;&gt;"","3D Baskı / "&amp;$G416,"3D Baskı")</x:f>
        <x:v>3D Baskı</x:v>
      </x:c>
      <x:c r="AF416" s="75" t="str">
        <x:f>IF($D416&lt;&gt;"",$D416&amp;" - "&amp;$G416,$AD416&amp;" - "&amp;$G416)</x:f>
        <x:v>MW-80 - </x:v>
      </x:c>
      <x:c r="AG416" s="75" t="str"/>
    </x:row>
    <x:row r="417">
      <x:c r="A417" s="75" t="str">
        <x:f>IF($B417&lt;&gt;"",ROW()-4,"")</x:f>
      </x:c>
      <x:c r="B417" s="75" t="str"/>
      <x:c r="C417" s="75" t="n">
        <x:f>IFERROR(LET(x,MID($B417,FIND("/models/",$B417)+8,80),y,LEFT(x,FIND("-",x&amp;"-")-1),LEFT(y,FIND("?",y&amp;"?")-1)),"")</x:f>
        <x:v>80</x:v>
      </x:c>
      <x:c r="D417" s="75" t="str">
        <x:f>IF($B417="","",IFERROR(XLOOKUP($C417,MakerWorld_Verileri!$A:$A,MakerWorld_Verileri!$B:$B,""),""))</x:f>
      </x:c>
      <x:c r="E417" s="75" t="str">
        <x:f>IF($B417="","",IFERROR(XLOOKUP($C417,MakerWorld_Verileri!$A:$A,MakerWorld_Verileri!$C:$C,""),""))</x:f>
      </x:c>
      <x:c r="F417" s="75" t="str"/>
      <x:c r="G417" s="75" t="str">
        <x:f>IF($B417&lt;&gt;"",Ayarlar!$B$7,"")</x:f>
      </x:c>
      <x:c r="H417" s="82" t="str">
        <x:f>IF($B417&lt;&gt;"",1,"")</x:f>
      </x:c>
      <x:c r="I417" s="82" t="str">
        <x:f>IF($B417="","",IFERROR(XLOOKUP($C417,MakerWorld_Verileri!$A:$A,MakerWorld_Verileri!$D:$D,""),""))</x:f>
      </x:c>
      <x:c r="J417" s="82" t="str"/>
      <x:c r="K417" s="82" t="str">
        <x:f>IF($I417&lt;&gt;"",$I417,$J417)</x:f>
      </x:c>
      <x:c r="L417" s="82" t="str">
        <x:f>IF($B417="","",IFERROR(XLOOKUP($C417,MakerWorld_Verileri!$A:$A,MakerWorld_Verileri!$E:$E,""),""))</x:f>
      </x:c>
      <x:c r="M417" s="82" t="str"/>
      <x:c r="N417" s="82" t="str">
        <x:f>IF($L417&lt;&gt;"",$L417,$M417)</x:f>
      </x:c>
      <x:c r="O417" s="82" t="str">
        <x:f>IF($B417&lt;&gt;"",0,"")</x:f>
      </x:c>
      <x:c r="P417" s="75" t="str">
        <x:f>IF($B417&lt;&gt;"","Orta","")</x:f>
      </x:c>
      <x:c r="Q417" s="82" t="str">
        <x:f>IF($B417&lt;&gt;"",10,"")</x:f>
      </x:c>
      <x:c r="R417" s="83" t="str">
        <x:f>IF($B417&lt;&gt;"",Ayarlar!$B$10,"")</x:f>
      </x:c>
      <x:c r="S417" s="83" t="str">
        <x:f>IF($B417&lt;&gt;"",0,"")</x:f>
      </x:c>
      <x:c r="T417" s="83" t="n">
        <x:f>IFERROR(($K417+$O417)*XLOOKUP($G417,Ayarlar!$A$19:$A$28,Ayarlar!$C$19:$C$28,0)*(1+Ayarlar!$B$11),0)</x:f>
        <x:v>0</x:v>
      </x:c>
      <x:c r="U417" s="83" t="n">
        <x:f>IFERROR($N417/60*Ayarlar!$B$8,0)</x:f>
        <x:v>0</x:v>
      </x:c>
      <x:c r="V417" s="83" t="n">
        <x:f>IF($B417&lt;&gt;"",Ayarlar!$B$12+($Q417/60*Ayarlar!$B$9),0)</x:f>
        <x:v>0</x:v>
      </x:c>
      <x:c r="W417" s="83" t="n">
        <x:f>IF($B417&lt;&gt;"",SUM($T417:$V417,$R417:$S417),0)</x:f>
        <x:v>0</x:v>
      </x:c>
      <x:c r="X417" s="83" t="n">
        <x:f>IF($B417&lt;&gt;"",$W417*Ayarlar!$B$15,0)</x:f>
        <x:v>0</x:v>
      </x:c>
      <x:c r="Y417" s="83" t="n">
        <x:f>IF($B417&lt;&gt;"",($W417+$X417)*Ayarlar!$B$13,0)</x:f>
        <x:v>0</x:v>
      </x:c>
      <x:c r="Z417" s="83" t="n">
        <x:f>IF($B417&lt;&gt;"",($W417+$X417+$Y417)*Ayarlar!$B$14,0)</x:f>
        <x:v>0</x:v>
      </x:c>
      <x:c r="AA417" s="83" t="str">
        <x:f>IF($B417="","",IF(OR($K417="",$N417=""),"",CEILING($W417+$X417+$Y417+$Z417,Ayarlar!$B$16)))</x:f>
      </x:c>
      <x:c r="AB417" s="83" t="str">
        <x:f>IFERROR($AA417/$H417,"")</x:f>
      </x:c>
      <x:c r="AC417" s="75" t="str">
        <x:f>IF($B417="","",IF(OR($K417="",$N417=""),"Veri Eksik","Fiyat Hazır"))</x:f>
      </x:c>
      <x:c r="AD417" s="75" t="str">
        <x:f>IF($C417&lt;&gt;"","MW-"&amp;$C417,"")</x:f>
        <x:v>MW-80</x:v>
      </x:c>
      <x:c r="AE417" s="75" t="str">
        <x:f>IF($G417&lt;&gt;"","3D Baskı / "&amp;$G417,"3D Baskı")</x:f>
        <x:v>3D Baskı</x:v>
      </x:c>
      <x:c r="AF417" s="75" t="str">
        <x:f>IF($D417&lt;&gt;"",$D417&amp;" - "&amp;$G417,$AD417&amp;" - "&amp;$G417)</x:f>
        <x:v>MW-80 - </x:v>
      </x:c>
      <x:c r="AG417" s="75" t="str"/>
    </x:row>
    <x:row r="418">
      <x:c r="A418" s="75" t="str">
        <x:f>IF($B418&lt;&gt;"",ROW()-4,"")</x:f>
      </x:c>
      <x:c r="B418" s="75" t="str"/>
      <x:c r="C418" s="75" t="n">
        <x:f>IFERROR(LET(x,MID($B418,FIND("/models/",$B418)+8,80),y,LEFT(x,FIND("-",x&amp;"-")-1),LEFT(y,FIND("?",y&amp;"?")-1)),"")</x:f>
        <x:v>80</x:v>
      </x:c>
      <x:c r="D418" s="75" t="str">
        <x:f>IF($B418="","",IFERROR(XLOOKUP($C418,MakerWorld_Verileri!$A:$A,MakerWorld_Verileri!$B:$B,""),""))</x:f>
      </x:c>
      <x:c r="E418" s="75" t="str">
        <x:f>IF($B418="","",IFERROR(XLOOKUP($C418,MakerWorld_Verileri!$A:$A,MakerWorld_Verileri!$C:$C,""),""))</x:f>
      </x:c>
      <x:c r="F418" s="75" t="str"/>
      <x:c r="G418" s="75" t="str">
        <x:f>IF($B418&lt;&gt;"",Ayarlar!$B$7,"")</x:f>
      </x:c>
      <x:c r="H418" s="82" t="str">
        <x:f>IF($B418&lt;&gt;"",1,"")</x:f>
      </x:c>
      <x:c r="I418" s="82" t="str">
        <x:f>IF($B418="","",IFERROR(XLOOKUP($C418,MakerWorld_Verileri!$A:$A,MakerWorld_Verileri!$D:$D,""),""))</x:f>
      </x:c>
      <x:c r="J418" s="82" t="str"/>
      <x:c r="K418" s="82" t="str">
        <x:f>IF($I418&lt;&gt;"",$I418,$J418)</x:f>
      </x:c>
      <x:c r="L418" s="82" t="str">
        <x:f>IF($B418="","",IFERROR(XLOOKUP($C418,MakerWorld_Verileri!$A:$A,MakerWorld_Verileri!$E:$E,""),""))</x:f>
      </x:c>
      <x:c r="M418" s="82" t="str"/>
      <x:c r="N418" s="82" t="str">
        <x:f>IF($L418&lt;&gt;"",$L418,$M418)</x:f>
      </x:c>
      <x:c r="O418" s="82" t="str">
        <x:f>IF($B418&lt;&gt;"",0,"")</x:f>
      </x:c>
      <x:c r="P418" s="75" t="str">
        <x:f>IF($B418&lt;&gt;"","Orta","")</x:f>
      </x:c>
      <x:c r="Q418" s="82" t="str">
        <x:f>IF($B418&lt;&gt;"",10,"")</x:f>
      </x:c>
      <x:c r="R418" s="83" t="str">
        <x:f>IF($B418&lt;&gt;"",Ayarlar!$B$10,"")</x:f>
      </x:c>
      <x:c r="S418" s="83" t="str">
        <x:f>IF($B418&lt;&gt;"",0,"")</x:f>
      </x:c>
      <x:c r="T418" s="83" t="n">
        <x:f>IFERROR(($K418+$O418)*XLOOKUP($G418,Ayarlar!$A$19:$A$28,Ayarlar!$C$19:$C$28,0)*(1+Ayarlar!$B$11),0)</x:f>
        <x:v>0</x:v>
      </x:c>
      <x:c r="U418" s="83" t="n">
        <x:f>IFERROR($N418/60*Ayarlar!$B$8,0)</x:f>
        <x:v>0</x:v>
      </x:c>
      <x:c r="V418" s="83" t="n">
        <x:f>IF($B418&lt;&gt;"",Ayarlar!$B$12+($Q418/60*Ayarlar!$B$9),0)</x:f>
        <x:v>0</x:v>
      </x:c>
      <x:c r="W418" s="83" t="n">
        <x:f>IF($B418&lt;&gt;"",SUM($T418:$V418,$R418:$S418),0)</x:f>
        <x:v>0</x:v>
      </x:c>
      <x:c r="X418" s="83" t="n">
        <x:f>IF($B418&lt;&gt;"",$W418*Ayarlar!$B$15,0)</x:f>
        <x:v>0</x:v>
      </x:c>
      <x:c r="Y418" s="83" t="n">
        <x:f>IF($B418&lt;&gt;"",($W418+$X418)*Ayarlar!$B$13,0)</x:f>
        <x:v>0</x:v>
      </x:c>
      <x:c r="Z418" s="83" t="n">
        <x:f>IF($B418&lt;&gt;"",($W418+$X418+$Y418)*Ayarlar!$B$14,0)</x:f>
        <x:v>0</x:v>
      </x:c>
      <x:c r="AA418" s="83" t="str">
        <x:f>IF($B418="","",IF(OR($K418="",$N418=""),"",CEILING($W418+$X418+$Y418+$Z418,Ayarlar!$B$16)))</x:f>
      </x:c>
      <x:c r="AB418" s="83" t="str">
        <x:f>IFERROR($AA418/$H418,"")</x:f>
      </x:c>
      <x:c r="AC418" s="75" t="str">
        <x:f>IF($B418="","",IF(OR($K418="",$N418=""),"Veri Eksik","Fiyat Hazır"))</x:f>
      </x:c>
      <x:c r="AD418" s="75" t="str">
        <x:f>IF($C418&lt;&gt;"","MW-"&amp;$C418,"")</x:f>
        <x:v>MW-80</x:v>
      </x:c>
      <x:c r="AE418" s="75" t="str">
        <x:f>IF($G418&lt;&gt;"","3D Baskı / "&amp;$G418,"3D Baskı")</x:f>
        <x:v>3D Baskı</x:v>
      </x:c>
      <x:c r="AF418" s="75" t="str">
        <x:f>IF($D418&lt;&gt;"",$D418&amp;" - "&amp;$G418,$AD418&amp;" - "&amp;$G418)</x:f>
        <x:v>MW-80 - </x:v>
      </x:c>
      <x:c r="AG418" s="75" t="str"/>
    </x:row>
    <x:row r="419">
      <x:c r="A419" s="75" t="str">
        <x:f>IF($B419&lt;&gt;"",ROW()-4,"")</x:f>
      </x:c>
      <x:c r="B419" s="75" t="str"/>
      <x:c r="C419" s="75" t="n">
        <x:f>IFERROR(LET(x,MID($B419,FIND("/models/",$B419)+8,80),y,LEFT(x,FIND("-",x&amp;"-")-1),LEFT(y,FIND("?",y&amp;"?")-1)),"")</x:f>
        <x:v>80</x:v>
      </x:c>
      <x:c r="D419" s="75" t="str">
        <x:f>IF($B419="","",IFERROR(XLOOKUP($C419,MakerWorld_Verileri!$A:$A,MakerWorld_Verileri!$B:$B,""),""))</x:f>
      </x:c>
      <x:c r="E419" s="75" t="str">
        <x:f>IF($B419="","",IFERROR(XLOOKUP($C419,MakerWorld_Verileri!$A:$A,MakerWorld_Verileri!$C:$C,""),""))</x:f>
      </x:c>
      <x:c r="F419" s="75" t="str"/>
      <x:c r="G419" s="75" t="str">
        <x:f>IF($B419&lt;&gt;"",Ayarlar!$B$7,"")</x:f>
      </x:c>
      <x:c r="H419" s="82" t="str">
        <x:f>IF($B419&lt;&gt;"",1,"")</x:f>
      </x:c>
      <x:c r="I419" s="82" t="str">
        <x:f>IF($B419="","",IFERROR(XLOOKUP($C419,MakerWorld_Verileri!$A:$A,MakerWorld_Verileri!$D:$D,""),""))</x:f>
      </x:c>
      <x:c r="J419" s="82" t="str"/>
      <x:c r="K419" s="82" t="str">
        <x:f>IF($I419&lt;&gt;"",$I419,$J419)</x:f>
      </x:c>
      <x:c r="L419" s="82" t="str">
        <x:f>IF($B419="","",IFERROR(XLOOKUP($C419,MakerWorld_Verileri!$A:$A,MakerWorld_Verileri!$E:$E,""),""))</x:f>
      </x:c>
      <x:c r="M419" s="82" t="str"/>
      <x:c r="N419" s="82" t="str">
        <x:f>IF($L419&lt;&gt;"",$L419,$M419)</x:f>
      </x:c>
      <x:c r="O419" s="82" t="str">
        <x:f>IF($B419&lt;&gt;"",0,"")</x:f>
      </x:c>
      <x:c r="P419" s="75" t="str">
        <x:f>IF($B419&lt;&gt;"","Orta","")</x:f>
      </x:c>
      <x:c r="Q419" s="82" t="str">
        <x:f>IF($B419&lt;&gt;"",10,"")</x:f>
      </x:c>
      <x:c r="R419" s="83" t="str">
        <x:f>IF($B419&lt;&gt;"",Ayarlar!$B$10,"")</x:f>
      </x:c>
      <x:c r="S419" s="83" t="str">
        <x:f>IF($B419&lt;&gt;"",0,"")</x:f>
      </x:c>
      <x:c r="T419" s="83" t="n">
        <x:f>IFERROR(($K419+$O419)*XLOOKUP($G419,Ayarlar!$A$19:$A$28,Ayarlar!$C$19:$C$28,0)*(1+Ayarlar!$B$11),0)</x:f>
        <x:v>0</x:v>
      </x:c>
      <x:c r="U419" s="83" t="n">
        <x:f>IFERROR($N419/60*Ayarlar!$B$8,0)</x:f>
        <x:v>0</x:v>
      </x:c>
      <x:c r="V419" s="83" t="n">
        <x:f>IF($B419&lt;&gt;"",Ayarlar!$B$12+($Q419/60*Ayarlar!$B$9),0)</x:f>
        <x:v>0</x:v>
      </x:c>
      <x:c r="W419" s="83" t="n">
        <x:f>IF($B419&lt;&gt;"",SUM($T419:$V419,$R419:$S419),0)</x:f>
        <x:v>0</x:v>
      </x:c>
      <x:c r="X419" s="83" t="n">
        <x:f>IF($B419&lt;&gt;"",$W419*Ayarlar!$B$15,0)</x:f>
        <x:v>0</x:v>
      </x:c>
      <x:c r="Y419" s="83" t="n">
        <x:f>IF($B419&lt;&gt;"",($W419+$X419)*Ayarlar!$B$13,0)</x:f>
        <x:v>0</x:v>
      </x:c>
      <x:c r="Z419" s="83" t="n">
        <x:f>IF($B419&lt;&gt;"",($W419+$X419+$Y419)*Ayarlar!$B$14,0)</x:f>
        <x:v>0</x:v>
      </x:c>
      <x:c r="AA419" s="83" t="str">
        <x:f>IF($B419="","",IF(OR($K419="",$N419=""),"",CEILING($W419+$X419+$Y419+$Z419,Ayarlar!$B$16)))</x:f>
      </x:c>
      <x:c r="AB419" s="83" t="str">
        <x:f>IFERROR($AA419/$H419,"")</x:f>
      </x:c>
      <x:c r="AC419" s="75" t="str">
        <x:f>IF($B419="","",IF(OR($K419="",$N419=""),"Veri Eksik","Fiyat Hazır"))</x:f>
      </x:c>
      <x:c r="AD419" s="75" t="str">
        <x:f>IF($C419&lt;&gt;"","MW-"&amp;$C419,"")</x:f>
        <x:v>MW-80</x:v>
      </x:c>
      <x:c r="AE419" s="75" t="str">
        <x:f>IF($G419&lt;&gt;"","3D Baskı / "&amp;$G419,"3D Baskı")</x:f>
        <x:v>3D Baskı</x:v>
      </x:c>
      <x:c r="AF419" s="75" t="str">
        <x:f>IF($D419&lt;&gt;"",$D419&amp;" - "&amp;$G419,$AD419&amp;" - "&amp;$G419)</x:f>
        <x:v>MW-80 - </x:v>
      </x:c>
      <x:c r="AG419" s="75" t="str"/>
    </x:row>
    <x:row r="420">
      <x:c r="A420" s="75" t="str">
        <x:f>IF($B420&lt;&gt;"",ROW()-4,"")</x:f>
      </x:c>
      <x:c r="B420" s="75" t="str"/>
      <x:c r="C420" s="75" t="n">
        <x:f>IFERROR(LET(x,MID($B420,FIND("/models/",$B420)+8,80),y,LEFT(x,FIND("-",x&amp;"-")-1),LEFT(y,FIND("?",y&amp;"?")-1)),"")</x:f>
        <x:v>80</x:v>
      </x:c>
      <x:c r="D420" s="75" t="str">
        <x:f>IF($B420="","",IFERROR(XLOOKUP($C420,MakerWorld_Verileri!$A:$A,MakerWorld_Verileri!$B:$B,""),""))</x:f>
      </x:c>
      <x:c r="E420" s="75" t="str">
        <x:f>IF($B420="","",IFERROR(XLOOKUP($C420,MakerWorld_Verileri!$A:$A,MakerWorld_Verileri!$C:$C,""),""))</x:f>
      </x:c>
      <x:c r="F420" s="75" t="str"/>
      <x:c r="G420" s="75" t="str">
        <x:f>IF($B420&lt;&gt;"",Ayarlar!$B$7,"")</x:f>
      </x:c>
      <x:c r="H420" s="82" t="str">
        <x:f>IF($B420&lt;&gt;"",1,"")</x:f>
      </x:c>
      <x:c r="I420" s="82" t="str">
        <x:f>IF($B420="","",IFERROR(XLOOKUP($C420,MakerWorld_Verileri!$A:$A,MakerWorld_Verileri!$D:$D,""),""))</x:f>
      </x:c>
      <x:c r="J420" s="82" t="str"/>
      <x:c r="K420" s="82" t="str">
        <x:f>IF($I420&lt;&gt;"",$I420,$J420)</x:f>
      </x:c>
      <x:c r="L420" s="82" t="str">
        <x:f>IF($B420="","",IFERROR(XLOOKUP($C420,MakerWorld_Verileri!$A:$A,MakerWorld_Verileri!$E:$E,""),""))</x:f>
      </x:c>
      <x:c r="M420" s="82" t="str"/>
      <x:c r="N420" s="82" t="str">
        <x:f>IF($L420&lt;&gt;"",$L420,$M420)</x:f>
      </x:c>
      <x:c r="O420" s="82" t="str">
        <x:f>IF($B420&lt;&gt;"",0,"")</x:f>
      </x:c>
      <x:c r="P420" s="75" t="str">
        <x:f>IF($B420&lt;&gt;"","Orta","")</x:f>
      </x:c>
      <x:c r="Q420" s="82" t="str">
        <x:f>IF($B420&lt;&gt;"",10,"")</x:f>
      </x:c>
      <x:c r="R420" s="83" t="str">
        <x:f>IF($B420&lt;&gt;"",Ayarlar!$B$10,"")</x:f>
      </x:c>
      <x:c r="S420" s="83" t="str">
        <x:f>IF($B420&lt;&gt;"",0,"")</x:f>
      </x:c>
      <x:c r="T420" s="83" t="n">
        <x:f>IFERROR(($K420+$O420)*XLOOKUP($G420,Ayarlar!$A$19:$A$28,Ayarlar!$C$19:$C$28,0)*(1+Ayarlar!$B$11),0)</x:f>
        <x:v>0</x:v>
      </x:c>
      <x:c r="U420" s="83" t="n">
        <x:f>IFERROR($N420/60*Ayarlar!$B$8,0)</x:f>
        <x:v>0</x:v>
      </x:c>
      <x:c r="V420" s="83" t="n">
        <x:f>IF($B420&lt;&gt;"",Ayarlar!$B$12+($Q420/60*Ayarlar!$B$9),0)</x:f>
        <x:v>0</x:v>
      </x:c>
      <x:c r="W420" s="83" t="n">
        <x:f>IF($B420&lt;&gt;"",SUM($T420:$V420,$R420:$S420),0)</x:f>
        <x:v>0</x:v>
      </x:c>
      <x:c r="X420" s="83" t="n">
        <x:f>IF($B420&lt;&gt;"",$W420*Ayarlar!$B$15,0)</x:f>
        <x:v>0</x:v>
      </x:c>
      <x:c r="Y420" s="83" t="n">
        <x:f>IF($B420&lt;&gt;"",($W420+$X420)*Ayarlar!$B$13,0)</x:f>
        <x:v>0</x:v>
      </x:c>
      <x:c r="Z420" s="83" t="n">
        <x:f>IF($B420&lt;&gt;"",($W420+$X420+$Y420)*Ayarlar!$B$14,0)</x:f>
        <x:v>0</x:v>
      </x:c>
      <x:c r="AA420" s="83" t="str">
        <x:f>IF($B420="","",IF(OR($K420="",$N420=""),"",CEILING($W420+$X420+$Y420+$Z420,Ayarlar!$B$16)))</x:f>
      </x:c>
      <x:c r="AB420" s="83" t="str">
        <x:f>IFERROR($AA420/$H420,"")</x:f>
      </x:c>
      <x:c r="AC420" s="75" t="str">
        <x:f>IF($B420="","",IF(OR($K420="",$N420=""),"Veri Eksik","Fiyat Hazır"))</x:f>
      </x:c>
      <x:c r="AD420" s="75" t="str">
        <x:f>IF($C420&lt;&gt;"","MW-"&amp;$C420,"")</x:f>
        <x:v>MW-80</x:v>
      </x:c>
      <x:c r="AE420" s="75" t="str">
        <x:f>IF($G420&lt;&gt;"","3D Baskı / "&amp;$G420,"3D Baskı")</x:f>
        <x:v>3D Baskı</x:v>
      </x:c>
      <x:c r="AF420" s="75" t="str">
        <x:f>IF($D420&lt;&gt;"",$D420&amp;" - "&amp;$G420,$AD420&amp;" - "&amp;$G420)</x:f>
        <x:v>MW-80 - </x:v>
      </x:c>
      <x:c r="AG420" s="75" t="str"/>
    </x:row>
    <x:row r="421">
      <x:c r="A421" s="75" t="str">
        <x:f>IF($B421&lt;&gt;"",ROW()-4,"")</x:f>
      </x:c>
      <x:c r="B421" s="75" t="str"/>
      <x:c r="C421" s="75" t="n">
        <x:f>IFERROR(LET(x,MID($B421,FIND("/models/",$B421)+8,80),y,LEFT(x,FIND("-",x&amp;"-")-1),LEFT(y,FIND("?",y&amp;"?")-1)),"")</x:f>
        <x:v>80</x:v>
      </x:c>
      <x:c r="D421" s="75" t="str">
        <x:f>IF($B421="","",IFERROR(XLOOKUP($C421,MakerWorld_Verileri!$A:$A,MakerWorld_Verileri!$B:$B,""),""))</x:f>
      </x:c>
      <x:c r="E421" s="75" t="str">
        <x:f>IF($B421="","",IFERROR(XLOOKUP($C421,MakerWorld_Verileri!$A:$A,MakerWorld_Verileri!$C:$C,""),""))</x:f>
      </x:c>
      <x:c r="F421" s="75" t="str"/>
      <x:c r="G421" s="75" t="str">
        <x:f>IF($B421&lt;&gt;"",Ayarlar!$B$7,"")</x:f>
      </x:c>
      <x:c r="H421" s="82" t="str">
        <x:f>IF($B421&lt;&gt;"",1,"")</x:f>
      </x:c>
      <x:c r="I421" s="82" t="str">
        <x:f>IF($B421="","",IFERROR(XLOOKUP($C421,MakerWorld_Verileri!$A:$A,MakerWorld_Verileri!$D:$D,""),""))</x:f>
      </x:c>
      <x:c r="J421" s="82" t="str"/>
      <x:c r="K421" s="82" t="str">
        <x:f>IF($I421&lt;&gt;"",$I421,$J421)</x:f>
      </x:c>
      <x:c r="L421" s="82" t="str">
        <x:f>IF($B421="","",IFERROR(XLOOKUP($C421,MakerWorld_Verileri!$A:$A,MakerWorld_Verileri!$E:$E,""),""))</x:f>
      </x:c>
      <x:c r="M421" s="82" t="str"/>
      <x:c r="N421" s="82" t="str">
        <x:f>IF($L421&lt;&gt;"",$L421,$M421)</x:f>
      </x:c>
      <x:c r="O421" s="82" t="str">
        <x:f>IF($B421&lt;&gt;"",0,"")</x:f>
      </x:c>
      <x:c r="P421" s="75" t="str">
        <x:f>IF($B421&lt;&gt;"","Orta","")</x:f>
      </x:c>
      <x:c r="Q421" s="82" t="str">
        <x:f>IF($B421&lt;&gt;"",10,"")</x:f>
      </x:c>
      <x:c r="R421" s="83" t="str">
        <x:f>IF($B421&lt;&gt;"",Ayarlar!$B$10,"")</x:f>
      </x:c>
      <x:c r="S421" s="83" t="str">
        <x:f>IF($B421&lt;&gt;"",0,"")</x:f>
      </x:c>
      <x:c r="T421" s="83" t="n">
        <x:f>IFERROR(($K421+$O421)*XLOOKUP($G421,Ayarlar!$A$19:$A$28,Ayarlar!$C$19:$C$28,0)*(1+Ayarlar!$B$11),0)</x:f>
        <x:v>0</x:v>
      </x:c>
      <x:c r="U421" s="83" t="n">
        <x:f>IFERROR($N421/60*Ayarlar!$B$8,0)</x:f>
        <x:v>0</x:v>
      </x:c>
      <x:c r="V421" s="83" t="n">
        <x:f>IF($B421&lt;&gt;"",Ayarlar!$B$12+($Q421/60*Ayarlar!$B$9),0)</x:f>
        <x:v>0</x:v>
      </x:c>
      <x:c r="W421" s="83" t="n">
        <x:f>IF($B421&lt;&gt;"",SUM($T421:$V421,$R421:$S421),0)</x:f>
        <x:v>0</x:v>
      </x:c>
      <x:c r="X421" s="83" t="n">
        <x:f>IF($B421&lt;&gt;"",$W421*Ayarlar!$B$15,0)</x:f>
        <x:v>0</x:v>
      </x:c>
      <x:c r="Y421" s="83" t="n">
        <x:f>IF($B421&lt;&gt;"",($W421+$X421)*Ayarlar!$B$13,0)</x:f>
        <x:v>0</x:v>
      </x:c>
      <x:c r="Z421" s="83" t="n">
        <x:f>IF($B421&lt;&gt;"",($W421+$X421+$Y421)*Ayarlar!$B$14,0)</x:f>
        <x:v>0</x:v>
      </x:c>
      <x:c r="AA421" s="83" t="str">
        <x:f>IF($B421="","",IF(OR($K421="",$N421=""),"",CEILING($W421+$X421+$Y421+$Z421,Ayarlar!$B$16)))</x:f>
      </x:c>
      <x:c r="AB421" s="83" t="str">
        <x:f>IFERROR($AA421/$H421,"")</x:f>
      </x:c>
      <x:c r="AC421" s="75" t="str">
        <x:f>IF($B421="","",IF(OR($K421="",$N421=""),"Veri Eksik","Fiyat Hazır"))</x:f>
      </x:c>
      <x:c r="AD421" s="75" t="str">
        <x:f>IF($C421&lt;&gt;"","MW-"&amp;$C421,"")</x:f>
        <x:v>MW-80</x:v>
      </x:c>
      <x:c r="AE421" s="75" t="str">
        <x:f>IF($G421&lt;&gt;"","3D Baskı / "&amp;$G421,"3D Baskı")</x:f>
        <x:v>3D Baskı</x:v>
      </x:c>
      <x:c r="AF421" s="75" t="str">
        <x:f>IF($D421&lt;&gt;"",$D421&amp;" - "&amp;$G421,$AD421&amp;" - "&amp;$G421)</x:f>
        <x:v>MW-80 - </x:v>
      </x:c>
      <x:c r="AG421" s="75" t="str"/>
    </x:row>
    <x:row r="422">
      <x:c r="A422" s="75" t="str">
        <x:f>IF($B422&lt;&gt;"",ROW()-4,"")</x:f>
      </x:c>
      <x:c r="B422" s="75" t="str"/>
      <x:c r="C422" s="75" t="n">
        <x:f>IFERROR(LET(x,MID($B422,FIND("/models/",$B422)+8,80),y,LEFT(x,FIND("-",x&amp;"-")-1),LEFT(y,FIND("?",y&amp;"?")-1)),"")</x:f>
        <x:v>80</x:v>
      </x:c>
      <x:c r="D422" s="75" t="str">
        <x:f>IF($B422="","",IFERROR(XLOOKUP($C422,MakerWorld_Verileri!$A:$A,MakerWorld_Verileri!$B:$B,""),""))</x:f>
      </x:c>
      <x:c r="E422" s="75" t="str">
        <x:f>IF($B422="","",IFERROR(XLOOKUP($C422,MakerWorld_Verileri!$A:$A,MakerWorld_Verileri!$C:$C,""),""))</x:f>
      </x:c>
      <x:c r="F422" s="75" t="str"/>
      <x:c r="G422" s="75" t="str">
        <x:f>IF($B422&lt;&gt;"",Ayarlar!$B$7,"")</x:f>
      </x:c>
      <x:c r="H422" s="82" t="str">
        <x:f>IF($B422&lt;&gt;"",1,"")</x:f>
      </x:c>
      <x:c r="I422" s="82" t="str">
        <x:f>IF($B422="","",IFERROR(XLOOKUP($C422,MakerWorld_Verileri!$A:$A,MakerWorld_Verileri!$D:$D,""),""))</x:f>
      </x:c>
      <x:c r="J422" s="82" t="str"/>
      <x:c r="K422" s="82" t="str">
        <x:f>IF($I422&lt;&gt;"",$I422,$J422)</x:f>
      </x:c>
      <x:c r="L422" s="82" t="str">
        <x:f>IF($B422="","",IFERROR(XLOOKUP($C422,MakerWorld_Verileri!$A:$A,MakerWorld_Verileri!$E:$E,""),""))</x:f>
      </x:c>
      <x:c r="M422" s="82" t="str"/>
      <x:c r="N422" s="82" t="str">
        <x:f>IF($L422&lt;&gt;"",$L422,$M422)</x:f>
      </x:c>
      <x:c r="O422" s="82" t="str">
        <x:f>IF($B422&lt;&gt;"",0,"")</x:f>
      </x:c>
      <x:c r="P422" s="75" t="str">
        <x:f>IF($B422&lt;&gt;"","Orta","")</x:f>
      </x:c>
      <x:c r="Q422" s="82" t="str">
        <x:f>IF($B422&lt;&gt;"",10,"")</x:f>
      </x:c>
      <x:c r="R422" s="83" t="str">
        <x:f>IF($B422&lt;&gt;"",Ayarlar!$B$10,"")</x:f>
      </x:c>
      <x:c r="S422" s="83" t="str">
        <x:f>IF($B422&lt;&gt;"",0,"")</x:f>
      </x:c>
      <x:c r="T422" s="83" t="n">
        <x:f>IFERROR(($K422+$O422)*XLOOKUP($G422,Ayarlar!$A$19:$A$28,Ayarlar!$C$19:$C$28,0)*(1+Ayarlar!$B$11),0)</x:f>
        <x:v>0</x:v>
      </x:c>
      <x:c r="U422" s="83" t="n">
        <x:f>IFERROR($N422/60*Ayarlar!$B$8,0)</x:f>
        <x:v>0</x:v>
      </x:c>
      <x:c r="V422" s="83" t="n">
        <x:f>IF($B422&lt;&gt;"",Ayarlar!$B$12+($Q422/60*Ayarlar!$B$9),0)</x:f>
        <x:v>0</x:v>
      </x:c>
      <x:c r="W422" s="83" t="n">
        <x:f>IF($B422&lt;&gt;"",SUM($T422:$V422,$R422:$S422),0)</x:f>
        <x:v>0</x:v>
      </x:c>
      <x:c r="X422" s="83" t="n">
        <x:f>IF($B422&lt;&gt;"",$W422*Ayarlar!$B$15,0)</x:f>
        <x:v>0</x:v>
      </x:c>
      <x:c r="Y422" s="83" t="n">
        <x:f>IF($B422&lt;&gt;"",($W422+$X422)*Ayarlar!$B$13,0)</x:f>
        <x:v>0</x:v>
      </x:c>
      <x:c r="Z422" s="83" t="n">
        <x:f>IF($B422&lt;&gt;"",($W422+$X422+$Y422)*Ayarlar!$B$14,0)</x:f>
        <x:v>0</x:v>
      </x:c>
      <x:c r="AA422" s="83" t="str">
        <x:f>IF($B422="","",IF(OR($K422="",$N422=""),"",CEILING($W422+$X422+$Y422+$Z422,Ayarlar!$B$16)))</x:f>
      </x:c>
      <x:c r="AB422" s="83" t="str">
        <x:f>IFERROR($AA422/$H422,"")</x:f>
      </x:c>
      <x:c r="AC422" s="75" t="str">
        <x:f>IF($B422="","",IF(OR($K422="",$N422=""),"Veri Eksik","Fiyat Hazır"))</x:f>
      </x:c>
      <x:c r="AD422" s="75" t="str">
        <x:f>IF($C422&lt;&gt;"","MW-"&amp;$C422,"")</x:f>
        <x:v>MW-80</x:v>
      </x:c>
      <x:c r="AE422" s="75" t="str">
        <x:f>IF($G422&lt;&gt;"","3D Baskı / "&amp;$G422,"3D Baskı")</x:f>
        <x:v>3D Baskı</x:v>
      </x:c>
      <x:c r="AF422" s="75" t="str">
        <x:f>IF($D422&lt;&gt;"",$D422&amp;" - "&amp;$G422,$AD422&amp;" - "&amp;$G422)</x:f>
        <x:v>MW-80 - </x:v>
      </x:c>
      <x:c r="AG422" s="75" t="str"/>
    </x:row>
    <x:row r="423">
      <x:c r="A423" s="75" t="str">
        <x:f>IF($B423&lt;&gt;"",ROW()-4,"")</x:f>
      </x:c>
      <x:c r="B423" s="75" t="str"/>
      <x:c r="C423" s="75" t="n">
        <x:f>IFERROR(LET(x,MID($B423,FIND("/models/",$B423)+8,80),y,LEFT(x,FIND("-",x&amp;"-")-1),LEFT(y,FIND("?",y&amp;"?")-1)),"")</x:f>
        <x:v>80</x:v>
      </x:c>
      <x:c r="D423" s="75" t="str">
        <x:f>IF($B423="","",IFERROR(XLOOKUP($C423,MakerWorld_Verileri!$A:$A,MakerWorld_Verileri!$B:$B,""),""))</x:f>
      </x:c>
      <x:c r="E423" s="75" t="str">
        <x:f>IF($B423="","",IFERROR(XLOOKUP($C423,MakerWorld_Verileri!$A:$A,MakerWorld_Verileri!$C:$C,""),""))</x:f>
      </x:c>
      <x:c r="F423" s="75" t="str"/>
      <x:c r="G423" s="75" t="str">
        <x:f>IF($B423&lt;&gt;"",Ayarlar!$B$7,"")</x:f>
      </x:c>
      <x:c r="H423" s="82" t="str">
        <x:f>IF($B423&lt;&gt;"",1,"")</x:f>
      </x:c>
      <x:c r="I423" s="82" t="str">
        <x:f>IF($B423="","",IFERROR(XLOOKUP($C423,MakerWorld_Verileri!$A:$A,MakerWorld_Verileri!$D:$D,""),""))</x:f>
      </x:c>
      <x:c r="J423" s="82" t="str"/>
      <x:c r="K423" s="82" t="str">
        <x:f>IF($I423&lt;&gt;"",$I423,$J423)</x:f>
      </x:c>
      <x:c r="L423" s="82" t="str">
        <x:f>IF($B423="","",IFERROR(XLOOKUP($C423,MakerWorld_Verileri!$A:$A,MakerWorld_Verileri!$E:$E,""),""))</x:f>
      </x:c>
      <x:c r="M423" s="82" t="str"/>
      <x:c r="N423" s="82" t="str">
        <x:f>IF($L423&lt;&gt;"",$L423,$M423)</x:f>
      </x:c>
      <x:c r="O423" s="82" t="str">
        <x:f>IF($B423&lt;&gt;"",0,"")</x:f>
      </x:c>
      <x:c r="P423" s="75" t="str">
        <x:f>IF($B423&lt;&gt;"","Orta","")</x:f>
      </x:c>
      <x:c r="Q423" s="82" t="str">
        <x:f>IF($B423&lt;&gt;"",10,"")</x:f>
      </x:c>
      <x:c r="R423" s="83" t="str">
        <x:f>IF($B423&lt;&gt;"",Ayarlar!$B$10,"")</x:f>
      </x:c>
      <x:c r="S423" s="83" t="str">
        <x:f>IF($B423&lt;&gt;"",0,"")</x:f>
      </x:c>
      <x:c r="T423" s="83" t="n">
        <x:f>IFERROR(($K423+$O423)*XLOOKUP($G423,Ayarlar!$A$19:$A$28,Ayarlar!$C$19:$C$28,0)*(1+Ayarlar!$B$11),0)</x:f>
        <x:v>0</x:v>
      </x:c>
      <x:c r="U423" s="83" t="n">
        <x:f>IFERROR($N423/60*Ayarlar!$B$8,0)</x:f>
        <x:v>0</x:v>
      </x:c>
      <x:c r="V423" s="83" t="n">
        <x:f>IF($B423&lt;&gt;"",Ayarlar!$B$12+($Q423/60*Ayarlar!$B$9),0)</x:f>
        <x:v>0</x:v>
      </x:c>
      <x:c r="W423" s="83" t="n">
        <x:f>IF($B423&lt;&gt;"",SUM($T423:$V423,$R423:$S423),0)</x:f>
        <x:v>0</x:v>
      </x:c>
      <x:c r="X423" s="83" t="n">
        <x:f>IF($B423&lt;&gt;"",$W423*Ayarlar!$B$15,0)</x:f>
        <x:v>0</x:v>
      </x:c>
      <x:c r="Y423" s="83" t="n">
        <x:f>IF($B423&lt;&gt;"",($W423+$X423)*Ayarlar!$B$13,0)</x:f>
        <x:v>0</x:v>
      </x:c>
      <x:c r="Z423" s="83" t="n">
        <x:f>IF($B423&lt;&gt;"",($W423+$X423+$Y423)*Ayarlar!$B$14,0)</x:f>
        <x:v>0</x:v>
      </x:c>
      <x:c r="AA423" s="83" t="str">
        <x:f>IF($B423="","",IF(OR($K423="",$N423=""),"",CEILING($W423+$X423+$Y423+$Z423,Ayarlar!$B$16)))</x:f>
      </x:c>
      <x:c r="AB423" s="83" t="str">
        <x:f>IFERROR($AA423/$H423,"")</x:f>
      </x:c>
      <x:c r="AC423" s="75" t="str">
        <x:f>IF($B423="","",IF(OR($K423="",$N423=""),"Veri Eksik","Fiyat Hazır"))</x:f>
      </x:c>
      <x:c r="AD423" s="75" t="str">
        <x:f>IF($C423&lt;&gt;"","MW-"&amp;$C423,"")</x:f>
        <x:v>MW-80</x:v>
      </x:c>
      <x:c r="AE423" s="75" t="str">
        <x:f>IF($G423&lt;&gt;"","3D Baskı / "&amp;$G423,"3D Baskı")</x:f>
        <x:v>3D Baskı</x:v>
      </x:c>
      <x:c r="AF423" s="75" t="str">
        <x:f>IF($D423&lt;&gt;"",$D423&amp;" - "&amp;$G423,$AD423&amp;" - "&amp;$G423)</x:f>
        <x:v>MW-80 - </x:v>
      </x:c>
      <x:c r="AG423" s="75" t="str"/>
    </x:row>
    <x:row r="424">
      <x:c r="A424" s="75" t="str">
        <x:f>IF($B424&lt;&gt;"",ROW()-4,"")</x:f>
      </x:c>
      <x:c r="B424" s="75" t="str"/>
      <x:c r="C424" s="75" t="n">
        <x:f>IFERROR(LET(x,MID($B424,FIND("/models/",$B424)+8,80),y,LEFT(x,FIND("-",x&amp;"-")-1),LEFT(y,FIND("?",y&amp;"?")-1)),"")</x:f>
        <x:v>80</x:v>
      </x:c>
      <x:c r="D424" s="75" t="str">
        <x:f>IF($B424="","",IFERROR(XLOOKUP($C424,MakerWorld_Verileri!$A:$A,MakerWorld_Verileri!$B:$B,""),""))</x:f>
      </x:c>
      <x:c r="E424" s="75" t="str">
        <x:f>IF($B424="","",IFERROR(XLOOKUP($C424,MakerWorld_Verileri!$A:$A,MakerWorld_Verileri!$C:$C,""),""))</x:f>
      </x:c>
      <x:c r="F424" s="75" t="str"/>
      <x:c r="G424" s="75" t="str">
        <x:f>IF($B424&lt;&gt;"",Ayarlar!$B$7,"")</x:f>
      </x:c>
      <x:c r="H424" s="82" t="str">
        <x:f>IF($B424&lt;&gt;"",1,"")</x:f>
      </x:c>
      <x:c r="I424" s="82" t="str">
        <x:f>IF($B424="","",IFERROR(XLOOKUP($C424,MakerWorld_Verileri!$A:$A,MakerWorld_Verileri!$D:$D,""),""))</x:f>
      </x:c>
      <x:c r="J424" s="82" t="str"/>
      <x:c r="K424" s="82" t="str">
        <x:f>IF($I424&lt;&gt;"",$I424,$J424)</x:f>
      </x:c>
      <x:c r="L424" s="82" t="str">
        <x:f>IF($B424="","",IFERROR(XLOOKUP($C424,MakerWorld_Verileri!$A:$A,MakerWorld_Verileri!$E:$E,""),""))</x:f>
      </x:c>
      <x:c r="M424" s="82" t="str"/>
      <x:c r="N424" s="82" t="str">
        <x:f>IF($L424&lt;&gt;"",$L424,$M424)</x:f>
      </x:c>
      <x:c r="O424" s="82" t="str">
        <x:f>IF($B424&lt;&gt;"",0,"")</x:f>
      </x:c>
      <x:c r="P424" s="75" t="str">
        <x:f>IF($B424&lt;&gt;"","Orta","")</x:f>
      </x:c>
      <x:c r="Q424" s="82" t="str">
        <x:f>IF($B424&lt;&gt;"",10,"")</x:f>
      </x:c>
      <x:c r="R424" s="83" t="str">
        <x:f>IF($B424&lt;&gt;"",Ayarlar!$B$10,"")</x:f>
      </x:c>
      <x:c r="S424" s="83" t="str">
        <x:f>IF($B424&lt;&gt;"",0,"")</x:f>
      </x:c>
      <x:c r="T424" s="83" t="n">
        <x:f>IFERROR(($K424+$O424)*XLOOKUP($G424,Ayarlar!$A$19:$A$28,Ayarlar!$C$19:$C$28,0)*(1+Ayarlar!$B$11),0)</x:f>
        <x:v>0</x:v>
      </x:c>
      <x:c r="U424" s="83" t="n">
        <x:f>IFERROR($N424/60*Ayarlar!$B$8,0)</x:f>
        <x:v>0</x:v>
      </x:c>
      <x:c r="V424" s="83" t="n">
        <x:f>IF($B424&lt;&gt;"",Ayarlar!$B$12+($Q424/60*Ayarlar!$B$9),0)</x:f>
        <x:v>0</x:v>
      </x:c>
      <x:c r="W424" s="83" t="n">
        <x:f>IF($B424&lt;&gt;"",SUM($T424:$V424,$R424:$S424),0)</x:f>
        <x:v>0</x:v>
      </x:c>
      <x:c r="X424" s="83" t="n">
        <x:f>IF($B424&lt;&gt;"",$W424*Ayarlar!$B$15,0)</x:f>
        <x:v>0</x:v>
      </x:c>
      <x:c r="Y424" s="83" t="n">
        <x:f>IF($B424&lt;&gt;"",($W424+$X424)*Ayarlar!$B$13,0)</x:f>
        <x:v>0</x:v>
      </x:c>
      <x:c r="Z424" s="83" t="n">
        <x:f>IF($B424&lt;&gt;"",($W424+$X424+$Y424)*Ayarlar!$B$14,0)</x:f>
        <x:v>0</x:v>
      </x:c>
      <x:c r="AA424" s="83" t="str">
        <x:f>IF($B424="","",IF(OR($K424="",$N424=""),"",CEILING($W424+$X424+$Y424+$Z424,Ayarlar!$B$16)))</x:f>
      </x:c>
      <x:c r="AB424" s="83" t="str">
        <x:f>IFERROR($AA424/$H424,"")</x:f>
      </x:c>
      <x:c r="AC424" s="75" t="str">
        <x:f>IF($B424="","",IF(OR($K424="",$N424=""),"Veri Eksik","Fiyat Hazır"))</x:f>
      </x:c>
      <x:c r="AD424" s="75" t="str">
        <x:f>IF($C424&lt;&gt;"","MW-"&amp;$C424,"")</x:f>
        <x:v>MW-80</x:v>
      </x:c>
      <x:c r="AE424" s="75" t="str">
        <x:f>IF($G424&lt;&gt;"","3D Baskı / "&amp;$G424,"3D Baskı")</x:f>
        <x:v>3D Baskı</x:v>
      </x:c>
      <x:c r="AF424" s="75" t="str">
        <x:f>IF($D424&lt;&gt;"",$D424&amp;" - "&amp;$G424,$AD424&amp;" - "&amp;$G424)</x:f>
        <x:v>MW-80 - </x:v>
      </x:c>
      <x:c r="AG424" s="75" t="str"/>
    </x:row>
    <x:row r="425">
      <x:c r="A425" s="75" t="str">
        <x:f>IF($B425&lt;&gt;"",ROW()-4,"")</x:f>
      </x:c>
      <x:c r="B425" s="75" t="str"/>
      <x:c r="C425" s="75" t="n">
        <x:f>IFERROR(LET(x,MID($B425,FIND("/models/",$B425)+8,80),y,LEFT(x,FIND("-",x&amp;"-")-1),LEFT(y,FIND("?",y&amp;"?")-1)),"")</x:f>
        <x:v>80</x:v>
      </x:c>
      <x:c r="D425" s="75" t="str">
        <x:f>IF($B425="","",IFERROR(XLOOKUP($C425,MakerWorld_Verileri!$A:$A,MakerWorld_Verileri!$B:$B,""),""))</x:f>
      </x:c>
      <x:c r="E425" s="75" t="str">
        <x:f>IF($B425="","",IFERROR(XLOOKUP($C425,MakerWorld_Verileri!$A:$A,MakerWorld_Verileri!$C:$C,""),""))</x:f>
      </x:c>
      <x:c r="F425" s="75" t="str"/>
      <x:c r="G425" s="75" t="str">
        <x:f>IF($B425&lt;&gt;"",Ayarlar!$B$7,"")</x:f>
      </x:c>
      <x:c r="H425" s="82" t="str">
        <x:f>IF($B425&lt;&gt;"",1,"")</x:f>
      </x:c>
      <x:c r="I425" s="82" t="str">
        <x:f>IF($B425="","",IFERROR(XLOOKUP($C425,MakerWorld_Verileri!$A:$A,MakerWorld_Verileri!$D:$D,""),""))</x:f>
      </x:c>
      <x:c r="J425" s="82" t="str"/>
      <x:c r="K425" s="82" t="str">
        <x:f>IF($I425&lt;&gt;"",$I425,$J425)</x:f>
      </x:c>
      <x:c r="L425" s="82" t="str">
        <x:f>IF($B425="","",IFERROR(XLOOKUP($C425,MakerWorld_Verileri!$A:$A,MakerWorld_Verileri!$E:$E,""),""))</x:f>
      </x:c>
      <x:c r="M425" s="82" t="str"/>
      <x:c r="N425" s="82" t="str">
        <x:f>IF($L425&lt;&gt;"",$L425,$M425)</x:f>
      </x:c>
      <x:c r="O425" s="82" t="str">
        <x:f>IF($B425&lt;&gt;"",0,"")</x:f>
      </x:c>
      <x:c r="P425" s="75" t="str">
        <x:f>IF($B425&lt;&gt;"","Orta","")</x:f>
      </x:c>
      <x:c r="Q425" s="82" t="str">
        <x:f>IF($B425&lt;&gt;"",10,"")</x:f>
      </x:c>
      <x:c r="R425" s="83" t="str">
        <x:f>IF($B425&lt;&gt;"",Ayarlar!$B$10,"")</x:f>
      </x:c>
      <x:c r="S425" s="83" t="str">
        <x:f>IF($B425&lt;&gt;"",0,"")</x:f>
      </x:c>
      <x:c r="T425" s="83" t="n">
        <x:f>IFERROR(($K425+$O425)*XLOOKUP($G425,Ayarlar!$A$19:$A$28,Ayarlar!$C$19:$C$28,0)*(1+Ayarlar!$B$11),0)</x:f>
        <x:v>0</x:v>
      </x:c>
      <x:c r="U425" s="83" t="n">
        <x:f>IFERROR($N425/60*Ayarlar!$B$8,0)</x:f>
        <x:v>0</x:v>
      </x:c>
      <x:c r="V425" s="83" t="n">
        <x:f>IF($B425&lt;&gt;"",Ayarlar!$B$12+($Q425/60*Ayarlar!$B$9),0)</x:f>
        <x:v>0</x:v>
      </x:c>
      <x:c r="W425" s="83" t="n">
        <x:f>IF($B425&lt;&gt;"",SUM($T425:$V425,$R425:$S425),0)</x:f>
        <x:v>0</x:v>
      </x:c>
      <x:c r="X425" s="83" t="n">
        <x:f>IF($B425&lt;&gt;"",$W425*Ayarlar!$B$15,0)</x:f>
        <x:v>0</x:v>
      </x:c>
      <x:c r="Y425" s="83" t="n">
        <x:f>IF($B425&lt;&gt;"",($W425+$X425)*Ayarlar!$B$13,0)</x:f>
        <x:v>0</x:v>
      </x:c>
      <x:c r="Z425" s="83" t="n">
        <x:f>IF($B425&lt;&gt;"",($W425+$X425+$Y425)*Ayarlar!$B$14,0)</x:f>
        <x:v>0</x:v>
      </x:c>
      <x:c r="AA425" s="83" t="str">
        <x:f>IF($B425="","",IF(OR($K425="",$N425=""),"",CEILING($W425+$X425+$Y425+$Z425,Ayarlar!$B$16)))</x:f>
      </x:c>
      <x:c r="AB425" s="83" t="str">
        <x:f>IFERROR($AA425/$H425,"")</x:f>
      </x:c>
      <x:c r="AC425" s="75" t="str">
        <x:f>IF($B425="","",IF(OR($K425="",$N425=""),"Veri Eksik","Fiyat Hazır"))</x:f>
      </x:c>
      <x:c r="AD425" s="75" t="str">
        <x:f>IF($C425&lt;&gt;"","MW-"&amp;$C425,"")</x:f>
        <x:v>MW-80</x:v>
      </x:c>
      <x:c r="AE425" s="75" t="str">
        <x:f>IF($G425&lt;&gt;"","3D Baskı / "&amp;$G425,"3D Baskı")</x:f>
        <x:v>3D Baskı</x:v>
      </x:c>
      <x:c r="AF425" s="75" t="str">
        <x:f>IF($D425&lt;&gt;"",$D425&amp;" - "&amp;$G425,$AD425&amp;" - "&amp;$G425)</x:f>
        <x:v>MW-80 - </x:v>
      </x:c>
      <x:c r="AG425" s="75" t="str"/>
    </x:row>
    <x:row r="426">
      <x:c r="A426" s="75" t="str">
        <x:f>IF($B426&lt;&gt;"",ROW()-4,"")</x:f>
      </x:c>
      <x:c r="B426" s="75" t="str"/>
      <x:c r="C426" s="75" t="n">
        <x:f>IFERROR(LET(x,MID($B426,FIND("/models/",$B426)+8,80),y,LEFT(x,FIND("-",x&amp;"-")-1),LEFT(y,FIND("?",y&amp;"?")-1)),"")</x:f>
        <x:v>80</x:v>
      </x:c>
      <x:c r="D426" s="75" t="str">
        <x:f>IF($B426="","",IFERROR(XLOOKUP($C426,MakerWorld_Verileri!$A:$A,MakerWorld_Verileri!$B:$B,""),""))</x:f>
      </x:c>
      <x:c r="E426" s="75" t="str">
        <x:f>IF($B426="","",IFERROR(XLOOKUP($C426,MakerWorld_Verileri!$A:$A,MakerWorld_Verileri!$C:$C,""),""))</x:f>
      </x:c>
      <x:c r="F426" s="75" t="str"/>
      <x:c r="G426" s="75" t="str">
        <x:f>IF($B426&lt;&gt;"",Ayarlar!$B$7,"")</x:f>
      </x:c>
      <x:c r="H426" s="82" t="str">
        <x:f>IF($B426&lt;&gt;"",1,"")</x:f>
      </x:c>
      <x:c r="I426" s="82" t="str">
        <x:f>IF($B426="","",IFERROR(XLOOKUP($C426,MakerWorld_Verileri!$A:$A,MakerWorld_Verileri!$D:$D,""),""))</x:f>
      </x:c>
      <x:c r="J426" s="82" t="str"/>
      <x:c r="K426" s="82" t="str">
        <x:f>IF($I426&lt;&gt;"",$I426,$J426)</x:f>
      </x:c>
      <x:c r="L426" s="82" t="str">
        <x:f>IF($B426="","",IFERROR(XLOOKUP($C426,MakerWorld_Verileri!$A:$A,MakerWorld_Verileri!$E:$E,""),""))</x:f>
      </x:c>
      <x:c r="M426" s="82" t="str"/>
      <x:c r="N426" s="82" t="str">
        <x:f>IF($L426&lt;&gt;"",$L426,$M426)</x:f>
      </x:c>
      <x:c r="O426" s="82" t="str">
        <x:f>IF($B426&lt;&gt;"",0,"")</x:f>
      </x:c>
      <x:c r="P426" s="75" t="str">
        <x:f>IF($B426&lt;&gt;"","Orta","")</x:f>
      </x:c>
      <x:c r="Q426" s="82" t="str">
        <x:f>IF($B426&lt;&gt;"",10,"")</x:f>
      </x:c>
      <x:c r="R426" s="83" t="str">
        <x:f>IF($B426&lt;&gt;"",Ayarlar!$B$10,"")</x:f>
      </x:c>
      <x:c r="S426" s="83" t="str">
        <x:f>IF($B426&lt;&gt;"",0,"")</x:f>
      </x:c>
      <x:c r="T426" s="83" t="n">
        <x:f>IFERROR(($K426+$O426)*XLOOKUP($G426,Ayarlar!$A$19:$A$28,Ayarlar!$C$19:$C$28,0)*(1+Ayarlar!$B$11),0)</x:f>
        <x:v>0</x:v>
      </x:c>
      <x:c r="U426" s="83" t="n">
        <x:f>IFERROR($N426/60*Ayarlar!$B$8,0)</x:f>
        <x:v>0</x:v>
      </x:c>
      <x:c r="V426" s="83" t="n">
        <x:f>IF($B426&lt;&gt;"",Ayarlar!$B$12+($Q426/60*Ayarlar!$B$9),0)</x:f>
        <x:v>0</x:v>
      </x:c>
      <x:c r="W426" s="83" t="n">
        <x:f>IF($B426&lt;&gt;"",SUM($T426:$V426,$R426:$S426),0)</x:f>
        <x:v>0</x:v>
      </x:c>
      <x:c r="X426" s="83" t="n">
        <x:f>IF($B426&lt;&gt;"",$W426*Ayarlar!$B$15,0)</x:f>
        <x:v>0</x:v>
      </x:c>
      <x:c r="Y426" s="83" t="n">
        <x:f>IF($B426&lt;&gt;"",($W426+$X426)*Ayarlar!$B$13,0)</x:f>
        <x:v>0</x:v>
      </x:c>
      <x:c r="Z426" s="83" t="n">
        <x:f>IF($B426&lt;&gt;"",($W426+$X426+$Y426)*Ayarlar!$B$14,0)</x:f>
        <x:v>0</x:v>
      </x:c>
      <x:c r="AA426" s="83" t="str">
        <x:f>IF($B426="","",IF(OR($K426="",$N426=""),"",CEILING($W426+$X426+$Y426+$Z426,Ayarlar!$B$16)))</x:f>
      </x:c>
      <x:c r="AB426" s="83" t="str">
        <x:f>IFERROR($AA426/$H426,"")</x:f>
      </x:c>
      <x:c r="AC426" s="75" t="str">
        <x:f>IF($B426="","",IF(OR($K426="",$N426=""),"Veri Eksik","Fiyat Hazır"))</x:f>
      </x:c>
      <x:c r="AD426" s="75" t="str">
        <x:f>IF($C426&lt;&gt;"","MW-"&amp;$C426,"")</x:f>
        <x:v>MW-80</x:v>
      </x:c>
      <x:c r="AE426" s="75" t="str">
        <x:f>IF($G426&lt;&gt;"","3D Baskı / "&amp;$G426,"3D Baskı")</x:f>
        <x:v>3D Baskı</x:v>
      </x:c>
      <x:c r="AF426" s="75" t="str">
        <x:f>IF($D426&lt;&gt;"",$D426&amp;" - "&amp;$G426,$AD426&amp;" - "&amp;$G426)</x:f>
        <x:v>MW-80 - </x:v>
      </x:c>
      <x:c r="AG426" s="75" t="str"/>
    </x:row>
    <x:row r="427">
      <x:c r="A427" s="75" t="str">
        <x:f>IF($B427&lt;&gt;"",ROW()-4,"")</x:f>
      </x:c>
      <x:c r="B427" s="75" t="str"/>
      <x:c r="C427" s="75" t="n">
        <x:f>IFERROR(LET(x,MID($B427,FIND("/models/",$B427)+8,80),y,LEFT(x,FIND("-",x&amp;"-")-1),LEFT(y,FIND("?",y&amp;"?")-1)),"")</x:f>
        <x:v>80</x:v>
      </x:c>
      <x:c r="D427" s="75" t="str">
        <x:f>IF($B427="","",IFERROR(XLOOKUP($C427,MakerWorld_Verileri!$A:$A,MakerWorld_Verileri!$B:$B,""),""))</x:f>
      </x:c>
      <x:c r="E427" s="75" t="str">
        <x:f>IF($B427="","",IFERROR(XLOOKUP($C427,MakerWorld_Verileri!$A:$A,MakerWorld_Verileri!$C:$C,""),""))</x:f>
      </x:c>
      <x:c r="F427" s="75" t="str"/>
      <x:c r="G427" s="75" t="str">
        <x:f>IF($B427&lt;&gt;"",Ayarlar!$B$7,"")</x:f>
      </x:c>
      <x:c r="H427" s="82" t="str">
        <x:f>IF($B427&lt;&gt;"",1,"")</x:f>
      </x:c>
      <x:c r="I427" s="82" t="str">
        <x:f>IF($B427="","",IFERROR(XLOOKUP($C427,MakerWorld_Verileri!$A:$A,MakerWorld_Verileri!$D:$D,""),""))</x:f>
      </x:c>
      <x:c r="J427" s="82" t="str"/>
      <x:c r="K427" s="82" t="str">
        <x:f>IF($I427&lt;&gt;"",$I427,$J427)</x:f>
      </x:c>
      <x:c r="L427" s="82" t="str">
        <x:f>IF($B427="","",IFERROR(XLOOKUP($C427,MakerWorld_Verileri!$A:$A,MakerWorld_Verileri!$E:$E,""),""))</x:f>
      </x:c>
      <x:c r="M427" s="82" t="str"/>
      <x:c r="N427" s="82" t="str">
        <x:f>IF($L427&lt;&gt;"",$L427,$M427)</x:f>
      </x:c>
      <x:c r="O427" s="82" t="str">
        <x:f>IF($B427&lt;&gt;"",0,"")</x:f>
      </x:c>
      <x:c r="P427" s="75" t="str">
        <x:f>IF($B427&lt;&gt;"","Orta","")</x:f>
      </x:c>
      <x:c r="Q427" s="82" t="str">
        <x:f>IF($B427&lt;&gt;"",10,"")</x:f>
      </x:c>
      <x:c r="R427" s="83" t="str">
        <x:f>IF($B427&lt;&gt;"",Ayarlar!$B$10,"")</x:f>
      </x:c>
      <x:c r="S427" s="83" t="str">
        <x:f>IF($B427&lt;&gt;"",0,"")</x:f>
      </x:c>
      <x:c r="T427" s="83" t="n">
        <x:f>IFERROR(($K427+$O427)*XLOOKUP($G427,Ayarlar!$A$19:$A$28,Ayarlar!$C$19:$C$28,0)*(1+Ayarlar!$B$11),0)</x:f>
        <x:v>0</x:v>
      </x:c>
      <x:c r="U427" s="83" t="n">
        <x:f>IFERROR($N427/60*Ayarlar!$B$8,0)</x:f>
        <x:v>0</x:v>
      </x:c>
      <x:c r="V427" s="83" t="n">
        <x:f>IF($B427&lt;&gt;"",Ayarlar!$B$12+($Q427/60*Ayarlar!$B$9),0)</x:f>
        <x:v>0</x:v>
      </x:c>
      <x:c r="W427" s="83" t="n">
        <x:f>IF($B427&lt;&gt;"",SUM($T427:$V427,$R427:$S427),0)</x:f>
        <x:v>0</x:v>
      </x:c>
      <x:c r="X427" s="83" t="n">
        <x:f>IF($B427&lt;&gt;"",$W427*Ayarlar!$B$15,0)</x:f>
        <x:v>0</x:v>
      </x:c>
      <x:c r="Y427" s="83" t="n">
        <x:f>IF($B427&lt;&gt;"",($W427+$X427)*Ayarlar!$B$13,0)</x:f>
        <x:v>0</x:v>
      </x:c>
      <x:c r="Z427" s="83" t="n">
        <x:f>IF($B427&lt;&gt;"",($W427+$X427+$Y427)*Ayarlar!$B$14,0)</x:f>
        <x:v>0</x:v>
      </x:c>
      <x:c r="AA427" s="83" t="str">
        <x:f>IF($B427="","",IF(OR($K427="",$N427=""),"",CEILING($W427+$X427+$Y427+$Z427,Ayarlar!$B$16)))</x:f>
      </x:c>
      <x:c r="AB427" s="83" t="str">
        <x:f>IFERROR($AA427/$H427,"")</x:f>
      </x:c>
      <x:c r="AC427" s="75" t="str">
        <x:f>IF($B427="","",IF(OR($K427="",$N427=""),"Veri Eksik","Fiyat Hazır"))</x:f>
      </x:c>
      <x:c r="AD427" s="75" t="str">
        <x:f>IF($C427&lt;&gt;"","MW-"&amp;$C427,"")</x:f>
        <x:v>MW-80</x:v>
      </x:c>
      <x:c r="AE427" s="75" t="str">
        <x:f>IF($G427&lt;&gt;"","3D Baskı / "&amp;$G427,"3D Baskı")</x:f>
        <x:v>3D Baskı</x:v>
      </x:c>
      <x:c r="AF427" s="75" t="str">
        <x:f>IF($D427&lt;&gt;"",$D427&amp;" - "&amp;$G427,$AD427&amp;" - "&amp;$G427)</x:f>
        <x:v>MW-80 - </x:v>
      </x:c>
      <x:c r="AG427" s="75" t="str"/>
    </x:row>
    <x:row r="428">
      <x:c r="A428" s="75" t="str">
        <x:f>IF($B428&lt;&gt;"",ROW()-4,"")</x:f>
      </x:c>
      <x:c r="B428" s="75" t="str"/>
      <x:c r="C428" s="75" t="n">
        <x:f>IFERROR(LET(x,MID($B428,FIND("/models/",$B428)+8,80),y,LEFT(x,FIND("-",x&amp;"-")-1),LEFT(y,FIND("?",y&amp;"?")-1)),"")</x:f>
        <x:v>80</x:v>
      </x:c>
      <x:c r="D428" s="75" t="str">
        <x:f>IF($B428="","",IFERROR(XLOOKUP($C428,MakerWorld_Verileri!$A:$A,MakerWorld_Verileri!$B:$B,""),""))</x:f>
      </x:c>
      <x:c r="E428" s="75" t="str">
        <x:f>IF($B428="","",IFERROR(XLOOKUP($C428,MakerWorld_Verileri!$A:$A,MakerWorld_Verileri!$C:$C,""),""))</x:f>
      </x:c>
      <x:c r="F428" s="75" t="str"/>
      <x:c r="G428" s="75" t="str">
        <x:f>IF($B428&lt;&gt;"",Ayarlar!$B$7,"")</x:f>
      </x:c>
      <x:c r="H428" s="82" t="str">
        <x:f>IF($B428&lt;&gt;"",1,"")</x:f>
      </x:c>
      <x:c r="I428" s="82" t="str">
        <x:f>IF($B428="","",IFERROR(XLOOKUP($C428,MakerWorld_Verileri!$A:$A,MakerWorld_Verileri!$D:$D,""),""))</x:f>
      </x:c>
      <x:c r="J428" s="82" t="str"/>
      <x:c r="K428" s="82" t="str">
        <x:f>IF($I428&lt;&gt;"",$I428,$J428)</x:f>
      </x:c>
      <x:c r="L428" s="82" t="str">
        <x:f>IF($B428="","",IFERROR(XLOOKUP($C428,MakerWorld_Verileri!$A:$A,MakerWorld_Verileri!$E:$E,""),""))</x:f>
      </x:c>
      <x:c r="M428" s="82" t="str"/>
      <x:c r="N428" s="82" t="str">
        <x:f>IF($L428&lt;&gt;"",$L428,$M428)</x:f>
      </x:c>
      <x:c r="O428" s="82" t="str">
        <x:f>IF($B428&lt;&gt;"",0,"")</x:f>
      </x:c>
      <x:c r="P428" s="75" t="str">
        <x:f>IF($B428&lt;&gt;"","Orta","")</x:f>
      </x:c>
      <x:c r="Q428" s="82" t="str">
        <x:f>IF($B428&lt;&gt;"",10,"")</x:f>
      </x:c>
      <x:c r="R428" s="83" t="str">
        <x:f>IF($B428&lt;&gt;"",Ayarlar!$B$10,"")</x:f>
      </x:c>
      <x:c r="S428" s="83" t="str">
        <x:f>IF($B428&lt;&gt;"",0,"")</x:f>
      </x:c>
      <x:c r="T428" s="83" t="n">
        <x:f>IFERROR(($K428+$O428)*XLOOKUP($G428,Ayarlar!$A$19:$A$28,Ayarlar!$C$19:$C$28,0)*(1+Ayarlar!$B$11),0)</x:f>
        <x:v>0</x:v>
      </x:c>
      <x:c r="U428" s="83" t="n">
        <x:f>IFERROR($N428/60*Ayarlar!$B$8,0)</x:f>
        <x:v>0</x:v>
      </x:c>
      <x:c r="V428" s="83" t="n">
        <x:f>IF($B428&lt;&gt;"",Ayarlar!$B$12+($Q428/60*Ayarlar!$B$9),0)</x:f>
        <x:v>0</x:v>
      </x:c>
      <x:c r="W428" s="83" t="n">
        <x:f>IF($B428&lt;&gt;"",SUM($T428:$V428,$R428:$S428),0)</x:f>
        <x:v>0</x:v>
      </x:c>
      <x:c r="X428" s="83" t="n">
        <x:f>IF($B428&lt;&gt;"",$W428*Ayarlar!$B$15,0)</x:f>
        <x:v>0</x:v>
      </x:c>
      <x:c r="Y428" s="83" t="n">
        <x:f>IF($B428&lt;&gt;"",($W428+$X428)*Ayarlar!$B$13,0)</x:f>
        <x:v>0</x:v>
      </x:c>
      <x:c r="Z428" s="83" t="n">
        <x:f>IF($B428&lt;&gt;"",($W428+$X428+$Y428)*Ayarlar!$B$14,0)</x:f>
        <x:v>0</x:v>
      </x:c>
      <x:c r="AA428" s="83" t="str">
        <x:f>IF($B428="","",IF(OR($K428="",$N428=""),"",CEILING($W428+$X428+$Y428+$Z428,Ayarlar!$B$16)))</x:f>
      </x:c>
      <x:c r="AB428" s="83" t="str">
        <x:f>IFERROR($AA428/$H428,"")</x:f>
      </x:c>
      <x:c r="AC428" s="75" t="str">
        <x:f>IF($B428="","",IF(OR($K428="",$N428=""),"Veri Eksik","Fiyat Hazır"))</x:f>
      </x:c>
      <x:c r="AD428" s="75" t="str">
        <x:f>IF($C428&lt;&gt;"","MW-"&amp;$C428,"")</x:f>
        <x:v>MW-80</x:v>
      </x:c>
      <x:c r="AE428" s="75" t="str">
        <x:f>IF($G428&lt;&gt;"","3D Baskı / "&amp;$G428,"3D Baskı")</x:f>
        <x:v>3D Baskı</x:v>
      </x:c>
      <x:c r="AF428" s="75" t="str">
        <x:f>IF($D428&lt;&gt;"",$D428&amp;" - "&amp;$G428,$AD428&amp;" - "&amp;$G428)</x:f>
        <x:v>MW-80 - </x:v>
      </x:c>
      <x:c r="AG428" s="75" t="str"/>
    </x:row>
    <x:row r="429">
      <x:c r="A429" s="75" t="str">
        <x:f>IF($B429&lt;&gt;"",ROW()-4,"")</x:f>
      </x:c>
      <x:c r="B429" s="75" t="str"/>
      <x:c r="C429" s="75" t="n">
        <x:f>IFERROR(LET(x,MID($B429,FIND("/models/",$B429)+8,80),y,LEFT(x,FIND("-",x&amp;"-")-1),LEFT(y,FIND("?",y&amp;"?")-1)),"")</x:f>
        <x:v>80</x:v>
      </x:c>
      <x:c r="D429" s="75" t="str">
        <x:f>IF($B429="","",IFERROR(XLOOKUP($C429,MakerWorld_Verileri!$A:$A,MakerWorld_Verileri!$B:$B,""),""))</x:f>
      </x:c>
      <x:c r="E429" s="75" t="str">
        <x:f>IF($B429="","",IFERROR(XLOOKUP($C429,MakerWorld_Verileri!$A:$A,MakerWorld_Verileri!$C:$C,""),""))</x:f>
      </x:c>
      <x:c r="F429" s="75" t="str"/>
      <x:c r="G429" s="75" t="str">
        <x:f>IF($B429&lt;&gt;"",Ayarlar!$B$7,"")</x:f>
      </x:c>
      <x:c r="H429" s="82" t="str">
        <x:f>IF($B429&lt;&gt;"",1,"")</x:f>
      </x:c>
      <x:c r="I429" s="82" t="str">
        <x:f>IF($B429="","",IFERROR(XLOOKUP($C429,MakerWorld_Verileri!$A:$A,MakerWorld_Verileri!$D:$D,""),""))</x:f>
      </x:c>
      <x:c r="J429" s="82" t="str"/>
      <x:c r="K429" s="82" t="str">
        <x:f>IF($I429&lt;&gt;"",$I429,$J429)</x:f>
      </x:c>
      <x:c r="L429" s="82" t="str">
        <x:f>IF($B429="","",IFERROR(XLOOKUP($C429,MakerWorld_Verileri!$A:$A,MakerWorld_Verileri!$E:$E,""),""))</x:f>
      </x:c>
      <x:c r="M429" s="82" t="str"/>
      <x:c r="N429" s="82" t="str">
        <x:f>IF($L429&lt;&gt;"",$L429,$M429)</x:f>
      </x:c>
      <x:c r="O429" s="82" t="str">
        <x:f>IF($B429&lt;&gt;"",0,"")</x:f>
      </x:c>
      <x:c r="P429" s="75" t="str">
        <x:f>IF($B429&lt;&gt;"","Orta","")</x:f>
      </x:c>
      <x:c r="Q429" s="82" t="str">
        <x:f>IF($B429&lt;&gt;"",10,"")</x:f>
      </x:c>
      <x:c r="R429" s="83" t="str">
        <x:f>IF($B429&lt;&gt;"",Ayarlar!$B$10,"")</x:f>
      </x:c>
      <x:c r="S429" s="83" t="str">
        <x:f>IF($B429&lt;&gt;"",0,"")</x:f>
      </x:c>
      <x:c r="T429" s="83" t="n">
        <x:f>IFERROR(($K429+$O429)*XLOOKUP($G429,Ayarlar!$A$19:$A$28,Ayarlar!$C$19:$C$28,0)*(1+Ayarlar!$B$11),0)</x:f>
        <x:v>0</x:v>
      </x:c>
      <x:c r="U429" s="83" t="n">
        <x:f>IFERROR($N429/60*Ayarlar!$B$8,0)</x:f>
        <x:v>0</x:v>
      </x:c>
      <x:c r="V429" s="83" t="n">
        <x:f>IF($B429&lt;&gt;"",Ayarlar!$B$12+($Q429/60*Ayarlar!$B$9),0)</x:f>
        <x:v>0</x:v>
      </x:c>
      <x:c r="W429" s="83" t="n">
        <x:f>IF($B429&lt;&gt;"",SUM($T429:$V429,$R429:$S429),0)</x:f>
        <x:v>0</x:v>
      </x:c>
      <x:c r="X429" s="83" t="n">
        <x:f>IF($B429&lt;&gt;"",$W429*Ayarlar!$B$15,0)</x:f>
        <x:v>0</x:v>
      </x:c>
      <x:c r="Y429" s="83" t="n">
        <x:f>IF($B429&lt;&gt;"",($W429+$X429)*Ayarlar!$B$13,0)</x:f>
        <x:v>0</x:v>
      </x:c>
      <x:c r="Z429" s="83" t="n">
        <x:f>IF($B429&lt;&gt;"",($W429+$X429+$Y429)*Ayarlar!$B$14,0)</x:f>
        <x:v>0</x:v>
      </x:c>
      <x:c r="AA429" s="83" t="str">
        <x:f>IF($B429="","",IF(OR($K429="",$N429=""),"",CEILING($W429+$X429+$Y429+$Z429,Ayarlar!$B$16)))</x:f>
      </x:c>
      <x:c r="AB429" s="83" t="str">
        <x:f>IFERROR($AA429/$H429,"")</x:f>
      </x:c>
      <x:c r="AC429" s="75" t="str">
        <x:f>IF($B429="","",IF(OR($K429="",$N429=""),"Veri Eksik","Fiyat Hazır"))</x:f>
      </x:c>
      <x:c r="AD429" s="75" t="str">
        <x:f>IF($C429&lt;&gt;"","MW-"&amp;$C429,"")</x:f>
        <x:v>MW-80</x:v>
      </x:c>
      <x:c r="AE429" s="75" t="str">
        <x:f>IF($G429&lt;&gt;"","3D Baskı / "&amp;$G429,"3D Baskı")</x:f>
        <x:v>3D Baskı</x:v>
      </x:c>
      <x:c r="AF429" s="75" t="str">
        <x:f>IF($D429&lt;&gt;"",$D429&amp;" - "&amp;$G429,$AD429&amp;" - "&amp;$G429)</x:f>
        <x:v>MW-80 - </x:v>
      </x:c>
      <x:c r="AG429" s="75" t="str"/>
    </x:row>
    <x:row r="430">
      <x:c r="A430" s="75" t="str">
        <x:f>IF($B430&lt;&gt;"",ROW()-4,"")</x:f>
      </x:c>
      <x:c r="B430" s="75" t="str"/>
      <x:c r="C430" s="75" t="n">
        <x:f>IFERROR(LET(x,MID($B430,FIND("/models/",$B430)+8,80),y,LEFT(x,FIND("-",x&amp;"-")-1),LEFT(y,FIND("?",y&amp;"?")-1)),"")</x:f>
        <x:v>80</x:v>
      </x:c>
      <x:c r="D430" s="75" t="str">
        <x:f>IF($B430="","",IFERROR(XLOOKUP($C430,MakerWorld_Verileri!$A:$A,MakerWorld_Verileri!$B:$B,""),""))</x:f>
      </x:c>
      <x:c r="E430" s="75" t="str">
        <x:f>IF($B430="","",IFERROR(XLOOKUP($C430,MakerWorld_Verileri!$A:$A,MakerWorld_Verileri!$C:$C,""),""))</x:f>
      </x:c>
      <x:c r="F430" s="75" t="str"/>
      <x:c r="G430" s="75" t="str">
        <x:f>IF($B430&lt;&gt;"",Ayarlar!$B$7,"")</x:f>
      </x:c>
      <x:c r="H430" s="82" t="str">
        <x:f>IF($B430&lt;&gt;"",1,"")</x:f>
      </x:c>
      <x:c r="I430" s="82" t="str">
        <x:f>IF($B430="","",IFERROR(XLOOKUP($C430,MakerWorld_Verileri!$A:$A,MakerWorld_Verileri!$D:$D,""),""))</x:f>
      </x:c>
      <x:c r="J430" s="82" t="str"/>
      <x:c r="K430" s="82" t="str">
        <x:f>IF($I430&lt;&gt;"",$I430,$J430)</x:f>
      </x:c>
      <x:c r="L430" s="82" t="str">
        <x:f>IF($B430="","",IFERROR(XLOOKUP($C430,MakerWorld_Verileri!$A:$A,MakerWorld_Verileri!$E:$E,""),""))</x:f>
      </x:c>
      <x:c r="M430" s="82" t="str"/>
      <x:c r="N430" s="82" t="str">
        <x:f>IF($L430&lt;&gt;"",$L430,$M430)</x:f>
      </x:c>
      <x:c r="O430" s="82" t="str">
        <x:f>IF($B430&lt;&gt;"",0,"")</x:f>
      </x:c>
      <x:c r="P430" s="75" t="str">
        <x:f>IF($B430&lt;&gt;"","Orta","")</x:f>
      </x:c>
      <x:c r="Q430" s="82" t="str">
        <x:f>IF($B430&lt;&gt;"",10,"")</x:f>
      </x:c>
      <x:c r="R430" s="83" t="str">
        <x:f>IF($B430&lt;&gt;"",Ayarlar!$B$10,"")</x:f>
      </x:c>
      <x:c r="S430" s="83" t="str">
        <x:f>IF($B430&lt;&gt;"",0,"")</x:f>
      </x:c>
      <x:c r="T430" s="83" t="n">
        <x:f>IFERROR(($K430+$O430)*XLOOKUP($G430,Ayarlar!$A$19:$A$28,Ayarlar!$C$19:$C$28,0)*(1+Ayarlar!$B$11),0)</x:f>
        <x:v>0</x:v>
      </x:c>
      <x:c r="U430" s="83" t="n">
        <x:f>IFERROR($N430/60*Ayarlar!$B$8,0)</x:f>
        <x:v>0</x:v>
      </x:c>
      <x:c r="V430" s="83" t="n">
        <x:f>IF($B430&lt;&gt;"",Ayarlar!$B$12+($Q430/60*Ayarlar!$B$9),0)</x:f>
        <x:v>0</x:v>
      </x:c>
      <x:c r="W430" s="83" t="n">
        <x:f>IF($B430&lt;&gt;"",SUM($T430:$V430,$R430:$S430),0)</x:f>
        <x:v>0</x:v>
      </x:c>
      <x:c r="X430" s="83" t="n">
        <x:f>IF($B430&lt;&gt;"",$W430*Ayarlar!$B$15,0)</x:f>
        <x:v>0</x:v>
      </x:c>
      <x:c r="Y430" s="83" t="n">
        <x:f>IF($B430&lt;&gt;"",($W430+$X430)*Ayarlar!$B$13,0)</x:f>
        <x:v>0</x:v>
      </x:c>
      <x:c r="Z430" s="83" t="n">
        <x:f>IF($B430&lt;&gt;"",($W430+$X430+$Y430)*Ayarlar!$B$14,0)</x:f>
        <x:v>0</x:v>
      </x:c>
      <x:c r="AA430" s="83" t="str">
        <x:f>IF($B430="","",IF(OR($K430="",$N430=""),"",CEILING($W430+$X430+$Y430+$Z430,Ayarlar!$B$16)))</x:f>
      </x:c>
      <x:c r="AB430" s="83" t="str">
        <x:f>IFERROR($AA430/$H430,"")</x:f>
      </x:c>
      <x:c r="AC430" s="75" t="str">
        <x:f>IF($B430="","",IF(OR($K430="",$N430=""),"Veri Eksik","Fiyat Hazır"))</x:f>
      </x:c>
      <x:c r="AD430" s="75" t="str">
        <x:f>IF($C430&lt;&gt;"","MW-"&amp;$C430,"")</x:f>
        <x:v>MW-80</x:v>
      </x:c>
      <x:c r="AE430" s="75" t="str">
        <x:f>IF($G430&lt;&gt;"","3D Baskı / "&amp;$G430,"3D Baskı")</x:f>
        <x:v>3D Baskı</x:v>
      </x:c>
      <x:c r="AF430" s="75" t="str">
        <x:f>IF($D430&lt;&gt;"",$D430&amp;" - "&amp;$G430,$AD430&amp;" - "&amp;$G430)</x:f>
        <x:v>MW-80 - </x:v>
      </x:c>
      <x:c r="AG430" s="75" t="str"/>
    </x:row>
    <x:row r="431">
      <x:c r="A431" s="75" t="str">
        <x:f>IF($B431&lt;&gt;"",ROW()-4,"")</x:f>
      </x:c>
      <x:c r="B431" s="75" t="str"/>
      <x:c r="C431" s="75" t="n">
        <x:f>IFERROR(LET(x,MID($B431,FIND("/models/",$B431)+8,80),y,LEFT(x,FIND("-",x&amp;"-")-1),LEFT(y,FIND("?",y&amp;"?")-1)),"")</x:f>
        <x:v>80</x:v>
      </x:c>
      <x:c r="D431" s="75" t="str">
        <x:f>IF($B431="","",IFERROR(XLOOKUP($C431,MakerWorld_Verileri!$A:$A,MakerWorld_Verileri!$B:$B,""),""))</x:f>
      </x:c>
      <x:c r="E431" s="75" t="str">
        <x:f>IF($B431="","",IFERROR(XLOOKUP($C431,MakerWorld_Verileri!$A:$A,MakerWorld_Verileri!$C:$C,""),""))</x:f>
      </x:c>
      <x:c r="F431" s="75" t="str"/>
      <x:c r="G431" s="75" t="str">
        <x:f>IF($B431&lt;&gt;"",Ayarlar!$B$7,"")</x:f>
      </x:c>
      <x:c r="H431" s="82" t="str">
        <x:f>IF($B431&lt;&gt;"",1,"")</x:f>
      </x:c>
      <x:c r="I431" s="82" t="str">
        <x:f>IF($B431="","",IFERROR(XLOOKUP($C431,MakerWorld_Verileri!$A:$A,MakerWorld_Verileri!$D:$D,""),""))</x:f>
      </x:c>
      <x:c r="J431" s="82" t="str"/>
      <x:c r="K431" s="82" t="str">
        <x:f>IF($I431&lt;&gt;"",$I431,$J431)</x:f>
      </x:c>
      <x:c r="L431" s="82" t="str">
        <x:f>IF($B431="","",IFERROR(XLOOKUP($C431,MakerWorld_Verileri!$A:$A,MakerWorld_Verileri!$E:$E,""),""))</x:f>
      </x:c>
      <x:c r="M431" s="82" t="str"/>
      <x:c r="N431" s="82" t="str">
        <x:f>IF($L431&lt;&gt;"",$L431,$M431)</x:f>
      </x:c>
      <x:c r="O431" s="82" t="str">
        <x:f>IF($B431&lt;&gt;"",0,"")</x:f>
      </x:c>
      <x:c r="P431" s="75" t="str">
        <x:f>IF($B431&lt;&gt;"","Orta","")</x:f>
      </x:c>
      <x:c r="Q431" s="82" t="str">
        <x:f>IF($B431&lt;&gt;"",10,"")</x:f>
      </x:c>
      <x:c r="R431" s="83" t="str">
        <x:f>IF($B431&lt;&gt;"",Ayarlar!$B$10,"")</x:f>
      </x:c>
      <x:c r="S431" s="83" t="str">
        <x:f>IF($B431&lt;&gt;"",0,"")</x:f>
      </x:c>
      <x:c r="T431" s="83" t="n">
        <x:f>IFERROR(($K431+$O431)*XLOOKUP($G431,Ayarlar!$A$19:$A$28,Ayarlar!$C$19:$C$28,0)*(1+Ayarlar!$B$11),0)</x:f>
        <x:v>0</x:v>
      </x:c>
      <x:c r="U431" s="83" t="n">
        <x:f>IFERROR($N431/60*Ayarlar!$B$8,0)</x:f>
        <x:v>0</x:v>
      </x:c>
      <x:c r="V431" s="83" t="n">
        <x:f>IF($B431&lt;&gt;"",Ayarlar!$B$12+($Q431/60*Ayarlar!$B$9),0)</x:f>
        <x:v>0</x:v>
      </x:c>
      <x:c r="W431" s="83" t="n">
        <x:f>IF($B431&lt;&gt;"",SUM($T431:$V431,$R431:$S431),0)</x:f>
        <x:v>0</x:v>
      </x:c>
      <x:c r="X431" s="83" t="n">
        <x:f>IF($B431&lt;&gt;"",$W431*Ayarlar!$B$15,0)</x:f>
        <x:v>0</x:v>
      </x:c>
      <x:c r="Y431" s="83" t="n">
        <x:f>IF($B431&lt;&gt;"",($W431+$X431)*Ayarlar!$B$13,0)</x:f>
        <x:v>0</x:v>
      </x:c>
      <x:c r="Z431" s="83" t="n">
        <x:f>IF($B431&lt;&gt;"",($W431+$X431+$Y431)*Ayarlar!$B$14,0)</x:f>
        <x:v>0</x:v>
      </x:c>
      <x:c r="AA431" s="83" t="str">
        <x:f>IF($B431="","",IF(OR($K431="",$N431=""),"",CEILING($W431+$X431+$Y431+$Z431,Ayarlar!$B$16)))</x:f>
      </x:c>
      <x:c r="AB431" s="83" t="str">
        <x:f>IFERROR($AA431/$H431,"")</x:f>
      </x:c>
      <x:c r="AC431" s="75" t="str">
        <x:f>IF($B431="","",IF(OR($K431="",$N431=""),"Veri Eksik","Fiyat Hazır"))</x:f>
      </x:c>
      <x:c r="AD431" s="75" t="str">
        <x:f>IF($C431&lt;&gt;"","MW-"&amp;$C431,"")</x:f>
        <x:v>MW-80</x:v>
      </x:c>
      <x:c r="AE431" s="75" t="str">
        <x:f>IF($G431&lt;&gt;"","3D Baskı / "&amp;$G431,"3D Baskı")</x:f>
        <x:v>3D Baskı</x:v>
      </x:c>
      <x:c r="AF431" s="75" t="str">
        <x:f>IF($D431&lt;&gt;"",$D431&amp;" - "&amp;$G431,$AD431&amp;" - "&amp;$G431)</x:f>
        <x:v>MW-80 - </x:v>
      </x:c>
      <x:c r="AG431" s="75" t="str"/>
    </x:row>
    <x:row r="432">
      <x:c r="A432" s="75" t="str">
        <x:f>IF($B432&lt;&gt;"",ROW()-4,"")</x:f>
      </x:c>
      <x:c r="B432" s="75" t="str"/>
      <x:c r="C432" s="75" t="n">
        <x:f>IFERROR(LET(x,MID($B432,FIND("/models/",$B432)+8,80),y,LEFT(x,FIND("-",x&amp;"-")-1),LEFT(y,FIND("?",y&amp;"?")-1)),"")</x:f>
        <x:v>80</x:v>
      </x:c>
      <x:c r="D432" s="75" t="str">
        <x:f>IF($B432="","",IFERROR(XLOOKUP($C432,MakerWorld_Verileri!$A:$A,MakerWorld_Verileri!$B:$B,""),""))</x:f>
      </x:c>
      <x:c r="E432" s="75" t="str">
        <x:f>IF($B432="","",IFERROR(XLOOKUP($C432,MakerWorld_Verileri!$A:$A,MakerWorld_Verileri!$C:$C,""),""))</x:f>
      </x:c>
      <x:c r="F432" s="75" t="str"/>
      <x:c r="G432" s="75" t="str">
        <x:f>IF($B432&lt;&gt;"",Ayarlar!$B$7,"")</x:f>
      </x:c>
      <x:c r="H432" s="82" t="str">
        <x:f>IF($B432&lt;&gt;"",1,"")</x:f>
      </x:c>
      <x:c r="I432" s="82" t="str">
        <x:f>IF($B432="","",IFERROR(XLOOKUP($C432,MakerWorld_Verileri!$A:$A,MakerWorld_Verileri!$D:$D,""),""))</x:f>
      </x:c>
      <x:c r="J432" s="82" t="str"/>
      <x:c r="K432" s="82" t="str">
        <x:f>IF($I432&lt;&gt;"",$I432,$J432)</x:f>
      </x:c>
      <x:c r="L432" s="82" t="str">
        <x:f>IF($B432="","",IFERROR(XLOOKUP($C432,MakerWorld_Verileri!$A:$A,MakerWorld_Verileri!$E:$E,""),""))</x:f>
      </x:c>
      <x:c r="M432" s="82" t="str"/>
      <x:c r="N432" s="82" t="str">
        <x:f>IF($L432&lt;&gt;"",$L432,$M432)</x:f>
      </x:c>
      <x:c r="O432" s="82" t="str">
        <x:f>IF($B432&lt;&gt;"",0,"")</x:f>
      </x:c>
      <x:c r="P432" s="75" t="str">
        <x:f>IF($B432&lt;&gt;"","Orta","")</x:f>
      </x:c>
      <x:c r="Q432" s="82" t="str">
        <x:f>IF($B432&lt;&gt;"",10,"")</x:f>
      </x:c>
      <x:c r="R432" s="83" t="str">
        <x:f>IF($B432&lt;&gt;"",Ayarlar!$B$10,"")</x:f>
      </x:c>
      <x:c r="S432" s="83" t="str">
        <x:f>IF($B432&lt;&gt;"",0,"")</x:f>
      </x:c>
      <x:c r="T432" s="83" t="n">
        <x:f>IFERROR(($K432+$O432)*XLOOKUP($G432,Ayarlar!$A$19:$A$28,Ayarlar!$C$19:$C$28,0)*(1+Ayarlar!$B$11),0)</x:f>
        <x:v>0</x:v>
      </x:c>
      <x:c r="U432" s="83" t="n">
        <x:f>IFERROR($N432/60*Ayarlar!$B$8,0)</x:f>
        <x:v>0</x:v>
      </x:c>
      <x:c r="V432" s="83" t="n">
        <x:f>IF($B432&lt;&gt;"",Ayarlar!$B$12+($Q432/60*Ayarlar!$B$9),0)</x:f>
        <x:v>0</x:v>
      </x:c>
      <x:c r="W432" s="83" t="n">
        <x:f>IF($B432&lt;&gt;"",SUM($T432:$V432,$R432:$S432),0)</x:f>
        <x:v>0</x:v>
      </x:c>
      <x:c r="X432" s="83" t="n">
        <x:f>IF($B432&lt;&gt;"",$W432*Ayarlar!$B$15,0)</x:f>
        <x:v>0</x:v>
      </x:c>
      <x:c r="Y432" s="83" t="n">
        <x:f>IF($B432&lt;&gt;"",($W432+$X432)*Ayarlar!$B$13,0)</x:f>
        <x:v>0</x:v>
      </x:c>
      <x:c r="Z432" s="83" t="n">
        <x:f>IF($B432&lt;&gt;"",($W432+$X432+$Y432)*Ayarlar!$B$14,0)</x:f>
        <x:v>0</x:v>
      </x:c>
      <x:c r="AA432" s="83" t="str">
        <x:f>IF($B432="","",IF(OR($K432="",$N432=""),"",CEILING($W432+$X432+$Y432+$Z432,Ayarlar!$B$16)))</x:f>
      </x:c>
      <x:c r="AB432" s="83" t="str">
        <x:f>IFERROR($AA432/$H432,"")</x:f>
      </x:c>
      <x:c r="AC432" s="75" t="str">
        <x:f>IF($B432="","",IF(OR($K432="",$N432=""),"Veri Eksik","Fiyat Hazır"))</x:f>
      </x:c>
      <x:c r="AD432" s="75" t="str">
        <x:f>IF($C432&lt;&gt;"","MW-"&amp;$C432,"")</x:f>
        <x:v>MW-80</x:v>
      </x:c>
      <x:c r="AE432" s="75" t="str">
        <x:f>IF($G432&lt;&gt;"","3D Baskı / "&amp;$G432,"3D Baskı")</x:f>
        <x:v>3D Baskı</x:v>
      </x:c>
      <x:c r="AF432" s="75" t="str">
        <x:f>IF($D432&lt;&gt;"",$D432&amp;" - "&amp;$G432,$AD432&amp;" - "&amp;$G432)</x:f>
        <x:v>MW-80 - </x:v>
      </x:c>
      <x:c r="AG432" s="75" t="str"/>
    </x:row>
    <x:row r="433">
      <x:c r="A433" s="75" t="str">
        <x:f>IF($B433&lt;&gt;"",ROW()-4,"")</x:f>
      </x:c>
      <x:c r="B433" s="75" t="str"/>
      <x:c r="C433" s="75" t="n">
        <x:f>IFERROR(LET(x,MID($B433,FIND("/models/",$B433)+8,80),y,LEFT(x,FIND("-",x&amp;"-")-1),LEFT(y,FIND("?",y&amp;"?")-1)),"")</x:f>
        <x:v>80</x:v>
      </x:c>
      <x:c r="D433" s="75" t="str">
        <x:f>IF($B433="","",IFERROR(XLOOKUP($C433,MakerWorld_Verileri!$A:$A,MakerWorld_Verileri!$B:$B,""),""))</x:f>
      </x:c>
      <x:c r="E433" s="75" t="str">
        <x:f>IF($B433="","",IFERROR(XLOOKUP($C433,MakerWorld_Verileri!$A:$A,MakerWorld_Verileri!$C:$C,""),""))</x:f>
      </x:c>
      <x:c r="F433" s="75" t="str"/>
      <x:c r="G433" s="75" t="str">
        <x:f>IF($B433&lt;&gt;"",Ayarlar!$B$7,"")</x:f>
      </x:c>
      <x:c r="H433" s="82" t="str">
        <x:f>IF($B433&lt;&gt;"",1,"")</x:f>
      </x:c>
      <x:c r="I433" s="82" t="str">
        <x:f>IF($B433="","",IFERROR(XLOOKUP($C433,MakerWorld_Verileri!$A:$A,MakerWorld_Verileri!$D:$D,""),""))</x:f>
      </x:c>
      <x:c r="J433" s="82" t="str"/>
      <x:c r="K433" s="82" t="str">
        <x:f>IF($I433&lt;&gt;"",$I433,$J433)</x:f>
      </x:c>
      <x:c r="L433" s="82" t="str">
        <x:f>IF($B433="","",IFERROR(XLOOKUP($C433,MakerWorld_Verileri!$A:$A,MakerWorld_Verileri!$E:$E,""),""))</x:f>
      </x:c>
      <x:c r="M433" s="82" t="str"/>
      <x:c r="N433" s="82" t="str">
        <x:f>IF($L433&lt;&gt;"",$L433,$M433)</x:f>
      </x:c>
      <x:c r="O433" s="82" t="str">
        <x:f>IF($B433&lt;&gt;"",0,"")</x:f>
      </x:c>
      <x:c r="P433" s="75" t="str">
        <x:f>IF($B433&lt;&gt;"","Orta","")</x:f>
      </x:c>
      <x:c r="Q433" s="82" t="str">
        <x:f>IF($B433&lt;&gt;"",10,"")</x:f>
      </x:c>
      <x:c r="R433" s="83" t="str">
        <x:f>IF($B433&lt;&gt;"",Ayarlar!$B$10,"")</x:f>
      </x:c>
      <x:c r="S433" s="83" t="str">
        <x:f>IF($B433&lt;&gt;"",0,"")</x:f>
      </x:c>
      <x:c r="T433" s="83" t="n">
        <x:f>IFERROR(($K433+$O433)*XLOOKUP($G433,Ayarlar!$A$19:$A$28,Ayarlar!$C$19:$C$28,0)*(1+Ayarlar!$B$11),0)</x:f>
        <x:v>0</x:v>
      </x:c>
      <x:c r="U433" s="83" t="n">
        <x:f>IFERROR($N433/60*Ayarlar!$B$8,0)</x:f>
        <x:v>0</x:v>
      </x:c>
      <x:c r="V433" s="83" t="n">
        <x:f>IF($B433&lt;&gt;"",Ayarlar!$B$12+($Q433/60*Ayarlar!$B$9),0)</x:f>
        <x:v>0</x:v>
      </x:c>
      <x:c r="W433" s="83" t="n">
        <x:f>IF($B433&lt;&gt;"",SUM($T433:$V433,$R433:$S433),0)</x:f>
        <x:v>0</x:v>
      </x:c>
      <x:c r="X433" s="83" t="n">
        <x:f>IF($B433&lt;&gt;"",$W433*Ayarlar!$B$15,0)</x:f>
        <x:v>0</x:v>
      </x:c>
      <x:c r="Y433" s="83" t="n">
        <x:f>IF($B433&lt;&gt;"",($W433+$X433)*Ayarlar!$B$13,0)</x:f>
        <x:v>0</x:v>
      </x:c>
      <x:c r="Z433" s="83" t="n">
        <x:f>IF($B433&lt;&gt;"",($W433+$X433+$Y433)*Ayarlar!$B$14,0)</x:f>
        <x:v>0</x:v>
      </x:c>
      <x:c r="AA433" s="83" t="str">
        <x:f>IF($B433="","",IF(OR($K433="",$N433=""),"",CEILING($W433+$X433+$Y433+$Z433,Ayarlar!$B$16)))</x:f>
      </x:c>
      <x:c r="AB433" s="83" t="str">
        <x:f>IFERROR($AA433/$H433,"")</x:f>
      </x:c>
      <x:c r="AC433" s="75" t="str">
        <x:f>IF($B433="","",IF(OR($K433="",$N433=""),"Veri Eksik","Fiyat Hazır"))</x:f>
      </x:c>
      <x:c r="AD433" s="75" t="str">
        <x:f>IF($C433&lt;&gt;"","MW-"&amp;$C433,"")</x:f>
        <x:v>MW-80</x:v>
      </x:c>
      <x:c r="AE433" s="75" t="str">
        <x:f>IF($G433&lt;&gt;"","3D Baskı / "&amp;$G433,"3D Baskı")</x:f>
        <x:v>3D Baskı</x:v>
      </x:c>
      <x:c r="AF433" s="75" t="str">
        <x:f>IF($D433&lt;&gt;"",$D433&amp;" - "&amp;$G433,$AD433&amp;" - "&amp;$G433)</x:f>
        <x:v>MW-80 - </x:v>
      </x:c>
      <x:c r="AG433" s="75" t="str"/>
    </x:row>
    <x:row r="434">
      <x:c r="A434" s="75" t="str">
        <x:f>IF($B434&lt;&gt;"",ROW()-4,"")</x:f>
      </x:c>
      <x:c r="B434" s="75" t="str"/>
      <x:c r="C434" s="75" t="n">
        <x:f>IFERROR(LET(x,MID($B434,FIND("/models/",$B434)+8,80),y,LEFT(x,FIND("-",x&amp;"-")-1),LEFT(y,FIND("?",y&amp;"?")-1)),"")</x:f>
        <x:v>80</x:v>
      </x:c>
      <x:c r="D434" s="75" t="str">
        <x:f>IF($B434="","",IFERROR(XLOOKUP($C434,MakerWorld_Verileri!$A:$A,MakerWorld_Verileri!$B:$B,""),""))</x:f>
      </x:c>
      <x:c r="E434" s="75" t="str">
        <x:f>IF($B434="","",IFERROR(XLOOKUP($C434,MakerWorld_Verileri!$A:$A,MakerWorld_Verileri!$C:$C,""),""))</x:f>
      </x:c>
      <x:c r="F434" s="75" t="str"/>
      <x:c r="G434" s="75" t="str">
        <x:f>IF($B434&lt;&gt;"",Ayarlar!$B$7,"")</x:f>
      </x:c>
      <x:c r="H434" s="82" t="str">
        <x:f>IF($B434&lt;&gt;"",1,"")</x:f>
      </x:c>
      <x:c r="I434" s="82" t="str">
        <x:f>IF($B434="","",IFERROR(XLOOKUP($C434,MakerWorld_Verileri!$A:$A,MakerWorld_Verileri!$D:$D,""),""))</x:f>
      </x:c>
      <x:c r="J434" s="82" t="str"/>
      <x:c r="K434" s="82" t="str">
        <x:f>IF($I434&lt;&gt;"",$I434,$J434)</x:f>
      </x:c>
      <x:c r="L434" s="82" t="str">
        <x:f>IF($B434="","",IFERROR(XLOOKUP($C434,MakerWorld_Verileri!$A:$A,MakerWorld_Verileri!$E:$E,""),""))</x:f>
      </x:c>
      <x:c r="M434" s="82" t="str"/>
      <x:c r="N434" s="82" t="str">
        <x:f>IF($L434&lt;&gt;"",$L434,$M434)</x:f>
      </x:c>
      <x:c r="O434" s="82" t="str">
        <x:f>IF($B434&lt;&gt;"",0,"")</x:f>
      </x:c>
      <x:c r="P434" s="75" t="str">
        <x:f>IF($B434&lt;&gt;"","Orta","")</x:f>
      </x:c>
      <x:c r="Q434" s="82" t="str">
        <x:f>IF($B434&lt;&gt;"",10,"")</x:f>
      </x:c>
      <x:c r="R434" s="83" t="str">
        <x:f>IF($B434&lt;&gt;"",Ayarlar!$B$10,"")</x:f>
      </x:c>
      <x:c r="S434" s="83" t="str">
        <x:f>IF($B434&lt;&gt;"",0,"")</x:f>
      </x:c>
      <x:c r="T434" s="83" t="n">
        <x:f>IFERROR(($K434+$O434)*XLOOKUP($G434,Ayarlar!$A$19:$A$28,Ayarlar!$C$19:$C$28,0)*(1+Ayarlar!$B$11),0)</x:f>
        <x:v>0</x:v>
      </x:c>
      <x:c r="U434" s="83" t="n">
        <x:f>IFERROR($N434/60*Ayarlar!$B$8,0)</x:f>
        <x:v>0</x:v>
      </x:c>
      <x:c r="V434" s="83" t="n">
        <x:f>IF($B434&lt;&gt;"",Ayarlar!$B$12+($Q434/60*Ayarlar!$B$9),0)</x:f>
        <x:v>0</x:v>
      </x:c>
      <x:c r="W434" s="83" t="n">
        <x:f>IF($B434&lt;&gt;"",SUM($T434:$V434,$R434:$S434),0)</x:f>
        <x:v>0</x:v>
      </x:c>
      <x:c r="X434" s="83" t="n">
        <x:f>IF($B434&lt;&gt;"",$W434*Ayarlar!$B$15,0)</x:f>
        <x:v>0</x:v>
      </x:c>
      <x:c r="Y434" s="83" t="n">
        <x:f>IF($B434&lt;&gt;"",($W434+$X434)*Ayarlar!$B$13,0)</x:f>
        <x:v>0</x:v>
      </x:c>
      <x:c r="Z434" s="83" t="n">
        <x:f>IF($B434&lt;&gt;"",($W434+$X434+$Y434)*Ayarlar!$B$14,0)</x:f>
        <x:v>0</x:v>
      </x:c>
      <x:c r="AA434" s="83" t="str">
        <x:f>IF($B434="","",IF(OR($K434="",$N434=""),"",CEILING($W434+$X434+$Y434+$Z434,Ayarlar!$B$16)))</x:f>
      </x:c>
      <x:c r="AB434" s="83" t="str">
        <x:f>IFERROR($AA434/$H434,"")</x:f>
      </x:c>
      <x:c r="AC434" s="75" t="str">
        <x:f>IF($B434="","",IF(OR($K434="",$N434=""),"Veri Eksik","Fiyat Hazır"))</x:f>
      </x:c>
      <x:c r="AD434" s="75" t="str">
        <x:f>IF($C434&lt;&gt;"","MW-"&amp;$C434,"")</x:f>
        <x:v>MW-80</x:v>
      </x:c>
      <x:c r="AE434" s="75" t="str">
        <x:f>IF($G434&lt;&gt;"","3D Baskı / "&amp;$G434,"3D Baskı")</x:f>
        <x:v>3D Baskı</x:v>
      </x:c>
      <x:c r="AF434" s="75" t="str">
        <x:f>IF($D434&lt;&gt;"",$D434&amp;" - "&amp;$G434,$AD434&amp;" - "&amp;$G434)</x:f>
        <x:v>MW-80 - </x:v>
      </x:c>
      <x:c r="AG434" s="75" t="str"/>
    </x:row>
    <x:row r="435">
      <x:c r="A435" s="75" t="str">
        <x:f>IF($B435&lt;&gt;"",ROW()-4,"")</x:f>
      </x:c>
      <x:c r="B435" s="75" t="str"/>
      <x:c r="C435" s="75" t="n">
        <x:f>IFERROR(LET(x,MID($B435,FIND("/models/",$B435)+8,80),y,LEFT(x,FIND("-",x&amp;"-")-1),LEFT(y,FIND("?",y&amp;"?")-1)),"")</x:f>
        <x:v>80</x:v>
      </x:c>
      <x:c r="D435" s="75" t="str">
        <x:f>IF($B435="","",IFERROR(XLOOKUP($C435,MakerWorld_Verileri!$A:$A,MakerWorld_Verileri!$B:$B,""),""))</x:f>
      </x:c>
      <x:c r="E435" s="75" t="str">
        <x:f>IF($B435="","",IFERROR(XLOOKUP($C435,MakerWorld_Verileri!$A:$A,MakerWorld_Verileri!$C:$C,""),""))</x:f>
      </x:c>
      <x:c r="F435" s="75" t="str"/>
      <x:c r="G435" s="75" t="str">
        <x:f>IF($B435&lt;&gt;"",Ayarlar!$B$7,"")</x:f>
      </x:c>
      <x:c r="H435" s="82" t="str">
        <x:f>IF($B435&lt;&gt;"",1,"")</x:f>
      </x:c>
      <x:c r="I435" s="82" t="str">
        <x:f>IF($B435="","",IFERROR(XLOOKUP($C435,MakerWorld_Verileri!$A:$A,MakerWorld_Verileri!$D:$D,""),""))</x:f>
      </x:c>
      <x:c r="J435" s="82" t="str"/>
      <x:c r="K435" s="82" t="str">
        <x:f>IF($I435&lt;&gt;"",$I435,$J435)</x:f>
      </x:c>
      <x:c r="L435" s="82" t="str">
        <x:f>IF($B435="","",IFERROR(XLOOKUP($C435,MakerWorld_Verileri!$A:$A,MakerWorld_Verileri!$E:$E,""),""))</x:f>
      </x:c>
      <x:c r="M435" s="82" t="str"/>
      <x:c r="N435" s="82" t="str">
        <x:f>IF($L435&lt;&gt;"",$L435,$M435)</x:f>
      </x:c>
      <x:c r="O435" s="82" t="str">
        <x:f>IF($B435&lt;&gt;"",0,"")</x:f>
      </x:c>
      <x:c r="P435" s="75" t="str">
        <x:f>IF($B435&lt;&gt;"","Orta","")</x:f>
      </x:c>
      <x:c r="Q435" s="82" t="str">
        <x:f>IF($B435&lt;&gt;"",10,"")</x:f>
      </x:c>
      <x:c r="R435" s="83" t="str">
        <x:f>IF($B435&lt;&gt;"",Ayarlar!$B$10,"")</x:f>
      </x:c>
      <x:c r="S435" s="83" t="str">
        <x:f>IF($B435&lt;&gt;"",0,"")</x:f>
      </x:c>
      <x:c r="T435" s="83" t="n">
        <x:f>IFERROR(($K435+$O435)*XLOOKUP($G435,Ayarlar!$A$19:$A$28,Ayarlar!$C$19:$C$28,0)*(1+Ayarlar!$B$11),0)</x:f>
        <x:v>0</x:v>
      </x:c>
      <x:c r="U435" s="83" t="n">
        <x:f>IFERROR($N435/60*Ayarlar!$B$8,0)</x:f>
        <x:v>0</x:v>
      </x:c>
      <x:c r="V435" s="83" t="n">
        <x:f>IF($B435&lt;&gt;"",Ayarlar!$B$12+($Q435/60*Ayarlar!$B$9),0)</x:f>
        <x:v>0</x:v>
      </x:c>
      <x:c r="W435" s="83" t="n">
        <x:f>IF($B435&lt;&gt;"",SUM($T435:$V435,$R435:$S435),0)</x:f>
        <x:v>0</x:v>
      </x:c>
      <x:c r="X435" s="83" t="n">
        <x:f>IF($B435&lt;&gt;"",$W435*Ayarlar!$B$15,0)</x:f>
        <x:v>0</x:v>
      </x:c>
      <x:c r="Y435" s="83" t="n">
        <x:f>IF($B435&lt;&gt;"",($W435+$X435)*Ayarlar!$B$13,0)</x:f>
        <x:v>0</x:v>
      </x:c>
      <x:c r="Z435" s="83" t="n">
        <x:f>IF($B435&lt;&gt;"",($W435+$X435+$Y435)*Ayarlar!$B$14,0)</x:f>
        <x:v>0</x:v>
      </x:c>
      <x:c r="AA435" s="83" t="str">
        <x:f>IF($B435="","",IF(OR($K435="",$N435=""),"",CEILING($W435+$X435+$Y435+$Z435,Ayarlar!$B$16)))</x:f>
      </x:c>
      <x:c r="AB435" s="83" t="str">
        <x:f>IFERROR($AA435/$H435,"")</x:f>
      </x:c>
      <x:c r="AC435" s="75" t="str">
        <x:f>IF($B435="","",IF(OR($K435="",$N435=""),"Veri Eksik","Fiyat Hazır"))</x:f>
      </x:c>
      <x:c r="AD435" s="75" t="str">
        <x:f>IF($C435&lt;&gt;"","MW-"&amp;$C435,"")</x:f>
        <x:v>MW-80</x:v>
      </x:c>
      <x:c r="AE435" s="75" t="str">
        <x:f>IF($G435&lt;&gt;"","3D Baskı / "&amp;$G435,"3D Baskı")</x:f>
        <x:v>3D Baskı</x:v>
      </x:c>
      <x:c r="AF435" s="75" t="str">
        <x:f>IF($D435&lt;&gt;"",$D435&amp;" - "&amp;$G435,$AD435&amp;" - "&amp;$G435)</x:f>
        <x:v>MW-80 - </x:v>
      </x:c>
      <x:c r="AG435" s="75" t="str"/>
    </x:row>
    <x:row r="436">
      <x:c r="A436" s="75" t="str">
        <x:f>IF($B436&lt;&gt;"",ROW()-4,"")</x:f>
      </x:c>
      <x:c r="B436" s="75" t="str"/>
      <x:c r="C436" s="75" t="n">
        <x:f>IFERROR(LET(x,MID($B436,FIND("/models/",$B436)+8,80),y,LEFT(x,FIND("-",x&amp;"-")-1),LEFT(y,FIND("?",y&amp;"?")-1)),"")</x:f>
        <x:v>80</x:v>
      </x:c>
      <x:c r="D436" s="75" t="str">
        <x:f>IF($B436="","",IFERROR(XLOOKUP($C436,MakerWorld_Verileri!$A:$A,MakerWorld_Verileri!$B:$B,""),""))</x:f>
      </x:c>
      <x:c r="E436" s="75" t="str">
        <x:f>IF($B436="","",IFERROR(XLOOKUP($C436,MakerWorld_Verileri!$A:$A,MakerWorld_Verileri!$C:$C,""),""))</x:f>
      </x:c>
      <x:c r="F436" s="75" t="str"/>
      <x:c r="G436" s="75" t="str">
        <x:f>IF($B436&lt;&gt;"",Ayarlar!$B$7,"")</x:f>
      </x:c>
      <x:c r="H436" s="82" t="str">
        <x:f>IF($B436&lt;&gt;"",1,"")</x:f>
      </x:c>
      <x:c r="I436" s="82" t="str">
        <x:f>IF($B436="","",IFERROR(XLOOKUP($C436,MakerWorld_Verileri!$A:$A,MakerWorld_Verileri!$D:$D,""),""))</x:f>
      </x:c>
      <x:c r="J436" s="82" t="str"/>
      <x:c r="K436" s="82" t="str">
        <x:f>IF($I436&lt;&gt;"",$I436,$J436)</x:f>
      </x:c>
      <x:c r="L436" s="82" t="str">
        <x:f>IF($B436="","",IFERROR(XLOOKUP($C436,MakerWorld_Verileri!$A:$A,MakerWorld_Verileri!$E:$E,""),""))</x:f>
      </x:c>
      <x:c r="M436" s="82" t="str"/>
      <x:c r="N436" s="82" t="str">
        <x:f>IF($L436&lt;&gt;"",$L436,$M436)</x:f>
      </x:c>
      <x:c r="O436" s="82" t="str">
        <x:f>IF($B436&lt;&gt;"",0,"")</x:f>
      </x:c>
      <x:c r="P436" s="75" t="str">
        <x:f>IF($B436&lt;&gt;"","Orta","")</x:f>
      </x:c>
      <x:c r="Q436" s="82" t="str">
        <x:f>IF($B436&lt;&gt;"",10,"")</x:f>
      </x:c>
      <x:c r="R436" s="83" t="str">
        <x:f>IF($B436&lt;&gt;"",Ayarlar!$B$10,"")</x:f>
      </x:c>
      <x:c r="S436" s="83" t="str">
        <x:f>IF($B436&lt;&gt;"",0,"")</x:f>
      </x:c>
      <x:c r="T436" s="83" t="n">
        <x:f>IFERROR(($K436+$O436)*XLOOKUP($G436,Ayarlar!$A$19:$A$28,Ayarlar!$C$19:$C$28,0)*(1+Ayarlar!$B$11),0)</x:f>
        <x:v>0</x:v>
      </x:c>
      <x:c r="U436" s="83" t="n">
        <x:f>IFERROR($N436/60*Ayarlar!$B$8,0)</x:f>
        <x:v>0</x:v>
      </x:c>
      <x:c r="V436" s="83" t="n">
        <x:f>IF($B436&lt;&gt;"",Ayarlar!$B$12+($Q436/60*Ayarlar!$B$9),0)</x:f>
        <x:v>0</x:v>
      </x:c>
      <x:c r="W436" s="83" t="n">
        <x:f>IF($B436&lt;&gt;"",SUM($T436:$V436,$R436:$S436),0)</x:f>
        <x:v>0</x:v>
      </x:c>
      <x:c r="X436" s="83" t="n">
        <x:f>IF($B436&lt;&gt;"",$W436*Ayarlar!$B$15,0)</x:f>
        <x:v>0</x:v>
      </x:c>
      <x:c r="Y436" s="83" t="n">
        <x:f>IF($B436&lt;&gt;"",($W436+$X436)*Ayarlar!$B$13,0)</x:f>
        <x:v>0</x:v>
      </x:c>
      <x:c r="Z436" s="83" t="n">
        <x:f>IF($B436&lt;&gt;"",($W436+$X436+$Y436)*Ayarlar!$B$14,0)</x:f>
        <x:v>0</x:v>
      </x:c>
      <x:c r="AA436" s="83" t="str">
        <x:f>IF($B436="","",IF(OR($K436="",$N436=""),"",CEILING($W436+$X436+$Y436+$Z436,Ayarlar!$B$16)))</x:f>
      </x:c>
      <x:c r="AB436" s="83" t="str">
        <x:f>IFERROR($AA436/$H436,"")</x:f>
      </x:c>
      <x:c r="AC436" s="75" t="str">
        <x:f>IF($B436="","",IF(OR($K436="",$N436=""),"Veri Eksik","Fiyat Hazır"))</x:f>
      </x:c>
      <x:c r="AD436" s="75" t="str">
        <x:f>IF($C436&lt;&gt;"","MW-"&amp;$C436,"")</x:f>
        <x:v>MW-80</x:v>
      </x:c>
      <x:c r="AE436" s="75" t="str">
        <x:f>IF($G436&lt;&gt;"","3D Baskı / "&amp;$G436,"3D Baskı")</x:f>
        <x:v>3D Baskı</x:v>
      </x:c>
      <x:c r="AF436" s="75" t="str">
        <x:f>IF($D436&lt;&gt;"",$D436&amp;" - "&amp;$G436,$AD436&amp;" - "&amp;$G436)</x:f>
        <x:v>MW-80 - </x:v>
      </x:c>
      <x:c r="AG436" s="75" t="str"/>
    </x:row>
    <x:row r="437">
      <x:c r="A437" s="75" t="str">
        <x:f>IF($B437&lt;&gt;"",ROW()-4,"")</x:f>
      </x:c>
      <x:c r="B437" s="75" t="str"/>
      <x:c r="C437" s="75" t="n">
        <x:f>IFERROR(LET(x,MID($B437,FIND("/models/",$B437)+8,80),y,LEFT(x,FIND("-",x&amp;"-")-1),LEFT(y,FIND("?",y&amp;"?")-1)),"")</x:f>
        <x:v>80</x:v>
      </x:c>
      <x:c r="D437" s="75" t="str">
        <x:f>IF($B437="","",IFERROR(XLOOKUP($C437,MakerWorld_Verileri!$A:$A,MakerWorld_Verileri!$B:$B,""),""))</x:f>
      </x:c>
      <x:c r="E437" s="75" t="str">
        <x:f>IF($B437="","",IFERROR(XLOOKUP($C437,MakerWorld_Verileri!$A:$A,MakerWorld_Verileri!$C:$C,""),""))</x:f>
      </x:c>
      <x:c r="F437" s="75" t="str"/>
      <x:c r="G437" s="75" t="str">
        <x:f>IF($B437&lt;&gt;"",Ayarlar!$B$7,"")</x:f>
      </x:c>
      <x:c r="H437" s="82" t="str">
        <x:f>IF($B437&lt;&gt;"",1,"")</x:f>
      </x:c>
      <x:c r="I437" s="82" t="str">
        <x:f>IF($B437="","",IFERROR(XLOOKUP($C437,MakerWorld_Verileri!$A:$A,MakerWorld_Verileri!$D:$D,""),""))</x:f>
      </x:c>
      <x:c r="J437" s="82" t="str"/>
      <x:c r="K437" s="82" t="str">
        <x:f>IF($I437&lt;&gt;"",$I437,$J437)</x:f>
      </x:c>
      <x:c r="L437" s="82" t="str">
        <x:f>IF($B437="","",IFERROR(XLOOKUP($C437,MakerWorld_Verileri!$A:$A,MakerWorld_Verileri!$E:$E,""),""))</x:f>
      </x:c>
      <x:c r="M437" s="82" t="str"/>
      <x:c r="N437" s="82" t="str">
        <x:f>IF($L437&lt;&gt;"",$L437,$M437)</x:f>
      </x:c>
      <x:c r="O437" s="82" t="str">
        <x:f>IF($B437&lt;&gt;"",0,"")</x:f>
      </x:c>
      <x:c r="P437" s="75" t="str">
        <x:f>IF($B437&lt;&gt;"","Orta","")</x:f>
      </x:c>
      <x:c r="Q437" s="82" t="str">
        <x:f>IF($B437&lt;&gt;"",10,"")</x:f>
      </x:c>
      <x:c r="R437" s="83" t="str">
        <x:f>IF($B437&lt;&gt;"",Ayarlar!$B$10,"")</x:f>
      </x:c>
      <x:c r="S437" s="83" t="str">
        <x:f>IF($B437&lt;&gt;"",0,"")</x:f>
      </x:c>
      <x:c r="T437" s="83" t="n">
        <x:f>IFERROR(($K437+$O437)*XLOOKUP($G437,Ayarlar!$A$19:$A$28,Ayarlar!$C$19:$C$28,0)*(1+Ayarlar!$B$11),0)</x:f>
        <x:v>0</x:v>
      </x:c>
      <x:c r="U437" s="83" t="n">
        <x:f>IFERROR($N437/60*Ayarlar!$B$8,0)</x:f>
        <x:v>0</x:v>
      </x:c>
      <x:c r="V437" s="83" t="n">
        <x:f>IF($B437&lt;&gt;"",Ayarlar!$B$12+($Q437/60*Ayarlar!$B$9),0)</x:f>
        <x:v>0</x:v>
      </x:c>
      <x:c r="W437" s="83" t="n">
        <x:f>IF($B437&lt;&gt;"",SUM($T437:$V437,$R437:$S437),0)</x:f>
        <x:v>0</x:v>
      </x:c>
      <x:c r="X437" s="83" t="n">
        <x:f>IF($B437&lt;&gt;"",$W437*Ayarlar!$B$15,0)</x:f>
        <x:v>0</x:v>
      </x:c>
      <x:c r="Y437" s="83" t="n">
        <x:f>IF($B437&lt;&gt;"",($W437+$X437)*Ayarlar!$B$13,0)</x:f>
        <x:v>0</x:v>
      </x:c>
      <x:c r="Z437" s="83" t="n">
        <x:f>IF($B437&lt;&gt;"",($W437+$X437+$Y437)*Ayarlar!$B$14,0)</x:f>
        <x:v>0</x:v>
      </x:c>
      <x:c r="AA437" s="83" t="str">
        <x:f>IF($B437="","",IF(OR($K437="",$N437=""),"",CEILING($W437+$X437+$Y437+$Z437,Ayarlar!$B$16)))</x:f>
      </x:c>
      <x:c r="AB437" s="83" t="str">
        <x:f>IFERROR($AA437/$H437,"")</x:f>
      </x:c>
      <x:c r="AC437" s="75" t="str">
        <x:f>IF($B437="","",IF(OR($K437="",$N437=""),"Veri Eksik","Fiyat Hazır"))</x:f>
      </x:c>
      <x:c r="AD437" s="75" t="str">
        <x:f>IF($C437&lt;&gt;"","MW-"&amp;$C437,"")</x:f>
        <x:v>MW-80</x:v>
      </x:c>
      <x:c r="AE437" s="75" t="str">
        <x:f>IF($G437&lt;&gt;"","3D Baskı / "&amp;$G437,"3D Baskı")</x:f>
        <x:v>3D Baskı</x:v>
      </x:c>
      <x:c r="AF437" s="75" t="str">
        <x:f>IF($D437&lt;&gt;"",$D437&amp;" - "&amp;$G437,$AD437&amp;" - "&amp;$G437)</x:f>
        <x:v>MW-80 - </x:v>
      </x:c>
      <x:c r="AG437" s="75" t="str"/>
    </x:row>
    <x:row r="438">
      <x:c r="A438" s="75" t="str">
        <x:f>IF($B438&lt;&gt;"",ROW()-4,"")</x:f>
      </x:c>
      <x:c r="B438" s="75" t="str"/>
      <x:c r="C438" s="75" t="n">
        <x:f>IFERROR(LET(x,MID($B438,FIND("/models/",$B438)+8,80),y,LEFT(x,FIND("-",x&amp;"-")-1),LEFT(y,FIND("?",y&amp;"?")-1)),"")</x:f>
        <x:v>80</x:v>
      </x:c>
      <x:c r="D438" s="75" t="str">
        <x:f>IF($B438="","",IFERROR(XLOOKUP($C438,MakerWorld_Verileri!$A:$A,MakerWorld_Verileri!$B:$B,""),""))</x:f>
      </x:c>
      <x:c r="E438" s="75" t="str">
        <x:f>IF($B438="","",IFERROR(XLOOKUP($C438,MakerWorld_Verileri!$A:$A,MakerWorld_Verileri!$C:$C,""),""))</x:f>
      </x:c>
      <x:c r="F438" s="75" t="str"/>
      <x:c r="G438" s="75" t="str">
        <x:f>IF($B438&lt;&gt;"",Ayarlar!$B$7,"")</x:f>
      </x:c>
      <x:c r="H438" s="82" t="str">
        <x:f>IF($B438&lt;&gt;"",1,"")</x:f>
      </x:c>
      <x:c r="I438" s="82" t="str">
        <x:f>IF($B438="","",IFERROR(XLOOKUP($C438,MakerWorld_Verileri!$A:$A,MakerWorld_Verileri!$D:$D,""),""))</x:f>
      </x:c>
      <x:c r="J438" s="82" t="str"/>
      <x:c r="K438" s="82" t="str">
        <x:f>IF($I438&lt;&gt;"",$I438,$J438)</x:f>
      </x:c>
      <x:c r="L438" s="82" t="str">
        <x:f>IF($B438="","",IFERROR(XLOOKUP($C438,MakerWorld_Verileri!$A:$A,MakerWorld_Verileri!$E:$E,""),""))</x:f>
      </x:c>
      <x:c r="M438" s="82" t="str"/>
      <x:c r="N438" s="82" t="str">
        <x:f>IF($L438&lt;&gt;"",$L438,$M438)</x:f>
      </x:c>
      <x:c r="O438" s="82" t="str">
        <x:f>IF($B438&lt;&gt;"",0,"")</x:f>
      </x:c>
      <x:c r="P438" s="75" t="str">
        <x:f>IF($B438&lt;&gt;"","Orta","")</x:f>
      </x:c>
      <x:c r="Q438" s="82" t="str">
        <x:f>IF($B438&lt;&gt;"",10,"")</x:f>
      </x:c>
      <x:c r="R438" s="83" t="str">
        <x:f>IF($B438&lt;&gt;"",Ayarlar!$B$10,"")</x:f>
      </x:c>
      <x:c r="S438" s="83" t="str">
        <x:f>IF($B438&lt;&gt;"",0,"")</x:f>
      </x:c>
      <x:c r="T438" s="83" t="n">
        <x:f>IFERROR(($K438+$O438)*XLOOKUP($G438,Ayarlar!$A$19:$A$28,Ayarlar!$C$19:$C$28,0)*(1+Ayarlar!$B$11),0)</x:f>
        <x:v>0</x:v>
      </x:c>
      <x:c r="U438" s="83" t="n">
        <x:f>IFERROR($N438/60*Ayarlar!$B$8,0)</x:f>
        <x:v>0</x:v>
      </x:c>
      <x:c r="V438" s="83" t="n">
        <x:f>IF($B438&lt;&gt;"",Ayarlar!$B$12+($Q438/60*Ayarlar!$B$9),0)</x:f>
        <x:v>0</x:v>
      </x:c>
      <x:c r="W438" s="83" t="n">
        <x:f>IF($B438&lt;&gt;"",SUM($T438:$V438,$R438:$S438),0)</x:f>
        <x:v>0</x:v>
      </x:c>
      <x:c r="X438" s="83" t="n">
        <x:f>IF($B438&lt;&gt;"",$W438*Ayarlar!$B$15,0)</x:f>
        <x:v>0</x:v>
      </x:c>
      <x:c r="Y438" s="83" t="n">
        <x:f>IF($B438&lt;&gt;"",($W438+$X438)*Ayarlar!$B$13,0)</x:f>
        <x:v>0</x:v>
      </x:c>
      <x:c r="Z438" s="83" t="n">
        <x:f>IF($B438&lt;&gt;"",($W438+$X438+$Y438)*Ayarlar!$B$14,0)</x:f>
        <x:v>0</x:v>
      </x:c>
      <x:c r="AA438" s="83" t="str">
        <x:f>IF($B438="","",IF(OR($K438="",$N438=""),"",CEILING($W438+$X438+$Y438+$Z438,Ayarlar!$B$16)))</x:f>
      </x:c>
      <x:c r="AB438" s="83" t="str">
        <x:f>IFERROR($AA438/$H438,"")</x:f>
      </x:c>
      <x:c r="AC438" s="75" t="str">
        <x:f>IF($B438="","",IF(OR($K438="",$N438=""),"Veri Eksik","Fiyat Hazır"))</x:f>
      </x:c>
      <x:c r="AD438" s="75" t="str">
        <x:f>IF($C438&lt;&gt;"","MW-"&amp;$C438,"")</x:f>
        <x:v>MW-80</x:v>
      </x:c>
      <x:c r="AE438" s="75" t="str">
        <x:f>IF($G438&lt;&gt;"","3D Baskı / "&amp;$G438,"3D Baskı")</x:f>
        <x:v>3D Baskı</x:v>
      </x:c>
      <x:c r="AF438" s="75" t="str">
        <x:f>IF($D438&lt;&gt;"",$D438&amp;" - "&amp;$G438,$AD438&amp;" - "&amp;$G438)</x:f>
        <x:v>MW-80 - </x:v>
      </x:c>
      <x:c r="AG438" s="75" t="str"/>
    </x:row>
    <x:row r="439">
      <x:c r="A439" s="75" t="str">
        <x:f>IF($B439&lt;&gt;"",ROW()-4,"")</x:f>
      </x:c>
      <x:c r="B439" s="75" t="str"/>
      <x:c r="C439" s="75" t="n">
        <x:f>IFERROR(LET(x,MID($B439,FIND("/models/",$B439)+8,80),y,LEFT(x,FIND("-",x&amp;"-")-1),LEFT(y,FIND("?",y&amp;"?")-1)),"")</x:f>
        <x:v>80</x:v>
      </x:c>
      <x:c r="D439" s="75" t="str">
        <x:f>IF($B439="","",IFERROR(XLOOKUP($C439,MakerWorld_Verileri!$A:$A,MakerWorld_Verileri!$B:$B,""),""))</x:f>
      </x:c>
      <x:c r="E439" s="75" t="str">
        <x:f>IF($B439="","",IFERROR(XLOOKUP($C439,MakerWorld_Verileri!$A:$A,MakerWorld_Verileri!$C:$C,""),""))</x:f>
      </x:c>
      <x:c r="F439" s="75" t="str"/>
      <x:c r="G439" s="75" t="str">
        <x:f>IF($B439&lt;&gt;"",Ayarlar!$B$7,"")</x:f>
      </x:c>
      <x:c r="H439" s="82" t="str">
        <x:f>IF($B439&lt;&gt;"",1,"")</x:f>
      </x:c>
      <x:c r="I439" s="82" t="str">
        <x:f>IF($B439="","",IFERROR(XLOOKUP($C439,MakerWorld_Verileri!$A:$A,MakerWorld_Verileri!$D:$D,""),""))</x:f>
      </x:c>
      <x:c r="J439" s="82" t="str"/>
      <x:c r="K439" s="82" t="str">
        <x:f>IF($I439&lt;&gt;"",$I439,$J439)</x:f>
      </x:c>
      <x:c r="L439" s="82" t="str">
        <x:f>IF($B439="","",IFERROR(XLOOKUP($C439,MakerWorld_Verileri!$A:$A,MakerWorld_Verileri!$E:$E,""),""))</x:f>
      </x:c>
      <x:c r="M439" s="82" t="str"/>
      <x:c r="N439" s="82" t="str">
        <x:f>IF($L439&lt;&gt;"",$L439,$M439)</x:f>
      </x:c>
      <x:c r="O439" s="82" t="str">
        <x:f>IF($B439&lt;&gt;"",0,"")</x:f>
      </x:c>
      <x:c r="P439" s="75" t="str">
        <x:f>IF($B439&lt;&gt;"","Orta","")</x:f>
      </x:c>
      <x:c r="Q439" s="82" t="str">
        <x:f>IF($B439&lt;&gt;"",10,"")</x:f>
      </x:c>
      <x:c r="R439" s="83" t="str">
        <x:f>IF($B439&lt;&gt;"",Ayarlar!$B$10,"")</x:f>
      </x:c>
      <x:c r="S439" s="83" t="str">
        <x:f>IF($B439&lt;&gt;"",0,"")</x:f>
      </x:c>
      <x:c r="T439" s="83" t="n">
        <x:f>IFERROR(($K439+$O439)*XLOOKUP($G439,Ayarlar!$A$19:$A$28,Ayarlar!$C$19:$C$28,0)*(1+Ayarlar!$B$11),0)</x:f>
        <x:v>0</x:v>
      </x:c>
      <x:c r="U439" s="83" t="n">
        <x:f>IFERROR($N439/60*Ayarlar!$B$8,0)</x:f>
        <x:v>0</x:v>
      </x:c>
      <x:c r="V439" s="83" t="n">
        <x:f>IF($B439&lt;&gt;"",Ayarlar!$B$12+($Q439/60*Ayarlar!$B$9),0)</x:f>
        <x:v>0</x:v>
      </x:c>
      <x:c r="W439" s="83" t="n">
        <x:f>IF($B439&lt;&gt;"",SUM($T439:$V439,$R439:$S439),0)</x:f>
        <x:v>0</x:v>
      </x:c>
      <x:c r="X439" s="83" t="n">
        <x:f>IF($B439&lt;&gt;"",$W439*Ayarlar!$B$15,0)</x:f>
        <x:v>0</x:v>
      </x:c>
      <x:c r="Y439" s="83" t="n">
        <x:f>IF($B439&lt;&gt;"",($W439+$X439)*Ayarlar!$B$13,0)</x:f>
        <x:v>0</x:v>
      </x:c>
      <x:c r="Z439" s="83" t="n">
        <x:f>IF($B439&lt;&gt;"",($W439+$X439+$Y439)*Ayarlar!$B$14,0)</x:f>
        <x:v>0</x:v>
      </x:c>
      <x:c r="AA439" s="83" t="str">
        <x:f>IF($B439="","",IF(OR($K439="",$N439=""),"",CEILING($W439+$X439+$Y439+$Z439,Ayarlar!$B$16)))</x:f>
      </x:c>
      <x:c r="AB439" s="83" t="str">
        <x:f>IFERROR($AA439/$H439,"")</x:f>
      </x:c>
      <x:c r="AC439" s="75" t="str">
        <x:f>IF($B439="","",IF(OR($K439="",$N439=""),"Veri Eksik","Fiyat Hazır"))</x:f>
      </x:c>
      <x:c r="AD439" s="75" t="str">
        <x:f>IF($C439&lt;&gt;"","MW-"&amp;$C439,"")</x:f>
        <x:v>MW-80</x:v>
      </x:c>
      <x:c r="AE439" s="75" t="str">
        <x:f>IF($G439&lt;&gt;"","3D Baskı / "&amp;$G439,"3D Baskı")</x:f>
        <x:v>3D Baskı</x:v>
      </x:c>
      <x:c r="AF439" s="75" t="str">
        <x:f>IF($D439&lt;&gt;"",$D439&amp;" - "&amp;$G439,$AD439&amp;" - "&amp;$G439)</x:f>
        <x:v>MW-80 - </x:v>
      </x:c>
      <x:c r="AG439" s="75" t="str"/>
    </x:row>
    <x:row r="440">
      <x:c r="A440" s="75" t="str">
        <x:f>IF($B440&lt;&gt;"",ROW()-4,"")</x:f>
      </x:c>
      <x:c r="B440" s="75" t="str"/>
      <x:c r="C440" s="75" t="n">
        <x:f>IFERROR(LET(x,MID($B440,FIND("/models/",$B440)+8,80),y,LEFT(x,FIND("-",x&amp;"-")-1),LEFT(y,FIND("?",y&amp;"?")-1)),"")</x:f>
        <x:v>80</x:v>
      </x:c>
      <x:c r="D440" s="75" t="str">
        <x:f>IF($B440="","",IFERROR(XLOOKUP($C440,MakerWorld_Verileri!$A:$A,MakerWorld_Verileri!$B:$B,""),""))</x:f>
      </x:c>
      <x:c r="E440" s="75" t="str">
        <x:f>IF($B440="","",IFERROR(XLOOKUP($C440,MakerWorld_Verileri!$A:$A,MakerWorld_Verileri!$C:$C,""),""))</x:f>
      </x:c>
      <x:c r="F440" s="75" t="str"/>
      <x:c r="G440" s="75" t="str">
        <x:f>IF($B440&lt;&gt;"",Ayarlar!$B$7,"")</x:f>
      </x:c>
      <x:c r="H440" s="82" t="str">
        <x:f>IF($B440&lt;&gt;"",1,"")</x:f>
      </x:c>
      <x:c r="I440" s="82" t="str">
        <x:f>IF($B440="","",IFERROR(XLOOKUP($C440,MakerWorld_Verileri!$A:$A,MakerWorld_Verileri!$D:$D,""),""))</x:f>
      </x:c>
      <x:c r="J440" s="82" t="str"/>
      <x:c r="K440" s="82" t="str">
        <x:f>IF($I440&lt;&gt;"",$I440,$J440)</x:f>
      </x:c>
      <x:c r="L440" s="82" t="str">
        <x:f>IF($B440="","",IFERROR(XLOOKUP($C440,MakerWorld_Verileri!$A:$A,MakerWorld_Verileri!$E:$E,""),""))</x:f>
      </x:c>
      <x:c r="M440" s="82" t="str"/>
      <x:c r="N440" s="82" t="str">
        <x:f>IF($L440&lt;&gt;"",$L440,$M440)</x:f>
      </x:c>
      <x:c r="O440" s="82" t="str">
        <x:f>IF($B440&lt;&gt;"",0,"")</x:f>
      </x:c>
      <x:c r="P440" s="75" t="str">
        <x:f>IF($B440&lt;&gt;"","Orta","")</x:f>
      </x:c>
      <x:c r="Q440" s="82" t="str">
        <x:f>IF($B440&lt;&gt;"",10,"")</x:f>
      </x:c>
      <x:c r="R440" s="83" t="str">
        <x:f>IF($B440&lt;&gt;"",Ayarlar!$B$10,"")</x:f>
      </x:c>
      <x:c r="S440" s="83" t="str">
        <x:f>IF($B440&lt;&gt;"",0,"")</x:f>
      </x:c>
      <x:c r="T440" s="83" t="n">
        <x:f>IFERROR(($K440+$O440)*XLOOKUP($G440,Ayarlar!$A$19:$A$28,Ayarlar!$C$19:$C$28,0)*(1+Ayarlar!$B$11),0)</x:f>
        <x:v>0</x:v>
      </x:c>
      <x:c r="U440" s="83" t="n">
        <x:f>IFERROR($N440/60*Ayarlar!$B$8,0)</x:f>
        <x:v>0</x:v>
      </x:c>
      <x:c r="V440" s="83" t="n">
        <x:f>IF($B440&lt;&gt;"",Ayarlar!$B$12+($Q440/60*Ayarlar!$B$9),0)</x:f>
        <x:v>0</x:v>
      </x:c>
      <x:c r="W440" s="83" t="n">
        <x:f>IF($B440&lt;&gt;"",SUM($T440:$V440,$R440:$S440),0)</x:f>
        <x:v>0</x:v>
      </x:c>
      <x:c r="X440" s="83" t="n">
        <x:f>IF($B440&lt;&gt;"",$W440*Ayarlar!$B$15,0)</x:f>
        <x:v>0</x:v>
      </x:c>
      <x:c r="Y440" s="83" t="n">
        <x:f>IF($B440&lt;&gt;"",($W440+$X440)*Ayarlar!$B$13,0)</x:f>
        <x:v>0</x:v>
      </x:c>
      <x:c r="Z440" s="83" t="n">
        <x:f>IF($B440&lt;&gt;"",($W440+$X440+$Y440)*Ayarlar!$B$14,0)</x:f>
        <x:v>0</x:v>
      </x:c>
      <x:c r="AA440" s="83" t="str">
        <x:f>IF($B440="","",IF(OR($K440="",$N440=""),"",CEILING($W440+$X440+$Y440+$Z440,Ayarlar!$B$16)))</x:f>
      </x:c>
      <x:c r="AB440" s="83" t="str">
        <x:f>IFERROR($AA440/$H440,"")</x:f>
      </x:c>
      <x:c r="AC440" s="75" t="str">
        <x:f>IF($B440="","",IF(OR($K440="",$N440=""),"Veri Eksik","Fiyat Hazır"))</x:f>
      </x:c>
      <x:c r="AD440" s="75" t="str">
        <x:f>IF($C440&lt;&gt;"","MW-"&amp;$C440,"")</x:f>
        <x:v>MW-80</x:v>
      </x:c>
      <x:c r="AE440" s="75" t="str">
        <x:f>IF($G440&lt;&gt;"","3D Baskı / "&amp;$G440,"3D Baskı")</x:f>
        <x:v>3D Baskı</x:v>
      </x:c>
      <x:c r="AF440" s="75" t="str">
        <x:f>IF($D440&lt;&gt;"",$D440&amp;" - "&amp;$G440,$AD440&amp;" - "&amp;$G440)</x:f>
        <x:v>MW-80 - </x:v>
      </x:c>
      <x:c r="AG440" s="75" t="str"/>
    </x:row>
    <x:row r="441">
      <x:c r="A441" s="75" t="str">
        <x:f>IF($B441&lt;&gt;"",ROW()-4,"")</x:f>
      </x:c>
      <x:c r="B441" s="75" t="str"/>
      <x:c r="C441" s="75" t="n">
        <x:f>IFERROR(LET(x,MID($B441,FIND("/models/",$B441)+8,80),y,LEFT(x,FIND("-",x&amp;"-")-1),LEFT(y,FIND("?",y&amp;"?")-1)),"")</x:f>
        <x:v>80</x:v>
      </x:c>
      <x:c r="D441" s="75" t="str">
        <x:f>IF($B441="","",IFERROR(XLOOKUP($C441,MakerWorld_Verileri!$A:$A,MakerWorld_Verileri!$B:$B,""),""))</x:f>
      </x:c>
      <x:c r="E441" s="75" t="str">
        <x:f>IF($B441="","",IFERROR(XLOOKUP($C441,MakerWorld_Verileri!$A:$A,MakerWorld_Verileri!$C:$C,""),""))</x:f>
      </x:c>
      <x:c r="F441" s="75" t="str"/>
      <x:c r="G441" s="75" t="str">
        <x:f>IF($B441&lt;&gt;"",Ayarlar!$B$7,"")</x:f>
      </x:c>
      <x:c r="H441" s="82" t="str">
        <x:f>IF($B441&lt;&gt;"",1,"")</x:f>
      </x:c>
      <x:c r="I441" s="82" t="str">
        <x:f>IF($B441="","",IFERROR(XLOOKUP($C441,MakerWorld_Verileri!$A:$A,MakerWorld_Verileri!$D:$D,""),""))</x:f>
      </x:c>
      <x:c r="J441" s="82" t="str"/>
      <x:c r="K441" s="82" t="str">
        <x:f>IF($I441&lt;&gt;"",$I441,$J441)</x:f>
      </x:c>
      <x:c r="L441" s="82" t="str">
        <x:f>IF($B441="","",IFERROR(XLOOKUP($C441,MakerWorld_Verileri!$A:$A,MakerWorld_Verileri!$E:$E,""),""))</x:f>
      </x:c>
      <x:c r="M441" s="82" t="str"/>
      <x:c r="N441" s="82" t="str">
        <x:f>IF($L441&lt;&gt;"",$L441,$M441)</x:f>
      </x:c>
      <x:c r="O441" s="82" t="str">
        <x:f>IF($B441&lt;&gt;"",0,"")</x:f>
      </x:c>
      <x:c r="P441" s="75" t="str">
        <x:f>IF($B441&lt;&gt;"","Orta","")</x:f>
      </x:c>
      <x:c r="Q441" s="82" t="str">
        <x:f>IF($B441&lt;&gt;"",10,"")</x:f>
      </x:c>
      <x:c r="R441" s="83" t="str">
        <x:f>IF($B441&lt;&gt;"",Ayarlar!$B$10,"")</x:f>
      </x:c>
      <x:c r="S441" s="83" t="str">
        <x:f>IF($B441&lt;&gt;"",0,"")</x:f>
      </x:c>
      <x:c r="T441" s="83" t="n">
        <x:f>IFERROR(($K441+$O441)*XLOOKUP($G441,Ayarlar!$A$19:$A$28,Ayarlar!$C$19:$C$28,0)*(1+Ayarlar!$B$11),0)</x:f>
        <x:v>0</x:v>
      </x:c>
      <x:c r="U441" s="83" t="n">
        <x:f>IFERROR($N441/60*Ayarlar!$B$8,0)</x:f>
        <x:v>0</x:v>
      </x:c>
      <x:c r="V441" s="83" t="n">
        <x:f>IF($B441&lt;&gt;"",Ayarlar!$B$12+($Q441/60*Ayarlar!$B$9),0)</x:f>
        <x:v>0</x:v>
      </x:c>
      <x:c r="W441" s="83" t="n">
        <x:f>IF($B441&lt;&gt;"",SUM($T441:$V441,$R441:$S441),0)</x:f>
        <x:v>0</x:v>
      </x:c>
      <x:c r="X441" s="83" t="n">
        <x:f>IF($B441&lt;&gt;"",$W441*Ayarlar!$B$15,0)</x:f>
        <x:v>0</x:v>
      </x:c>
      <x:c r="Y441" s="83" t="n">
        <x:f>IF($B441&lt;&gt;"",($W441+$X441)*Ayarlar!$B$13,0)</x:f>
        <x:v>0</x:v>
      </x:c>
      <x:c r="Z441" s="83" t="n">
        <x:f>IF($B441&lt;&gt;"",($W441+$X441+$Y441)*Ayarlar!$B$14,0)</x:f>
        <x:v>0</x:v>
      </x:c>
      <x:c r="AA441" s="83" t="str">
        <x:f>IF($B441="","",IF(OR($K441="",$N441=""),"",CEILING($W441+$X441+$Y441+$Z441,Ayarlar!$B$16)))</x:f>
      </x:c>
      <x:c r="AB441" s="83" t="str">
        <x:f>IFERROR($AA441/$H441,"")</x:f>
      </x:c>
      <x:c r="AC441" s="75" t="str">
        <x:f>IF($B441="","",IF(OR($K441="",$N441=""),"Veri Eksik","Fiyat Hazır"))</x:f>
      </x:c>
      <x:c r="AD441" s="75" t="str">
        <x:f>IF($C441&lt;&gt;"","MW-"&amp;$C441,"")</x:f>
        <x:v>MW-80</x:v>
      </x:c>
      <x:c r="AE441" s="75" t="str">
        <x:f>IF($G441&lt;&gt;"","3D Baskı / "&amp;$G441,"3D Baskı")</x:f>
        <x:v>3D Baskı</x:v>
      </x:c>
      <x:c r="AF441" s="75" t="str">
        <x:f>IF($D441&lt;&gt;"",$D441&amp;" - "&amp;$G441,$AD441&amp;" - "&amp;$G441)</x:f>
        <x:v>MW-80 - </x:v>
      </x:c>
      <x:c r="AG441" s="75" t="str"/>
    </x:row>
    <x:row r="442">
      <x:c r="A442" s="75" t="str">
        <x:f>IF($B442&lt;&gt;"",ROW()-4,"")</x:f>
      </x:c>
      <x:c r="B442" s="75" t="str"/>
      <x:c r="C442" s="75" t="n">
        <x:f>IFERROR(LET(x,MID($B442,FIND("/models/",$B442)+8,80),y,LEFT(x,FIND("-",x&amp;"-")-1),LEFT(y,FIND("?",y&amp;"?")-1)),"")</x:f>
        <x:v>80</x:v>
      </x:c>
      <x:c r="D442" s="75" t="str">
        <x:f>IF($B442="","",IFERROR(XLOOKUP($C442,MakerWorld_Verileri!$A:$A,MakerWorld_Verileri!$B:$B,""),""))</x:f>
      </x:c>
      <x:c r="E442" s="75" t="str">
        <x:f>IF($B442="","",IFERROR(XLOOKUP($C442,MakerWorld_Verileri!$A:$A,MakerWorld_Verileri!$C:$C,""),""))</x:f>
      </x:c>
      <x:c r="F442" s="75" t="str"/>
      <x:c r="G442" s="75" t="str">
        <x:f>IF($B442&lt;&gt;"",Ayarlar!$B$7,"")</x:f>
      </x:c>
      <x:c r="H442" s="82" t="str">
        <x:f>IF($B442&lt;&gt;"",1,"")</x:f>
      </x:c>
      <x:c r="I442" s="82" t="str">
        <x:f>IF($B442="","",IFERROR(XLOOKUP($C442,MakerWorld_Verileri!$A:$A,MakerWorld_Verileri!$D:$D,""),""))</x:f>
      </x:c>
      <x:c r="J442" s="82" t="str"/>
      <x:c r="K442" s="82" t="str">
        <x:f>IF($I442&lt;&gt;"",$I442,$J442)</x:f>
      </x:c>
      <x:c r="L442" s="82" t="str">
        <x:f>IF($B442="","",IFERROR(XLOOKUP($C442,MakerWorld_Verileri!$A:$A,MakerWorld_Verileri!$E:$E,""),""))</x:f>
      </x:c>
      <x:c r="M442" s="82" t="str"/>
      <x:c r="N442" s="82" t="str">
        <x:f>IF($L442&lt;&gt;"",$L442,$M442)</x:f>
      </x:c>
      <x:c r="O442" s="82" t="str">
        <x:f>IF($B442&lt;&gt;"",0,"")</x:f>
      </x:c>
      <x:c r="P442" s="75" t="str">
        <x:f>IF($B442&lt;&gt;"","Orta","")</x:f>
      </x:c>
      <x:c r="Q442" s="82" t="str">
        <x:f>IF($B442&lt;&gt;"",10,"")</x:f>
      </x:c>
      <x:c r="R442" s="83" t="str">
        <x:f>IF($B442&lt;&gt;"",Ayarlar!$B$10,"")</x:f>
      </x:c>
      <x:c r="S442" s="83" t="str">
        <x:f>IF($B442&lt;&gt;"",0,"")</x:f>
      </x:c>
      <x:c r="T442" s="83" t="n">
        <x:f>IFERROR(($K442+$O442)*XLOOKUP($G442,Ayarlar!$A$19:$A$28,Ayarlar!$C$19:$C$28,0)*(1+Ayarlar!$B$11),0)</x:f>
        <x:v>0</x:v>
      </x:c>
      <x:c r="U442" s="83" t="n">
        <x:f>IFERROR($N442/60*Ayarlar!$B$8,0)</x:f>
        <x:v>0</x:v>
      </x:c>
      <x:c r="V442" s="83" t="n">
        <x:f>IF($B442&lt;&gt;"",Ayarlar!$B$12+($Q442/60*Ayarlar!$B$9),0)</x:f>
        <x:v>0</x:v>
      </x:c>
      <x:c r="W442" s="83" t="n">
        <x:f>IF($B442&lt;&gt;"",SUM($T442:$V442,$R442:$S442),0)</x:f>
        <x:v>0</x:v>
      </x:c>
      <x:c r="X442" s="83" t="n">
        <x:f>IF($B442&lt;&gt;"",$W442*Ayarlar!$B$15,0)</x:f>
        <x:v>0</x:v>
      </x:c>
      <x:c r="Y442" s="83" t="n">
        <x:f>IF($B442&lt;&gt;"",($W442+$X442)*Ayarlar!$B$13,0)</x:f>
        <x:v>0</x:v>
      </x:c>
      <x:c r="Z442" s="83" t="n">
        <x:f>IF($B442&lt;&gt;"",($W442+$X442+$Y442)*Ayarlar!$B$14,0)</x:f>
        <x:v>0</x:v>
      </x:c>
      <x:c r="AA442" s="83" t="str">
        <x:f>IF($B442="","",IF(OR($K442="",$N442=""),"",CEILING($W442+$X442+$Y442+$Z442,Ayarlar!$B$16)))</x:f>
      </x:c>
      <x:c r="AB442" s="83" t="str">
        <x:f>IFERROR($AA442/$H442,"")</x:f>
      </x:c>
      <x:c r="AC442" s="75" t="str">
        <x:f>IF($B442="","",IF(OR($K442="",$N442=""),"Veri Eksik","Fiyat Hazır"))</x:f>
      </x:c>
      <x:c r="AD442" s="75" t="str">
        <x:f>IF($C442&lt;&gt;"","MW-"&amp;$C442,"")</x:f>
        <x:v>MW-80</x:v>
      </x:c>
      <x:c r="AE442" s="75" t="str">
        <x:f>IF($G442&lt;&gt;"","3D Baskı / "&amp;$G442,"3D Baskı")</x:f>
        <x:v>3D Baskı</x:v>
      </x:c>
      <x:c r="AF442" s="75" t="str">
        <x:f>IF($D442&lt;&gt;"",$D442&amp;" - "&amp;$G442,$AD442&amp;" - "&amp;$G442)</x:f>
        <x:v>MW-80 - </x:v>
      </x:c>
      <x:c r="AG442" s="75" t="str"/>
    </x:row>
    <x:row r="443">
      <x:c r="A443" s="75" t="str">
        <x:f>IF($B443&lt;&gt;"",ROW()-4,"")</x:f>
      </x:c>
      <x:c r="B443" s="75" t="str"/>
      <x:c r="C443" s="75" t="n">
        <x:f>IFERROR(LET(x,MID($B443,FIND("/models/",$B443)+8,80),y,LEFT(x,FIND("-",x&amp;"-")-1),LEFT(y,FIND("?",y&amp;"?")-1)),"")</x:f>
        <x:v>80</x:v>
      </x:c>
      <x:c r="D443" s="75" t="str">
        <x:f>IF($B443="","",IFERROR(XLOOKUP($C443,MakerWorld_Verileri!$A:$A,MakerWorld_Verileri!$B:$B,""),""))</x:f>
      </x:c>
      <x:c r="E443" s="75" t="str">
        <x:f>IF($B443="","",IFERROR(XLOOKUP($C443,MakerWorld_Verileri!$A:$A,MakerWorld_Verileri!$C:$C,""),""))</x:f>
      </x:c>
      <x:c r="F443" s="75" t="str"/>
      <x:c r="G443" s="75" t="str">
        <x:f>IF($B443&lt;&gt;"",Ayarlar!$B$7,"")</x:f>
      </x:c>
      <x:c r="H443" s="82" t="str">
        <x:f>IF($B443&lt;&gt;"",1,"")</x:f>
      </x:c>
      <x:c r="I443" s="82" t="str">
        <x:f>IF($B443="","",IFERROR(XLOOKUP($C443,MakerWorld_Verileri!$A:$A,MakerWorld_Verileri!$D:$D,""),""))</x:f>
      </x:c>
      <x:c r="J443" s="82" t="str"/>
      <x:c r="K443" s="82" t="str">
        <x:f>IF($I443&lt;&gt;"",$I443,$J443)</x:f>
      </x:c>
      <x:c r="L443" s="82" t="str">
        <x:f>IF($B443="","",IFERROR(XLOOKUP($C443,MakerWorld_Verileri!$A:$A,MakerWorld_Verileri!$E:$E,""),""))</x:f>
      </x:c>
      <x:c r="M443" s="82" t="str"/>
      <x:c r="N443" s="82" t="str">
        <x:f>IF($L443&lt;&gt;"",$L443,$M443)</x:f>
      </x:c>
      <x:c r="O443" s="82" t="str">
        <x:f>IF($B443&lt;&gt;"",0,"")</x:f>
      </x:c>
      <x:c r="P443" s="75" t="str">
        <x:f>IF($B443&lt;&gt;"","Orta","")</x:f>
      </x:c>
      <x:c r="Q443" s="82" t="str">
        <x:f>IF($B443&lt;&gt;"",10,"")</x:f>
      </x:c>
      <x:c r="R443" s="83" t="str">
        <x:f>IF($B443&lt;&gt;"",Ayarlar!$B$10,"")</x:f>
      </x:c>
      <x:c r="S443" s="83" t="str">
        <x:f>IF($B443&lt;&gt;"",0,"")</x:f>
      </x:c>
      <x:c r="T443" s="83" t="n">
        <x:f>IFERROR(($K443+$O443)*XLOOKUP($G443,Ayarlar!$A$19:$A$28,Ayarlar!$C$19:$C$28,0)*(1+Ayarlar!$B$11),0)</x:f>
        <x:v>0</x:v>
      </x:c>
      <x:c r="U443" s="83" t="n">
        <x:f>IFERROR($N443/60*Ayarlar!$B$8,0)</x:f>
        <x:v>0</x:v>
      </x:c>
      <x:c r="V443" s="83" t="n">
        <x:f>IF($B443&lt;&gt;"",Ayarlar!$B$12+($Q443/60*Ayarlar!$B$9),0)</x:f>
        <x:v>0</x:v>
      </x:c>
      <x:c r="W443" s="83" t="n">
        <x:f>IF($B443&lt;&gt;"",SUM($T443:$V443,$R443:$S443),0)</x:f>
        <x:v>0</x:v>
      </x:c>
      <x:c r="X443" s="83" t="n">
        <x:f>IF($B443&lt;&gt;"",$W443*Ayarlar!$B$15,0)</x:f>
        <x:v>0</x:v>
      </x:c>
      <x:c r="Y443" s="83" t="n">
        <x:f>IF($B443&lt;&gt;"",($W443+$X443)*Ayarlar!$B$13,0)</x:f>
        <x:v>0</x:v>
      </x:c>
      <x:c r="Z443" s="83" t="n">
        <x:f>IF($B443&lt;&gt;"",($W443+$X443+$Y443)*Ayarlar!$B$14,0)</x:f>
        <x:v>0</x:v>
      </x:c>
      <x:c r="AA443" s="83" t="str">
        <x:f>IF($B443="","",IF(OR($K443="",$N443=""),"",CEILING($W443+$X443+$Y443+$Z443,Ayarlar!$B$16)))</x:f>
      </x:c>
      <x:c r="AB443" s="83" t="str">
        <x:f>IFERROR($AA443/$H443,"")</x:f>
      </x:c>
      <x:c r="AC443" s="75" t="str">
        <x:f>IF($B443="","",IF(OR($K443="",$N443=""),"Veri Eksik","Fiyat Hazır"))</x:f>
      </x:c>
      <x:c r="AD443" s="75" t="str">
        <x:f>IF($C443&lt;&gt;"","MW-"&amp;$C443,"")</x:f>
        <x:v>MW-80</x:v>
      </x:c>
      <x:c r="AE443" s="75" t="str">
        <x:f>IF($G443&lt;&gt;"","3D Baskı / "&amp;$G443,"3D Baskı")</x:f>
        <x:v>3D Baskı</x:v>
      </x:c>
      <x:c r="AF443" s="75" t="str">
        <x:f>IF($D443&lt;&gt;"",$D443&amp;" - "&amp;$G443,$AD443&amp;" - "&amp;$G443)</x:f>
        <x:v>MW-80 - </x:v>
      </x:c>
      <x:c r="AG443" s="75" t="str"/>
    </x:row>
    <x:row r="444">
      <x:c r="A444" s="75" t="str">
        <x:f>IF($B444&lt;&gt;"",ROW()-4,"")</x:f>
      </x:c>
      <x:c r="B444" s="75" t="str"/>
      <x:c r="C444" s="75" t="n">
        <x:f>IFERROR(LET(x,MID($B444,FIND("/models/",$B444)+8,80),y,LEFT(x,FIND("-",x&amp;"-")-1),LEFT(y,FIND("?",y&amp;"?")-1)),"")</x:f>
        <x:v>80</x:v>
      </x:c>
      <x:c r="D444" s="75" t="str">
        <x:f>IF($B444="","",IFERROR(XLOOKUP($C444,MakerWorld_Verileri!$A:$A,MakerWorld_Verileri!$B:$B,""),""))</x:f>
      </x:c>
      <x:c r="E444" s="75" t="str">
        <x:f>IF($B444="","",IFERROR(XLOOKUP($C444,MakerWorld_Verileri!$A:$A,MakerWorld_Verileri!$C:$C,""),""))</x:f>
      </x:c>
      <x:c r="F444" s="75" t="str"/>
      <x:c r="G444" s="75" t="str">
        <x:f>IF($B444&lt;&gt;"",Ayarlar!$B$7,"")</x:f>
      </x:c>
      <x:c r="H444" s="82" t="str">
        <x:f>IF($B444&lt;&gt;"",1,"")</x:f>
      </x:c>
      <x:c r="I444" s="82" t="str">
        <x:f>IF($B444="","",IFERROR(XLOOKUP($C444,MakerWorld_Verileri!$A:$A,MakerWorld_Verileri!$D:$D,""),""))</x:f>
      </x:c>
      <x:c r="J444" s="82" t="str"/>
      <x:c r="K444" s="82" t="str">
        <x:f>IF($I444&lt;&gt;"",$I444,$J444)</x:f>
      </x:c>
      <x:c r="L444" s="82" t="str">
        <x:f>IF($B444="","",IFERROR(XLOOKUP($C444,MakerWorld_Verileri!$A:$A,MakerWorld_Verileri!$E:$E,""),""))</x:f>
      </x:c>
      <x:c r="M444" s="82" t="str"/>
      <x:c r="N444" s="82" t="str">
        <x:f>IF($L444&lt;&gt;"",$L444,$M444)</x:f>
      </x:c>
      <x:c r="O444" s="82" t="str">
        <x:f>IF($B444&lt;&gt;"",0,"")</x:f>
      </x:c>
      <x:c r="P444" s="75" t="str">
        <x:f>IF($B444&lt;&gt;"","Orta","")</x:f>
      </x:c>
      <x:c r="Q444" s="82" t="str">
        <x:f>IF($B444&lt;&gt;"",10,"")</x:f>
      </x:c>
      <x:c r="R444" s="83" t="str">
        <x:f>IF($B444&lt;&gt;"",Ayarlar!$B$10,"")</x:f>
      </x:c>
      <x:c r="S444" s="83" t="str">
        <x:f>IF($B444&lt;&gt;"",0,"")</x:f>
      </x:c>
      <x:c r="T444" s="83" t="n">
        <x:f>IFERROR(($K444+$O444)*XLOOKUP($G444,Ayarlar!$A$19:$A$28,Ayarlar!$C$19:$C$28,0)*(1+Ayarlar!$B$11),0)</x:f>
        <x:v>0</x:v>
      </x:c>
      <x:c r="U444" s="83" t="n">
        <x:f>IFERROR($N444/60*Ayarlar!$B$8,0)</x:f>
        <x:v>0</x:v>
      </x:c>
      <x:c r="V444" s="83" t="n">
        <x:f>IF($B444&lt;&gt;"",Ayarlar!$B$12+($Q444/60*Ayarlar!$B$9),0)</x:f>
        <x:v>0</x:v>
      </x:c>
      <x:c r="W444" s="83" t="n">
        <x:f>IF($B444&lt;&gt;"",SUM($T444:$V444,$R444:$S444),0)</x:f>
        <x:v>0</x:v>
      </x:c>
      <x:c r="X444" s="83" t="n">
        <x:f>IF($B444&lt;&gt;"",$W444*Ayarlar!$B$15,0)</x:f>
        <x:v>0</x:v>
      </x:c>
      <x:c r="Y444" s="83" t="n">
        <x:f>IF($B444&lt;&gt;"",($W444+$X444)*Ayarlar!$B$13,0)</x:f>
        <x:v>0</x:v>
      </x:c>
      <x:c r="Z444" s="83" t="n">
        <x:f>IF($B444&lt;&gt;"",($W444+$X444+$Y444)*Ayarlar!$B$14,0)</x:f>
        <x:v>0</x:v>
      </x:c>
      <x:c r="AA444" s="83" t="str">
        <x:f>IF($B444="","",IF(OR($K444="",$N444=""),"",CEILING($W444+$X444+$Y444+$Z444,Ayarlar!$B$16)))</x:f>
      </x:c>
      <x:c r="AB444" s="83" t="str">
        <x:f>IFERROR($AA444/$H444,"")</x:f>
      </x:c>
      <x:c r="AC444" s="75" t="str">
        <x:f>IF($B444="","",IF(OR($K444="",$N444=""),"Veri Eksik","Fiyat Hazır"))</x:f>
      </x:c>
      <x:c r="AD444" s="75" t="str">
        <x:f>IF($C444&lt;&gt;"","MW-"&amp;$C444,"")</x:f>
        <x:v>MW-80</x:v>
      </x:c>
      <x:c r="AE444" s="75" t="str">
        <x:f>IF($G444&lt;&gt;"","3D Baskı / "&amp;$G444,"3D Baskı")</x:f>
        <x:v>3D Baskı</x:v>
      </x:c>
      <x:c r="AF444" s="75" t="str">
        <x:f>IF($D444&lt;&gt;"",$D444&amp;" - "&amp;$G444,$AD444&amp;" - "&amp;$G444)</x:f>
        <x:v>MW-80 - </x:v>
      </x:c>
      <x:c r="AG444" s="75" t="str"/>
    </x:row>
    <x:row r="445">
      <x:c r="A445" s="75" t="str">
        <x:f>IF($B445&lt;&gt;"",ROW()-4,"")</x:f>
      </x:c>
      <x:c r="B445" s="75" t="str"/>
      <x:c r="C445" s="75" t="n">
        <x:f>IFERROR(LET(x,MID($B445,FIND("/models/",$B445)+8,80),y,LEFT(x,FIND("-",x&amp;"-")-1),LEFT(y,FIND("?",y&amp;"?")-1)),"")</x:f>
        <x:v>80</x:v>
      </x:c>
      <x:c r="D445" s="75" t="str">
        <x:f>IF($B445="","",IFERROR(XLOOKUP($C445,MakerWorld_Verileri!$A:$A,MakerWorld_Verileri!$B:$B,""),""))</x:f>
      </x:c>
      <x:c r="E445" s="75" t="str">
        <x:f>IF($B445="","",IFERROR(XLOOKUP($C445,MakerWorld_Verileri!$A:$A,MakerWorld_Verileri!$C:$C,""),""))</x:f>
      </x:c>
      <x:c r="F445" s="75" t="str"/>
      <x:c r="G445" s="75" t="str">
        <x:f>IF($B445&lt;&gt;"",Ayarlar!$B$7,"")</x:f>
      </x:c>
      <x:c r="H445" s="82" t="str">
        <x:f>IF($B445&lt;&gt;"",1,"")</x:f>
      </x:c>
      <x:c r="I445" s="82" t="str">
        <x:f>IF($B445="","",IFERROR(XLOOKUP($C445,MakerWorld_Verileri!$A:$A,MakerWorld_Verileri!$D:$D,""),""))</x:f>
      </x:c>
      <x:c r="J445" s="82" t="str"/>
      <x:c r="K445" s="82" t="str">
        <x:f>IF($I445&lt;&gt;"",$I445,$J445)</x:f>
      </x:c>
      <x:c r="L445" s="82" t="str">
        <x:f>IF($B445="","",IFERROR(XLOOKUP($C445,MakerWorld_Verileri!$A:$A,MakerWorld_Verileri!$E:$E,""),""))</x:f>
      </x:c>
      <x:c r="M445" s="82" t="str"/>
      <x:c r="N445" s="82" t="str">
        <x:f>IF($L445&lt;&gt;"",$L445,$M445)</x:f>
      </x:c>
      <x:c r="O445" s="82" t="str">
        <x:f>IF($B445&lt;&gt;"",0,"")</x:f>
      </x:c>
      <x:c r="P445" s="75" t="str">
        <x:f>IF($B445&lt;&gt;"","Orta","")</x:f>
      </x:c>
      <x:c r="Q445" s="82" t="str">
        <x:f>IF($B445&lt;&gt;"",10,"")</x:f>
      </x:c>
      <x:c r="R445" s="83" t="str">
        <x:f>IF($B445&lt;&gt;"",Ayarlar!$B$10,"")</x:f>
      </x:c>
      <x:c r="S445" s="83" t="str">
        <x:f>IF($B445&lt;&gt;"",0,"")</x:f>
      </x:c>
      <x:c r="T445" s="83" t="n">
        <x:f>IFERROR(($K445+$O445)*XLOOKUP($G445,Ayarlar!$A$19:$A$28,Ayarlar!$C$19:$C$28,0)*(1+Ayarlar!$B$11),0)</x:f>
        <x:v>0</x:v>
      </x:c>
      <x:c r="U445" s="83" t="n">
        <x:f>IFERROR($N445/60*Ayarlar!$B$8,0)</x:f>
        <x:v>0</x:v>
      </x:c>
      <x:c r="V445" s="83" t="n">
        <x:f>IF($B445&lt;&gt;"",Ayarlar!$B$12+($Q445/60*Ayarlar!$B$9),0)</x:f>
        <x:v>0</x:v>
      </x:c>
      <x:c r="W445" s="83" t="n">
        <x:f>IF($B445&lt;&gt;"",SUM($T445:$V445,$R445:$S445),0)</x:f>
        <x:v>0</x:v>
      </x:c>
      <x:c r="X445" s="83" t="n">
        <x:f>IF($B445&lt;&gt;"",$W445*Ayarlar!$B$15,0)</x:f>
        <x:v>0</x:v>
      </x:c>
      <x:c r="Y445" s="83" t="n">
        <x:f>IF($B445&lt;&gt;"",($W445+$X445)*Ayarlar!$B$13,0)</x:f>
        <x:v>0</x:v>
      </x:c>
      <x:c r="Z445" s="83" t="n">
        <x:f>IF($B445&lt;&gt;"",($W445+$X445+$Y445)*Ayarlar!$B$14,0)</x:f>
        <x:v>0</x:v>
      </x:c>
      <x:c r="AA445" s="83" t="str">
        <x:f>IF($B445="","",IF(OR($K445="",$N445=""),"",CEILING($W445+$X445+$Y445+$Z445,Ayarlar!$B$16)))</x:f>
      </x:c>
      <x:c r="AB445" s="83" t="str">
        <x:f>IFERROR($AA445/$H445,"")</x:f>
      </x:c>
      <x:c r="AC445" s="75" t="str">
        <x:f>IF($B445="","",IF(OR($K445="",$N445=""),"Veri Eksik","Fiyat Hazır"))</x:f>
      </x:c>
      <x:c r="AD445" s="75" t="str">
        <x:f>IF($C445&lt;&gt;"","MW-"&amp;$C445,"")</x:f>
        <x:v>MW-80</x:v>
      </x:c>
      <x:c r="AE445" s="75" t="str">
        <x:f>IF($G445&lt;&gt;"","3D Baskı / "&amp;$G445,"3D Baskı")</x:f>
        <x:v>3D Baskı</x:v>
      </x:c>
      <x:c r="AF445" s="75" t="str">
        <x:f>IF($D445&lt;&gt;"",$D445&amp;" - "&amp;$G445,$AD445&amp;" - "&amp;$G445)</x:f>
        <x:v>MW-80 - </x:v>
      </x:c>
      <x:c r="AG445" s="75" t="str"/>
    </x:row>
    <x:row r="446">
      <x:c r="A446" s="75" t="str">
        <x:f>IF($B446&lt;&gt;"",ROW()-4,"")</x:f>
      </x:c>
      <x:c r="B446" s="75" t="str"/>
      <x:c r="C446" s="75" t="n">
        <x:f>IFERROR(LET(x,MID($B446,FIND("/models/",$B446)+8,80),y,LEFT(x,FIND("-",x&amp;"-")-1),LEFT(y,FIND("?",y&amp;"?")-1)),"")</x:f>
        <x:v>80</x:v>
      </x:c>
      <x:c r="D446" s="75" t="str">
        <x:f>IF($B446="","",IFERROR(XLOOKUP($C446,MakerWorld_Verileri!$A:$A,MakerWorld_Verileri!$B:$B,""),""))</x:f>
      </x:c>
      <x:c r="E446" s="75" t="str">
        <x:f>IF($B446="","",IFERROR(XLOOKUP($C446,MakerWorld_Verileri!$A:$A,MakerWorld_Verileri!$C:$C,""),""))</x:f>
      </x:c>
      <x:c r="F446" s="75" t="str"/>
      <x:c r="G446" s="75" t="str">
        <x:f>IF($B446&lt;&gt;"",Ayarlar!$B$7,"")</x:f>
      </x:c>
      <x:c r="H446" s="82" t="str">
        <x:f>IF($B446&lt;&gt;"",1,"")</x:f>
      </x:c>
      <x:c r="I446" s="82" t="str">
        <x:f>IF($B446="","",IFERROR(XLOOKUP($C446,MakerWorld_Verileri!$A:$A,MakerWorld_Verileri!$D:$D,""),""))</x:f>
      </x:c>
      <x:c r="J446" s="82" t="str"/>
      <x:c r="K446" s="82" t="str">
        <x:f>IF($I446&lt;&gt;"",$I446,$J446)</x:f>
      </x:c>
      <x:c r="L446" s="82" t="str">
        <x:f>IF($B446="","",IFERROR(XLOOKUP($C446,MakerWorld_Verileri!$A:$A,MakerWorld_Verileri!$E:$E,""),""))</x:f>
      </x:c>
      <x:c r="M446" s="82" t="str"/>
      <x:c r="N446" s="82" t="str">
        <x:f>IF($L446&lt;&gt;"",$L446,$M446)</x:f>
      </x:c>
      <x:c r="O446" s="82" t="str">
        <x:f>IF($B446&lt;&gt;"",0,"")</x:f>
      </x:c>
      <x:c r="P446" s="75" t="str">
        <x:f>IF($B446&lt;&gt;"","Orta","")</x:f>
      </x:c>
      <x:c r="Q446" s="82" t="str">
        <x:f>IF($B446&lt;&gt;"",10,"")</x:f>
      </x:c>
      <x:c r="R446" s="83" t="str">
        <x:f>IF($B446&lt;&gt;"",Ayarlar!$B$10,"")</x:f>
      </x:c>
      <x:c r="S446" s="83" t="str">
        <x:f>IF($B446&lt;&gt;"",0,"")</x:f>
      </x:c>
      <x:c r="T446" s="83" t="n">
        <x:f>IFERROR(($K446+$O446)*XLOOKUP($G446,Ayarlar!$A$19:$A$28,Ayarlar!$C$19:$C$28,0)*(1+Ayarlar!$B$11),0)</x:f>
        <x:v>0</x:v>
      </x:c>
      <x:c r="U446" s="83" t="n">
        <x:f>IFERROR($N446/60*Ayarlar!$B$8,0)</x:f>
        <x:v>0</x:v>
      </x:c>
      <x:c r="V446" s="83" t="n">
        <x:f>IF($B446&lt;&gt;"",Ayarlar!$B$12+($Q446/60*Ayarlar!$B$9),0)</x:f>
        <x:v>0</x:v>
      </x:c>
      <x:c r="W446" s="83" t="n">
        <x:f>IF($B446&lt;&gt;"",SUM($T446:$V446,$R446:$S446),0)</x:f>
        <x:v>0</x:v>
      </x:c>
      <x:c r="X446" s="83" t="n">
        <x:f>IF($B446&lt;&gt;"",$W446*Ayarlar!$B$15,0)</x:f>
        <x:v>0</x:v>
      </x:c>
      <x:c r="Y446" s="83" t="n">
        <x:f>IF($B446&lt;&gt;"",($W446+$X446)*Ayarlar!$B$13,0)</x:f>
        <x:v>0</x:v>
      </x:c>
      <x:c r="Z446" s="83" t="n">
        <x:f>IF($B446&lt;&gt;"",($W446+$X446+$Y446)*Ayarlar!$B$14,0)</x:f>
        <x:v>0</x:v>
      </x:c>
      <x:c r="AA446" s="83" t="str">
        <x:f>IF($B446="","",IF(OR($K446="",$N446=""),"",CEILING($W446+$X446+$Y446+$Z446,Ayarlar!$B$16)))</x:f>
      </x:c>
      <x:c r="AB446" s="83" t="str">
        <x:f>IFERROR($AA446/$H446,"")</x:f>
      </x:c>
      <x:c r="AC446" s="75" t="str">
        <x:f>IF($B446="","",IF(OR($K446="",$N446=""),"Veri Eksik","Fiyat Hazır"))</x:f>
      </x:c>
      <x:c r="AD446" s="75" t="str">
        <x:f>IF($C446&lt;&gt;"","MW-"&amp;$C446,"")</x:f>
        <x:v>MW-80</x:v>
      </x:c>
      <x:c r="AE446" s="75" t="str">
        <x:f>IF($G446&lt;&gt;"","3D Baskı / "&amp;$G446,"3D Baskı")</x:f>
        <x:v>3D Baskı</x:v>
      </x:c>
      <x:c r="AF446" s="75" t="str">
        <x:f>IF($D446&lt;&gt;"",$D446&amp;" - "&amp;$G446,$AD446&amp;" - "&amp;$G446)</x:f>
        <x:v>MW-80 - </x:v>
      </x:c>
      <x:c r="AG446" s="75" t="str"/>
    </x:row>
    <x:row r="447">
      <x:c r="A447" s="75" t="str">
        <x:f>IF($B447&lt;&gt;"",ROW()-4,"")</x:f>
      </x:c>
      <x:c r="B447" s="75" t="str"/>
      <x:c r="C447" s="75" t="n">
        <x:f>IFERROR(LET(x,MID($B447,FIND("/models/",$B447)+8,80),y,LEFT(x,FIND("-",x&amp;"-")-1),LEFT(y,FIND("?",y&amp;"?")-1)),"")</x:f>
        <x:v>80</x:v>
      </x:c>
      <x:c r="D447" s="75" t="str">
        <x:f>IF($B447="","",IFERROR(XLOOKUP($C447,MakerWorld_Verileri!$A:$A,MakerWorld_Verileri!$B:$B,""),""))</x:f>
      </x:c>
      <x:c r="E447" s="75" t="str">
        <x:f>IF($B447="","",IFERROR(XLOOKUP($C447,MakerWorld_Verileri!$A:$A,MakerWorld_Verileri!$C:$C,""),""))</x:f>
      </x:c>
      <x:c r="F447" s="75" t="str"/>
      <x:c r="G447" s="75" t="str">
        <x:f>IF($B447&lt;&gt;"",Ayarlar!$B$7,"")</x:f>
      </x:c>
      <x:c r="H447" s="82" t="str">
        <x:f>IF($B447&lt;&gt;"",1,"")</x:f>
      </x:c>
      <x:c r="I447" s="82" t="str">
        <x:f>IF($B447="","",IFERROR(XLOOKUP($C447,MakerWorld_Verileri!$A:$A,MakerWorld_Verileri!$D:$D,""),""))</x:f>
      </x:c>
      <x:c r="J447" s="82" t="str"/>
      <x:c r="K447" s="82" t="str">
        <x:f>IF($I447&lt;&gt;"",$I447,$J447)</x:f>
      </x:c>
      <x:c r="L447" s="82" t="str">
        <x:f>IF($B447="","",IFERROR(XLOOKUP($C447,MakerWorld_Verileri!$A:$A,MakerWorld_Verileri!$E:$E,""),""))</x:f>
      </x:c>
      <x:c r="M447" s="82" t="str"/>
      <x:c r="N447" s="82" t="str">
        <x:f>IF($L447&lt;&gt;"",$L447,$M447)</x:f>
      </x:c>
      <x:c r="O447" s="82" t="str">
        <x:f>IF($B447&lt;&gt;"",0,"")</x:f>
      </x:c>
      <x:c r="P447" s="75" t="str">
        <x:f>IF($B447&lt;&gt;"","Orta","")</x:f>
      </x:c>
      <x:c r="Q447" s="82" t="str">
        <x:f>IF($B447&lt;&gt;"",10,"")</x:f>
      </x:c>
      <x:c r="R447" s="83" t="str">
        <x:f>IF($B447&lt;&gt;"",Ayarlar!$B$10,"")</x:f>
      </x:c>
      <x:c r="S447" s="83" t="str">
        <x:f>IF($B447&lt;&gt;"",0,"")</x:f>
      </x:c>
      <x:c r="T447" s="83" t="n">
        <x:f>IFERROR(($K447+$O447)*XLOOKUP($G447,Ayarlar!$A$19:$A$28,Ayarlar!$C$19:$C$28,0)*(1+Ayarlar!$B$11),0)</x:f>
        <x:v>0</x:v>
      </x:c>
      <x:c r="U447" s="83" t="n">
        <x:f>IFERROR($N447/60*Ayarlar!$B$8,0)</x:f>
        <x:v>0</x:v>
      </x:c>
      <x:c r="V447" s="83" t="n">
        <x:f>IF($B447&lt;&gt;"",Ayarlar!$B$12+($Q447/60*Ayarlar!$B$9),0)</x:f>
        <x:v>0</x:v>
      </x:c>
      <x:c r="W447" s="83" t="n">
        <x:f>IF($B447&lt;&gt;"",SUM($T447:$V447,$R447:$S447),0)</x:f>
        <x:v>0</x:v>
      </x:c>
      <x:c r="X447" s="83" t="n">
        <x:f>IF($B447&lt;&gt;"",$W447*Ayarlar!$B$15,0)</x:f>
        <x:v>0</x:v>
      </x:c>
      <x:c r="Y447" s="83" t="n">
        <x:f>IF($B447&lt;&gt;"",($W447+$X447)*Ayarlar!$B$13,0)</x:f>
        <x:v>0</x:v>
      </x:c>
      <x:c r="Z447" s="83" t="n">
        <x:f>IF($B447&lt;&gt;"",($W447+$X447+$Y447)*Ayarlar!$B$14,0)</x:f>
        <x:v>0</x:v>
      </x:c>
      <x:c r="AA447" s="83" t="str">
        <x:f>IF($B447="","",IF(OR($K447="",$N447=""),"",CEILING($W447+$X447+$Y447+$Z447,Ayarlar!$B$16)))</x:f>
      </x:c>
      <x:c r="AB447" s="83" t="str">
        <x:f>IFERROR($AA447/$H447,"")</x:f>
      </x:c>
      <x:c r="AC447" s="75" t="str">
        <x:f>IF($B447="","",IF(OR($K447="",$N447=""),"Veri Eksik","Fiyat Hazır"))</x:f>
      </x:c>
      <x:c r="AD447" s="75" t="str">
        <x:f>IF($C447&lt;&gt;"","MW-"&amp;$C447,"")</x:f>
        <x:v>MW-80</x:v>
      </x:c>
      <x:c r="AE447" s="75" t="str">
        <x:f>IF($G447&lt;&gt;"","3D Baskı / "&amp;$G447,"3D Baskı")</x:f>
        <x:v>3D Baskı</x:v>
      </x:c>
      <x:c r="AF447" s="75" t="str">
        <x:f>IF($D447&lt;&gt;"",$D447&amp;" - "&amp;$G447,$AD447&amp;" - "&amp;$G447)</x:f>
        <x:v>MW-80 - </x:v>
      </x:c>
      <x:c r="AG447" s="75" t="str"/>
    </x:row>
    <x:row r="448">
      <x:c r="A448" s="75" t="str">
        <x:f>IF($B448&lt;&gt;"",ROW()-4,"")</x:f>
      </x:c>
      <x:c r="B448" s="75" t="str"/>
      <x:c r="C448" s="75" t="n">
        <x:f>IFERROR(LET(x,MID($B448,FIND("/models/",$B448)+8,80),y,LEFT(x,FIND("-",x&amp;"-")-1),LEFT(y,FIND("?",y&amp;"?")-1)),"")</x:f>
        <x:v>80</x:v>
      </x:c>
      <x:c r="D448" s="75" t="str">
        <x:f>IF($B448="","",IFERROR(XLOOKUP($C448,MakerWorld_Verileri!$A:$A,MakerWorld_Verileri!$B:$B,""),""))</x:f>
      </x:c>
      <x:c r="E448" s="75" t="str">
        <x:f>IF($B448="","",IFERROR(XLOOKUP($C448,MakerWorld_Verileri!$A:$A,MakerWorld_Verileri!$C:$C,""),""))</x:f>
      </x:c>
      <x:c r="F448" s="75" t="str"/>
      <x:c r="G448" s="75" t="str">
        <x:f>IF($B448&lt;&gt;"",Ayarlar!$B$7,"")</x:f>
      </x:c>
      <x:c r="H448" s="82" t="str">
        <x:f>IF($B448&lt;&gt;"",1,"")</x:f>
      </x:c>
      <x:c r="I448" s="82" t="str">
        <x:f>IF($B448="","",IFERROR(XLOOKUP($C448,MakerWorld_Verileri!$A:$A,MakerWorld_Verileri!$D:$D,""),""))</x:f>
      </x:c>
      <x:c r="J448" s="82" t="str"/>
      <x:c r="K448" s="82" t="str">
        <x:f>IF($I448&lt;&gt;"",$I448,$J448)</x:f>
      </x:c>
      <x:c r="L448" s="82" t="str">
        <x:f>IF($B448="","",IFERROR(XLOOKUP($C448,MakerWorld_Verileri!$A:$A,MakerWorld_Verileri!$E:$E,""),""))</x:f>
      </x:c>
      <x:c r="M448" s="82" t="str"/>
      <x:c r="N448" s="82" t="str">
        <x:f>IF($L448&lt;&gt;"",$L448,$M448)</x:f>
      </x:c>
      <x:c r="O448" s="82" t="str">
        <x:f>IF($B448&lt;&gt;"",0,"")</x:f>
      </x:c>
      <x:c r="P448" s="75" t="str">
        <x:f>IF($B448&lt;&gt;"","Orta","")</x:f>
      </x:c>
      <x:c r="Q448" s="82" t="str">
        <x:f>IF($B448&lt;&gt;"",10,"")</x:f>
      </x:c>
      <x:c r="R448" s="83" t="str">
        <x:f>IF($B448&lt;&gt;"",Ayarlar!$B$10,"")</x:f>
      </x:c>
      <x:c r="S448" s="83" t="str">
        <x:f>IF($B448&lt;&gt;"",0,"")</x:f>
      </x:c>
      <x:c r="T448" s="83" t="n">
        <x:f>IFERROR(($K448+$O448)*XLOOKUP($G448,Ayarlar!$A$19:$A$28,Ayarlar!$C$19:$C$28,0)*(1+Ayarlar!$B$11),0)</x:f>
        <x:v>0</x:v>
      </x:c>
      <x:c r="U448" s="83" t="n">
        <x:f>IFERROR($N448/60*Ayarlar!$B$8,0)</x:f>
        <x:v>0</x:v>
      </x:c>
      <x:c r="V448" s="83" t="n">
        <x:f>IF($B448&lt;&gt;"",Ayarlar!$B$12+($Q448/60*Ayarlar!$B$9),0)</x:f>
        <x:v>0</x:v>
      </x:c>
      <x:c r="W448" s="83" t="n">
        <x:f>IF($B448&lt;&gt;"",SUM($T448:$V448,$R448:$S448),0)</x:f>
        <x:v>0</x:v>
      </x:c>
      <x:c r="X448" s="83" t="n">
        <x:f>IF($B448&lt;&gt;"",$W448*Ayarlar!$B$15,0)</x:f>
        <x:v>0</x:v>
      </x:c>
      <x:c r="Y448" s="83" t="n">
        <x:f>IF($B448&lt;&gt;"",($W448+$X448)*Ayarlar!$B$13,0)</x:f>
        <x:v>0</x:v>
      </x:c>
      <x:c r="Z448" s="83" t="n">
        <x:f>IF($B448&lt;&gt;"",($W448+$X448+$Y448)*Ayarlar!$B$14,0)</x:f>
        <x:v>0</x:v>
      </x:c>
      <x:c r="AA448" s="83" t="str">
        <x:f>IF($B448="","",IF(OR($K448="",$N448=""),"",CEILING($W448+$X448+$Y448+$Z448,Ayarlar!$B$16)))</x:f>
      </x:c>
      <x:c r="AB448" s="83" t="str">
        <x:f>IFERROR($AA448/$H448,"")</x:f>
      </x:c>
      <x:c r="AC448" s="75" t="str">
        <x:f>IF($B448="","",IF(OR($K448="",$N448=""),"Veri Eksik","Fiyat Hazır"))</x:f>
      </x:c>
      <x:c r="AD448" s="75" t="str">
        <x:f>IF($C448&lt;&gt;"","MW-"&amp;$C448,"")</x:f>
        <x:v>MW-80</x:v>
      </x:c>
      <x:c r="AE448" s="75" t="str">
        <x:f>IF($G448&lt;&gt;"","3D Baskı / "&amp;$G448,"3D Baskı")</x:f>
        <x:v>3D Baskı</x:v>
      </x:c>
      <x:c r="AF448" s="75" t="str">
        <x:f>IF($D448&lt;&gt;"",$D448&amp;" - "&amp;$G448,$AD448&amp;" - "&amp;$G448)</x:f>
        <x:v>MW-80 - </x:v>
      </x:c>
      <x:c r="AG448" s="75" t="str"/>
    </x:row>
    <x:row r="449">
      <x:c r="A449" s="75" t="str">
        <x:f>IF($B449&lt;&gt;"",ROW()-4,"")</x:f>
      </x:c>
      <x:c r="B449" s="75" t="str"/>
      <x:c r="C449" s="75" t="n">
        <x:f>IFERROR(LET(x,MID($B449,FIND("/models/",$B449)+8,80),y,LEFT(x,FIND("-",x&amp;"-")-1),LEFT(y,FIND("?",y&amp;"?")-1)),"")</x:f>
        <x:v>80</x:v>
      </x:c>
      <x:c r="D449" s="75" t="str">
        <x:f>IF($B449="","",IFERROR(XLOOKUP($C449,MakerWorld_Verileri!$A:$A,MakerWorld_Verileri!$B:$B,""),""))</x:f>
      </x:c>
      <x:c r="E449" s="75" t="str">
        <x:f>IF($B449="","",IFERROR(XLOOKUP($C449,MakerWorld_Verileri!$A:$A,MakerWorld_Verileri!$C:$C,""),""))</x:f>
      </x:c>
      <x:c r="F449" s="75" t="str"/>
      <x:c r="G449" s="75" t="str">
        <x:f>IF($B449&lt;&gt;"",Ayarlar!$B$7,"")</x:f>
      </x:c>
      <x:c r="H449" s="82" t="str">
        <x:f>IF($B449&lt;&gt;"",1,"")</x:f>
      </x:c>
      <x:c r="I449" s="82" t="str">
        <x:f>IF($B449="","",IFERROR(XLOOKUP($C449,MakerWorld_Verileri!$A:$A,MakerWorld_Verileri!$D:$D,""),""))</x:f>
      </x:c>
      <x:c r="J449" s="82" t="str"/>
      <x:c r="K449" s="82" t="str">
        <x:f>IF($I449&lt;&gt;"",$I449,$J449)</x:f>
      </x:c>
      <x:c r="L449" s="82" t="str">
        <x:f>IF($B449="","",IFERROR(XLOOKUP($C449,MakerWorld_Verileri!$A:$A,MakerWorld_Verileri!$E:$E,""),""))</x:f>
      </x:c>
      <x:c r="M449" s="82" t="str"/>
      <x:c r="N449" s="82" t="str">
        <x:f>IF($L449&lt;&gt;"",$L449,$M449)</x:f>
      </x:c>
      <x:c r="O449" s="82" t="str">
        <x:f>IF($B449&lt;&gt;"",0,"")</x:f>
      </x:c>
      <x:c r="P449" s="75" t="str">
        <x:f>IF($B449&lt;&gt;"","Orta","")</x:f>
      </x:c>
      <x:c r="Q449" s="82" t="str">
        <x:f>IF($B449&lt;&gt;"",10,"")</x:f>
      </x:c>
      <x:c r="R449" s="83" t="str">
        <x:f>IF($B449&lt;&gt;"",Ayarlar!$B$10,"")</x:f>
      </x:c>
      <x:c r="S449" s="83" t="str">
        <x:f>IF($B449&lt;&gt;"",0,"")</x:f>
      </x:c>
      <x:c r="T449" s="83" t="n">
        <x:f>IFERROR(($K449+$O449)*XLOOKUP($G449,Ayarlar!$A$19:$A$28,Ayarlar!$C$19:$C$28,0)*(1+Ayarlar!$B$11),0)</x:f>
        <x:v>0</x:v>
      </x:c>
      <x:c r="U449" s="83" t="n">
        <x:f>IFERROR($N449/60*Ayarlar!$B$8,0)</x:f>
        <x:v>0</x:v>
      </x:c>
      <x:c r="V449" s="83" t="n">
        <x:f>IF($B449&lt;&gt;"",Ayarlar!$B$12+($Q449/60*Ayarlar!$B$9),0)</x:f>
        <x:v>0</x:v>
      </x:c>
      <x:c r="W449" s="83" t="n">
        <x:f>IF($B449&lt;&gt;"",SUM($T449:$V449,$R449:$S449),0)</x:f>
        <x:v>0</x:v>
      </x:c>
      <x:c r="X449" s="83" t="n">
        <x:f>IF($B449&lt;&gt;"",$W449*Ayarlar!$B$15,0)</x:f>
        <x:v>0</x:v>
      </x:c>
      <x:c r="Y449" s="83" t="n">
        <x:f>IF($B449&lt;&gt;"",($W449+$X449)*Ayarlar!$B$13,0)</x:f>
        <x:v>0</x:v>
      </x:c>
      <x:c r="Z449" s="83" t="n">
        <x:f>IF($B449&lt;&gt;"",($W449+$X449+$Y449)*Ayarlar!$B$14,0)</x:f>
        <x:v>0</x:v>
      </x:c>
      <x:c r="AA449" s="83" t="str">
        <x:f>IF($B449="","",IF(OR($K449="",$N449=""),"",CEILING($W449+$X449+$Y449+$Z449,Ayarlar!$B$16)))</x:f>
      </x:c>
      <x:c r="AB449" s="83" t="str">
        <x:f>IFERROR($AA449/$H449,"")</x:f>
      </x:c>
      <x:c r="AC449" s="75" t="str">
        <x:f>IF($B449="","",IF(OR($K449="",$N449=""),"Veri Eksik","Fiyat Hazır"))</x:f>
      </x:c>
      <x:c r="AD449" s="75" t="str">
        <x:f>IF($C449&lt;&gt;"","MW-"&amp;$C449,"")</x:f>
        <x:v>MW-80</x:v>
      </x:c>
      <x:c r="AE449" s="75" t="str">
        <x:f>IF($G449&lt;&gt;"","3D Baskı / "&amp;$G449,"3D Baskı")</x:f>
        <x:v>3D Baskı</x:v>
      </x:c>
      <x:c r="AF449" s="75" t="str">
        <x:f>IF($D449&lt;&gt;"",$D449&amp;" - "&amp;$G449,$AD449&amp;" - "&amp;$G449)</x:f>
        <x:v>MW-80 - </x:v>
      </x:c>
      <x:c r="AG449" s="75" t="str"/>
    </x:row>
    <x:row r="450">
      <x:c r="A450" s="75" t="str">
        <x:f>IF($B450&lt;&gt;"",ROW()-4,"")</x:f>
      </x:c>
      <x:c r="B450" s="75" t="str"/>
      <x:c r="C450" s="75" t="n">
        <x:f>IFERROR(LET(x,MID($B450,FIND("/models/",$B450)+8,80),y,LEFT(x,FIND("-",x&amp;"-")-1),LEFT(y,FIND("?",y&amp;"?")-1)),"")</x:f>
        <x:v>80</x:v>
      </x:c>
      <x:c r="D450" s="75" t="str">
        <x:f>IF($B450="","",IFERROR(XLOOKUP($C450,MakerWorld_Verileri!$A:$A,MakerWorld_Verileri!$B:$B,""),""))</x:f>
      </x:c>
      <x:c r="E450" s="75" t="str">
        <x:f>IF($B450="","",IFERROR(XLOOKUP($C450,MakerWorld_Verileri!$A:$A,MakerWorld_Verileri!$C:$C,""),""))</x:f>
      </x:c>
      <x:c r="F450" s="75" t="str"/>
      <x:c r="G450" s="75" t="str">
        <x:f>IF($B450&lt;&gt;"",Ayarlar!$B$7,"")</x:f>
      </x:c>
      <x:c r="H450" s="82" t="str">
        <x:f>IF($B450&lt;&gt;"",1,"")</x:f>
      </x:c>
      <x:c r="I450" s="82" t="str">
        <x:f>IF($B450="","",IFERROR(XLOOKUP($C450,MakerWorld_Verileri!$A:$A,MakerWorld_Verileri!$D:$D,""),""))</x:f>
      </x:c>
      <x:c r="J450" s="82" t="str"/>
      <x:c r="K450" s="82" t="str">
        <x:f>IF($I450&lt;&gt;"",$I450,$J450)</x:f>
      </x:c>
      <x:c r="L450" s="82" t="str">
        <x:f>IF($B450="","",IFERROR(XLOOKUP($C450,MakerWorld_Verileri!$A:$A,MakerWorld_Verileri!$E:$E,""),""))</x:f>
      </x:c>
      <x:c r="M450" s="82" t="str"/>
      <x:c r="N450" s="82" t="str">
        <x:f>IF($L450&lt;&gt;"",$L450,$M450)</x:f>
      </x:c>
      <x:c r="O450" s="82" t="str">
        <x:f>IF($B450&lt;&gt;"",0,"")</x:f>
      </x:c>
      <x:c r="P450" s="75" t="str">
        <x:f>IF($B450&lt;&gt;"","Orta","")</x:f>
      </x:c>
      <x:c r="Q450" s="82" t="str">
        <x:f>IF($B450&lt;&gt;"",10,"")</x:f>
      </x:c>
      <x:c r="R450" s="83" t="str">
        <x:f>IF($B450&lt;&gt;"",Ayarlar!$B$10,"")</x:f>
      </x:c>
      <x:c r="S450" s="83" t="str">
        <x:f>IF($B450&lt;&gt;"",0,"")</x:f>
      </x:c>
      <x:c r="T450" s="83" t="n">
        <x:f>IFERROR(($K450+$O450)*XLOOKUP($G450,Ayarlar!$A$19:$A$28,Ayarlar!$C$19:$C$28,0)*(1+Ayarlar!$B$11),0)</x:f>
        <x:v>0</x:v>
      </x:c>
      <x:c r="U450" s="83" t="n">
        <x:f>IFERROR($N450/60*Ayarlar!$B$8,0)</x:f>
        <x:v>0</x:v>
      </x:c>
      <x:c r="V450" s="83" t="n">
        <x:f>IF($B450&lt;&gt;"",Ayarlar!$B$12+($Q450/60*Ayarlar!$B$9),0)</x:f>
        <x:v>0</x:v>
      </x:c>
      <x:c r="W450" s="83" t="n">
        <x:f>IF($B450&lt;&gt;"",SUM($T450:$V450,$R450:$S450),0)</x:f>
        <x:v>0</x:v>
      </x:c>
      <x:c r="X450" s="83" t="n">
        <x:f>IF($B450&lt;&gt;"",$W450*Ayarlar!$B$15,0)</x:f>
        <x:v>0</x:v>
      </x:c>
      <x:c r="Y450" s="83" t="n">
        <x:f>IF($B450&lt;&gt;"",($W450+$X450)*Ayarlar!$B$13,0)</x:f>
        <x:v>0</x:v>
      </x:c>
      <x:c r="Z450" s="83" t="n">
        <x:f>IF($B450&lt;&gt;"",($W450+$X450+$Y450)*Ayarlar!$B$14,0)</x:f>
        <x:v>0</x:v>
      </x:c>
      <x:c r="AA450" s="83" t="str">
        <x:f>IF($B450="","",IF(OR($K450="",$N450=""),"",CEILING($W450+$X450+$Y450+$Z450,Ayarlar!$B$16)))</x:f>
      </x:c>
      <x:c r="AB450" s="83" t="str">
        <x:f>IFERROR($AA450/$H450,"")</x:f>
      </x:c>
      <x:c r="AC450" s="75" t="str">
        <x:f>IF($B450="","",IF(OR($K450="",$N450=""),"Veri Eksik","Fiyat Hazır"))</x:f>
      </x:c>
      <x:c r="AD450" s="75" t="str">
        <x:f>IF($C450&lt;&gt;"","MW-"&amp;$C450,"")</x:f>
        <x:v>MW-80</x:v>
      </x:c>
      <x:c r="AE450" s="75" t="str">
        <x:f>IF($G450&lt;&gt;"","3D Baskı / "&amp;$G450,"3D Baskı")</x:f>
        <x:v>3D Baskı</x:v>
      </x:c>
      <x:c r="AF450" s="75" t="str">
        <x:f>IF($D450&lt;&gt;"",$D450&amp;" - "&amp;$G450,$AD450&amp;" - "&amp;$G450)</x:f>
        <x:v>MW-80 - </x:v>
      </x:c>
      <x:c r="AG450" s="75" t="str"/>
    </x:row>
    <x:row r="451">
      <x:c r="A451" s="75" t="str">
        <x:f>IF($B451&lt;&gt;"",ROW()-4,"")</x:f>
      </x:c>
      <x:c r="B451" s="75" t="str"/>
      <x:c r="C451" s="75" t="n">
        <x:f>IFERROR(LET(x,MID($B451,FIND("/models/",$B451)+8,80),y,LEFT(x,FIND("-",x&amp;"-")-1),LEFT(y,FIND("?",y&amp;"?")-1)),"")</x:f>
        <x:v>80</x:v>
      </x:c>
      <x:c r="D451" s="75" t="str">
        <x:f>IF($B451="","",IFERROR(XLOOKUP($C451,MakerWorld_Verileri!$A:$A,MakerWorld_Verileri!$B:$B,""),""))</x:f>
      </x:c>
      <x:c r="E451" s="75" t="str">
        <x:f>IF($B451="","",IFERROR(XLOOKUP($C451,MakerWorld_Verileri!$A:$A,MakerWorld_Verileri!$C:$C,""),""))</x:f>
      </x:c>
      <x:c r="F451" s="75" t="str"/>
      <x:c r="G451" s="75" t="str">
        <x:f>IF($B451&lt;&gt;"",Ayarlar!$B$7,"")</x:f>
      </x:c>
      <x:c r="H451" s="82" t="str">
        <x:f>IF($B451&lt;&gt;"",1,"")</x:f>
      </x:c>
      <x:c r="I451" s="82" t="str">
        <x:f>IF($B451="","",IFERROR(XLOOKUP($C451,MakerWorld_Verileri!$A:$A,MakerWorld_Verileri!$D:$D,""),""))</x:f>
      </x:c>
      <x:c r="J451" s="82" t="str"/>
      <x:c r="K451" s="82" t="str">
        <x:f>IF($I451&lt;&gt;"",$I451,$J451)</x:f>
      </x:c>
      <x:c r="L451" s="82" t="str">
        <x:f>IF($B451="","",IFERROR(XLOOKUP($C451,MakerWorld_Verileri!$A:$A,MakerWorld_Verileri!$E:$E,""),""))</x:f>
      </x:c>
      <x:c r="M451" s="82" t="str"/>
      <x:c r="N451" s="82" t="str">
        <x:f>IF($L451&lt;&gt;"",$L451,$M451)</x:f>
      </x:c>
      <x:c r="O451" s="82" t="str">
        <x:f>IF($B451&lt;&gt;"",0,"")</x:f>
      </x:c>
      <x:c r="P451" s="75" t="str">
        <x:f>IF($B451&lt;&gt;"","Orta","")</x:f>
      </x:c>
      <x:c r="Q451" s="82" t="str">
        <x:f>IF($B451&lt;&gt;"",10,"")</x:f>
      </x:c>
      <x:c r="R451" s="83" t="str">
        <x:f>IF($B451&lt;&gt;"",Ayarlar!$B$10,"")</x:f>
      </x:c>
      <x:c r="S451" s="83" t="str">
        <x:f>IF($B451&lt;&gt;"",0,"")</x:f>
      </x:c>
      <x:c r="T451" s="83" t="n">
        <x:f>IFERROR(($K451+$O451)*XLOOKUP($G451,Ayarlar!$A$19:$A$28,Ayarlar!$C$19:$C$28,0)*(1+Ayarlar!$B$11),0)</x:f>
        <x:v>0</x:v>
      </x:c>
      <x:c r="U451" s="83" t="n">
        <x:f>IFERROR($N451/60*Ayarlar!$B$8,0)</x:f>
        <x:v>0</x:v>
      </x:c>
      <x:c r="V451" s="83" t="n">
        <x:f>IF($B451&lt;&gt;"",Ayarlar!$B$12+($Q451/60*Ayarlar!$B$9),0)</x:f>
        <x:v>0</x:v>
      </x:c>
      <x:c r="W451" s="83" t="n">
        <x:f>IF($B451&lt;&gt;"",SUM($T451:$V451,$R451:$S451),0)</x:f>
        <x:v>0</x:v>
      </x:c>
      <x:c r="X451" s="83" t="n">
        <x:f>IF($B451&lt;&gt;"",$W451*Ayarlar!$B$15,0)</x:f>
        <x:v>0</x:v>
      </x:c>
      <x:c r="Y451" s="83" t="n">
        <x:f>IF($B451&lt;&gt;"",($W451+$X451)*Ayarlar!$B$13,0)</x:f>
        <x:v>0</x:v>
      </x:c>
      <x:c r="Z451" s="83" t="n">
        <x:f>IF($B451&lt;&gt;"",($W451+$X451+$Y451)*Ayarlar!$B$14,0)</x:f>
        <x:v>0</x:v>
      </x:c>
      <x:c r="AA451" s="83" t="str">
        <x:f>IF($B451="","",IF(OR($K451="",$N451=""),"",CEILING($W451+$X451+$Y451+$Z451,Ayarlar!$B$16)))</x:f>
      </x:c>
      <x:c r="AB451" s="83" t="str">
        <x:f>IFERROR($AA451/$H451,"")</x:f>
      </x:c>
      <x:c r="AC451" s="75" t="str">
        <x:f>IF($B451="","",IF(OR($K451="",$N451=""),"Veri Eksik","Fiyat Hazır"))</x:f>
      </x:c>
      <x:c r="AD451" s="75" t="str">
        <x:f>IF($C451&lt;&gt;"","MW-"&amp;$C451,"")</x:f>
        <x:v>MW-80</x:v>
      </x:c>
      <x:c r="AE451" s="75" t="str">
        <x:f>IF($G451&lt;&gt;"","3D Baskı / "&amp;$G451,"3D Baskı")</x:f>
        <x:v>3D Baskı</x:v>
      </x:c>
      <x:c r="AF451" s="75" t="str">
        <x:f>IF($D451&lt;&gt;"",$D451&amp;" - "&amp;$G451,$AD451&amp;" - "&amp;$G451)</x:f>
        <x:v>MW-80 - </x:v>
      </x:c>
      <x:c r="AG451" s="75" t="str"/>
    </x:row>
    <x:row r="452">
      <x:c r="A452" s="75" t="str">
        <x:f>IF($B452&lt;&gt;"",ROW()-4,"")</x:f>
      </x:c>
      <x:c r="B452" s="75" t="str"/>
      <x:c r="C452" s="75" t="n">
        <x:f>IFERROR(LET(x,MID($B452,FIND("/models/",$B452)+8,80),y,LEFT(x,FIND("-",x&amp;"-")-1),LEFT(y,FIND("?",y&amp;"?")-1)),"")</x:f>
        <x:v>80</x:v>
      </x:c>
      <x:c r="D452" s="75" t="str">
        <x:f>IF($B452="","",IFERROR(XLOOKUP($C452,MakerWorld_Verileri!$A:$A,MakerWorld_Verileri!$B:$B,""),""))</x:f>
      </x:c>
      <x:c r="E452" s="75" t="str">
        <x:f>IF($B452="","",IFERROR(XLOOKUP($C452,MakerWorld_Verileri!$A:$A,MakerWorld_Verileri!$C:$C,""),""))</x:f>
      </x:c>
      <x:c r="F452" s="75" t="str"/>
      <x:c r="G452" s="75" t="str">
        <x:f>IF($B452&lt;&gt;"",Ayarlar!$B$7,"")</x:f>
      </x:c>
      <x:c r="H452" s="82" t="str">
        <x:f>IF($B452&lt;&gt;"",1,"")</x:f>
      </x:c>
      <x:c r="I452" s="82" t="str">
        <x:f>IF($B452="","",IFERROR(XLOOKUP($C452,MakerWorld_Verileri!$A:$A,MakerWorld_Verileri!$D:$D,""),""))</x:f>
      </x:c>
      <x:c r="J452" s="82" t="str"/>
      <x:c r="K452" s="82" t="str">
        <x:f>IF($I452&lt;&gt;"",$I452,$J452)</x:f>
      </x:c>
      <x:c r="L452" s="82" t="str">
        <x:f>IF($B452="","",IFERROR(XLOOKUP($C452,MakerWorld_Verileri!$A:$A,MakerWorld_Verileri!$E:$E,""),""))</x:f>
      </x:c>
      <x:c r="M452" s="82" t="str"/>
      <x:c r="N452" s="82" t="str">
        <x:f>IF($L452&lt;&gt;"",$L452,$M452)</x:f>
      </x:c>
      <x:c r="O452" s="82" t="str">
        <x:f>IF($B452&lt;&gt;"",0,"")</x:f>
      </x:c>
      <x:c r="P452" s="75" t="str">
        <x:f>IF($B452&lt;&gt;"","Orta","")</x:f>
      </x:c>
      <x:c r="Q452" s="82" t="str">
        <x:f>IF($B452&lt;&gt;"",10,"")</x:f>
      </x:c>
      <x:c r="R452" s="83" t="str">
        <x:f>IF($B452&lt;&gt;"",Ayarlar!$B$10,"")</x:f>
      </x:c>
      <x:c r="S452" s="83" t="str">
        <x:f>IF($B452&lt;&gt;"",0,"")</x:f>
      </x:c>
      <x:c r="T452" s="83" t="n">
        <x:f>IFERROR(($K452+$O452)*XLOOKUP($G452,Ayarlar!$A$19:$A$28,Ayarlar!$C$19:$C$28,0)*(1+Ayarlar!$B$11),0)</x:f>
        <x:v>0</x:v>
      </x:c>
      <x:c r="U452" s="83" t="n">
        <x:f>IFERROR($N452/60*Ayarlar!$B$8,0)</x:f>
        <x:v>0</x:v>
      </x:c>
      <x:c r="V452" s="83" t="n">
        <x:f>IF($B452&lt;&gt;"",Ayarlar!$B$12+($Q452/60*Ayarlar!$B$9),0)</x:f>
        <x:v>0</x:v>
      </x:c>
      <x:c r="W452" s="83" t="n">
        <x:f>IF($B452&lt;&gt;"",SUM($T452:$V452,$R452:$S452),0)</x:f>
        <x:v>0</x:v>
      </x:c>
      <x:c r="X452" s="83" t="n">
        <x:f>IF($B452&lt;&gt;"",$W452*Ayarlar!$B$15,0)</x:f>
        <x:v>0</x:v>
      </x:c>
      <x:c r="Y452" s="83" t="n">
        <x:f>IF($B452&lt;&gt;"",($W452+$X452)*Ayarlar!$B$13,0)</x:f>
        <x:v>0</x:v>
      </x:c>
      <x:c r="Z452" s="83" t="n">
        <x:f>IF($B452&lt;&gt;"",($W452+$X452+$Y452)*Ayarlar!$B$14,0)</x:f>
        <x:v>0</x:v>
      </x:c>
      <x:c r="AA452" s="83" t="str">
        <x:f>IF($B452="","",IF(OR($K452="",$N452=""),"",CEILING($W452+$X452+$Y452+$Z452,Ayarlar!$B$16)))</x:f>
      </x:c>
      <x:c r="AB452" s="83" t="str">
        <x:f>IFERROR($AA452/$H452,"")</x:f>
      </x:c>
      <x:c r="AC452" s="75" t="str">
        <x:f>IF($B452="","",IF(OR($K452="",$N452=""),"Veri Eksik","Fiyat Hazır"))</x:f>
      </x:c>
      <x:c r="AD452" s="75" t="str">
        <x:f>IF($C452&lt;&gt;"","MW-"&amp;$C452,"")</x:f>
        <x:v>MW-80</x:v>
      </x:c>
      <x:c r="AE452" s="75" t="str">
        <x:f>IF($G452&lt;&gt;"","3D Baskı / "&amp;$G452,"3D Baskı")</x:f>
        <x:v>3D Baskı</x:v>
      </x:c>
      <x:c r="AF452" s="75" t="str">
        <x:f>IF($D452&lt;&gt;"",$D452&amp;" - "&amp;$G452,$AD452&amp;" - "&amp;$G452)</x:f>
        <x:v>MW-80 - </x:v>
      </x:c>
      <x:c r="AG452" s="75" t="str"/>
    </x:row>
    <x:row r="453">
      <x:c r="A453" s="75" t="str">
        <x:f>IF($B453&lt;&gt;"",ROW()-4,"")</x:f>
      </x:c>
      <x:c r="B453" s="75" t="str"/>
      <x:c r="C453" s="75" t="n">
        <x:f>IFERROR(LET(x,MID($B453,FIND("/models/",$B453)+8,80),y,LEFT(x,FIND("-",x&amp;"-")-1),LEFT(y,FIND("?",y&amp;"?")-1)),"")</x:f>
        <x:v>80</x:v>
      </x:c>
      <x:c r="D453" s="75" t="str">
        <x:f>IF($B453="","",IFERROR(XLOOKUP($C453,MakerWorld_Verileri!$A:$A,MakerWorld_Verileri!$B:$B,""),""))</x:f>
      </x:c>
      <x:c r="E453" s="75" t="str">
        <x:f>IF($B453="","",IFERROR(XLOOKUP($C453,MakerWorld_Verileri!$A:$A,MakerWorld_Verileri!$C:$C,""),""))</x:f>
      </x:c>
      <x:c r="F453" s="75" t="str"/>
      <x:c r="G453" s="75" t="str">
        <x:f>IF($B453&lt;&gt;"",Ayarlar!$B$7,"")</x:f>
      </x:c>
      <x:c r="H453" s="82" t="str">
        <x:f>IF($B453&lt;&gt;"",1,"")</x:f>
      </x:c>
      <x:c r="I453" s="82" t="str">
        <x:f>IF($B453="","",IFERROR(XLOOKUP($C453,MakerWorld_Verileri!$A:$A,MakerWorld_Verileri!$D:$D,""),""))</x:f>
      </x:c>
      <x:c r="J453" s="82" t="str"/>
      <x:c r="K453" s="82" t="str">
        <x:f>IF($I453&lt;&gt;"",$I453,$J453)</x:f>
      </x:c>
      <x:c r="L453" s="82" t="str">
        <x:f>IF($B453="","",IFERROR(XLOOKUP($C453,MakerWorld_Verileri!$A:$A,MakerWorld_Verileri!$E:$E,""),""))</x:f>
      </x:c>
      <x:c r="M453" s="82" t="str"/>
      <x:c r="N453" s="82" t="str">
        <x:f>IF($L453&lt;&gt;"",$L453,$M453)</x:f>
      </x:c>
      <x:c r="O453" s="82" t="str">
        <x:f>IF($B453&lt;&gt;"",0,"")</x:f>
      </x:c>
      <x:c r="P453" s="75" t="str">
        <x:f>IF($B453&lt;&gt;"","Orta","")</x:f>
      </x:c>
      <x:c r="Q453" s="82" t="str">
        <x:f>IF($B453&lt;&gt;"",10,"")</x:f>
      </x:c>
      <x:c r="R453" s="83" t="str">
        <x:f>IF($B453&lt;&gt;"",Ayarlar!$B$10,"")</x:f>
      </x:c>
      <x:c r="S453" s="83" t="str">
        <x:f>IF($B453&lt;&gt;"",0,"")</x:f>
      </x:c>
      <x:c r="T453" s="83" t="n">
        <x:f>IFERROR(($K453+$O453)*XLOOKUP($G453,Ayarlar!$A$19:$A$28,Ayarlar!$C$19:$C$28,0)*(1+Ayarlar!$B$11),0)</x:f>
        <x:v>0</x:v>
      </x:c>
      <x:c r="U453" s="83" t="n">
        <x:f>IFERROR($N453/60*Ayarlar!$B$8,0)</x:f>
        <x:v>0</x:v>
      </x:c>
      <x:c r="V453" s="83" t="n">
        <x:f>IF($B453&lt;&gt;"",Ayarlar!$B$12+($Q453/60*Ayarlar!$B$9),0)</x:f>
        <x:v>0</x:v>
      </x:c>
      <x:c r="W453" s="83" t="n">
        <x:f>IF($B453&lt;&gt;"",SUM($T453:$V453,$R453:$S453),0)</x:f>
        <x:v>0</x:v>
      </x:c>
      <x:c r="X453" s="83" t="n">
        <x:f>IF($B453&lt;&gt;"",$W453*Ayarlar!$B$15,0)</x:f>
        <x:v>0</x:v>
      </x:c>
      <x:c r="Y453" s="83" t="n">
        <x:f>IF($B453&lt;&gt;"",($W453+$X453)*Ayarlar!$B$13,0)</x:f>
        <x:v>0</x:v>
      </x:c>
      <x:c r="Z453" s="83" t="n">
        <x:f>IF($B453&lt;&gt;"",($W453+$X453+$Y453)*Ayarlar!$B$14,0)</x:f>
        <x:v>0</x:v>
      </x:c>
      <x:c r="AA453" s="83" t="str">
        <x:f>IF($B453="","",IF(OR($K453="",$N453=""),"",CEILING($W453+$X453+$Y453+$Z453,Ayarlar!$B$16)))</x:f>
      </x:c>
      <x:c r="AB453" s="83" t="str">
        <x:f>IFERROR($AA453/$H453,"")</x:f>
      </x:c>
      <x:c r="AC453" s="75" t="str">
        <x:f>IF($B453="","",IF(OR($K453="",$N453=""),"Veri Eksik","Fiyat Hazır"))</x:f>
      </x:c>
      <x:c r="AD453" s="75" t="str">
        <x:f>IF($C453&lt;&gt;"","MW-"&amp;$C453,"")</x:f>
        <x:v>MW-80</x:v>
      </x:c>
      <x:c r="AE453" s="75" t="str">
        <x:f>IF($G453&lt;&gt;"","3D Baskı / "&amp;$G453,"3D Baskı")</x:f>
        <x:v>3D Baskı</x:v>
      </x:c>
      <x:c r="AF453" s="75" t="str">
        <x:f>IF($D453&lt;&gt;"",$D453&amp;" - "&amp;$G453,$AD453&amp;" - "&amp;$G453)</x:f>
        <x:v>MW-80 - </x:v>
      </x:c>
      <x:c r="AG453" s="75" t="str"/>
    </x:row>
    <x:row r="454">
      <x:c r="A454" s="75" t="str">
        <x:f>IF($B454&lt;&gt;"",ROW()-4,"")</x:f>
      </x:c>
      <x:c r="B454" s="75" t="str"/>
      <x:c r="C454" s="75" t="n">
        <x:f>IFERROR(LET(x,MID($B454,FIND("/models/",$B454)+8,80),y,LEFT(x,FIND("-",x&amp;"-")-1),LEFT(y,FIND("?",y&amp;"?")-1)),"")</x:f>
        <x:v>80</x:v>
      </x:c>
      <x:c r="D454" s="75" t="str">
        <x:f>IF($B454="","",IFERROR(XLOOKUP($C454,MakerWorld_Verileri!$A:$A,MakerWorld_Verileri!$B:$B,""),""))</x:f>
      </x:c>
      <x:c r="E454" s="75" t="str">
        <x:f>IF($B454="","",IFERROR(XLOOKUP($C454,MakerWorld_Verileri!$A:$A,MakerWorld_Verileri!$C:$C,""),""))</x:f>
      </x:c>
      <x:c r="F454" s="75" t="str"/>
      <x:c r="G454" s="75" t="str">
        <x:f>IF($B454&lt;&gt;"",Ayarlar!$B$7,"")</x:f>
      </x:c>
      <x:c r="H454" s="82" t="str">
        <x:f>IF($B454&lt;&gt;"",1,"")</x:f>
      </x:c>
      <x:c r="I454" s="82" t="str">
        <x:f>IF($B454="","",IFERROR(XLOOKUP($C454,MakerWorld_Verileri!$A:$A,MakerWorld_Verileri!$D:$D,""),""))</x:f>
      </x:c>
      <x:c r="J454" s="82" t="str"/>
      <x:c r="K454" s="82" t="str">
        <x:f>IF($I454&lt;&gt;"",$I454,$J454)</x:f>
      </x:c>
      <x:c r="L454" s="82" t="str">
        <x:f>IF($B454="","",IFERROR(XLOOKUP($C454,MakerWorld_Verileri!$A:$A,MakerWorld_Verileri!$E:$E,""),""))</x:f>
      </x:c>
      <x:c r="M454" s="82" t="str"/>
      <x:c r="N454" s="82" t="str">
        <x:f>IF($L454&lt;&gt;"",$L454,$M454)</x:f>
      </x:c>
      <x:c r="O454" s="82" t="str">
        <x:f>IF($B454&lt;&gt;"",0,"")</x:f>
      </x:c>
      <x:c r="P454" s="75" t="str">
        <x:f>IF($B454&lt;&gt;"","Orta","")</x:f>
      </x:c>
      <x:c r="Q454" s="82" t="str">
        <x:f>IF($B454&lt;&gt;"",10,"")</x:f>
      </x:c>
      <x:c r="R454" s="83" t="str">
        <x:f>IF($B454&lt;&gt;"",Ayarlar!$B$10,"")</x:f>
      </x:c>
      <x:c r="S454" s="83" t="str">
        <x:f>IF($B454&lt;&gt;"",0,"")</x:f>
      </x:c>
      <x:c r="T454" s="83" t="n">
        <x:f>IFERROR(($K454+$O454)*XLOOKUP($G454,Ayarlar!$A$19:$A$28,Ayarlar!$C$19:$C$28,0)*(1+Ayarlar!$B$11),0)</x:f>
        <x:v>0</x:v>
      </x:c>
      <x:c r="U454" s="83" t="n">
        <x:f>IFERROR($N454/60*Ayarlar!$B$8,0)</x:f>
        <x:v>0</x:v>
      </x:c>
      <x:c r="V454" s="83" t="n">
        <x:f>IF($B454&lt;&gt;"",Ayarlar!$B$12+($Q454/60*Ayarlar!$B$9),0)</x:f>
        <x:v>0</x:v>
      </x:c>
      <x:c r="W454" s="83" t="n">
        <x:f>IF($B454&lt;&gt;"",SUM($T454:$V454,$R454:$S454),0)</x:f>
        <x:v>0</x:v>
      </x:c>
      <x:c r="X454" s="83" t="n">
        <x:f>IF($B454&lt;&gt;"",$W454*Ayarlar!$B$15,0)</x:f>
        <x:v>0</x:v>
      </x:c>
      <x:c r="Y454" s="83" t="n">
        <x:f>IF($B454&lt;&gt;"",($W454+$X454)*Ayarlar!$B$13,0)</x:f>
        <x:v>0</x:v>
      </x:c>
      <x:c r="Z454" s="83" t="n">
        <x:f>IF($B454&lt;&gt;"",($W454+$X454+$Y454)*Ayarlar!$B$14,0)</x:f>
        <x:v>0</x:v>
      </x:c>
      <x:c r="AA454" s="83" t="str">
        <x:f>IF($B454="","",IF(OR($K454="",$N454=""),"",CEILING($W454+$X454+$Y454+$Z454,Ayarlar!$B$16)))</x:f>
      </x:c>
      <x:c r="AB454" s="83" t="str">
        <x:f>IFERROR($AA454/$H454,"")</x:f>
      </x:c>
      <x:c r="AC454" s="75" t="str">
        <x:f>IF($B454="","",IF(OR($K454="",$N454=""),"Veri Eksik","Fiyat Hazır"))</x:f>
      </x:c>
      <x:c r="AD454" s="75" t="str">
        <x:f>IF($C454&lt;&gt;"","MW-"&amp;$C454,"")</x:f>
        <x:v>MW-80</x:v>
      </x:c>
      <x:c r="AE454" s="75" t="str">
        <x:f>IF($G454&lt;&gt;"","3D Baskı / "&amp;$G454,"3D Baskı")</x:f>
        <x:v>3D Baskı</x:v>
      </x:c>
      <x:c r="AF454" s="75" t="str">
        <x:f>IF($D454&lt;&gt;"",$D454&amp;" - "&amp;$G454,$AD454&amp;" - "&amp;$G454)</x:f>
        <x:v>MW-80 - </x:v>
      </x:c>
      <x:c r="AG454" s="75" t="str"/>
    </x:row>
    <x:row r="455">
      <x:c r="A455" s="75" t="str">
        <x:f>IF($B455&lt;&gt;"",ROW()-4,"")</x:f>
      </x:c>
      <x:c r="B455" s="75" t="str"/>
      <x:c r="C455" s="75" t="n">
        <x:f>IFERROR(LET(x,MID($B455,FIND("/models/",$B455)+8,80),y,LEFT(x,FIND("-",x&amp;"-")-1),LEFT(y,FIND("?",y&amp;"?")-1)),"")</x:f>
        <x:v>80</x:v>
      </x:c>
      <x:c r="D455" s="75" t="str">
        <x:f>IF($B455="","",IFERROR(XLOOKUP($C455,MakerWorld_Verileri!$A:$A,MakerWorld_Verileri!$B:$B,""),""))</x:f>
      </x:c>
      <x:c r="E455" s="75" t="str">
        <x:f>IF($B455="","",IFERROR(XLOOKUP($C455,MakerWorld_Verileri!$A:$A,MakerWorld_Verileri!$C:$C,""),""))</x:f>
      </x:c>
      <x:c r="F455" s="75" t="str"/>
      <x:c r="G455" s="75" t="str">
        <x:f>IF($B455&lt;&gt;"",Ayarlar!$B$7,"")</x:f>
      </x:c>
      <x:c r="H455" s="82" t="str">
        <x:f>IF($B455&lt;&gt;"",1,"")</x:f>
      </x:c>
      <x:c r="I455" s="82" t="str">
        <x:f>IF($B455="","",IFERROR(XLOOKUP($C455,MakerWorld_Verileri!$A:$A,MakerWorld_Verileri!$D:$D,""),""))</x:f>
      </x:c>
      <x:c r="J455" s="82" t="str"/>
      <x:c r="K455" s="82" t="str">
        <x:f>IF($I455&lt;&gt;"",$I455,$J455)</x:f>
      </x:c>
      <x:c r="L455" s="82" t="str">
        <x:f>IF($B455="","",IFERROR(XLOOKUP($C455,MakerWorld_Verileri!$A:$A,MakerWorld_Verileri!$E:$E,""),""))</x:f>
      </x:c>
      <x:c r="M455" s="82" t="str"/>
      <x:c r="N455" s="82" t="str">
        <x:f>IF($L455&lt;&gt;"",$L455,$M455)</x:f>
      </x:c>
      <x:c r="O455" s="82" t="str">
        <x:f>IF($B455&lt;&gt;"",0,"")</x:f>
      </x:c>
      <x:c r="P455" s="75" t="str">
        <x:f>IF($B455&lt;&gt;"","Orta","")</x:f>
      </x:c>
      <x:c r="Q455" s="82" t="str">
        <x:f>IF($B455&lt;&gt;"",10,"")</x:f>
      </x:c>
      <x:c r="R455" s="83" t="str">
        <x:f>IF($B455&lt;&gt;"",Ayarlar!$B$10,"")</x:f>
      </x:c>
      <x:c r="S455" s="83" t="str">
        <x:f>IF($B455&lt;&gt;"",0,"")</x:f>
      </x:c>
      <x:c r="T455" s="83" t="n">
        <x:f>IFERROR(($K455+$O455)*XLOOKUP($G455,Ayarlar!$A$19:$A$28,Ayarlar!$C$19:$C$28,0)*(1+Ayarlar!$B$11),0)</x:f>
        <x:v>0</x:v>
      </x:c>
      <x:c r="U455" s="83" t="n">
        <x:f>IFERROR($N455/60*Ayarlar!$B$8,0)</x:f>
        <x:v>0</x:v>
      </x:c>
      <x:c r="V455" s="83" t="n">
        <x:f>IF($B455&lt;&gt;"",Ayarlar!$B$12+($Q455/60*Ayarlar!$B$9),0)</x:f>
        <x:v>0</x:v>
      </x:c>
      <x:c r="W455" s="83" t="n">
        <x:f>IF($B455&lt;&gt;"",SUM($T455:$V455,$R455:$S455),0)</x:f>
        <x:v>0</x:v>
      </x:c>
      <x:c r="X455" s="83" t="n">
        <x:f>IF($B455&lt;&gt;"",$W455*Ayarlar!$B$15,0)</x:f>
        <x:v>0</x:v>
      </x:c>
      <x:c r="Y455" s="83" t="n">
        <x:f>IF($B455&lt;&gt;"",($W455+$X455)*Ayarlar!$B$13,0)</x:f>
        <x:v>0</x:v>
      </x:c>
      <x:c r="Z455" s="83" t="n">
        <x:f>IF($B455&lt;&gt;"",($W455+$X455+$Y455)*Ayarlar!$B$14,0)</x:f>
        <x:v>0</x:v>
      </x:c>
      <x:c r="AA455" s="83" t="str">
        <x:f>IF($B455="","",IF(OR($K455="",$N455=""),"",CEILING($W455+$X455+$Y455+$Z455,Ayarlar!$B$16)))</x:f>
      </x:c>
      <x:c r="AB455" s="83" t="str">
        <x:f>IFERROR($AA455/$H455,"")</x:f>
      </x:c>
      <x:c r="AC455" s="75" t="str">
        <x:f>IF($B455="","",IF(OR($K455="",$N455=""),"Veri Eksik","Fiyat Hazır"))</x:f>
      </x:c>
      <x:c r="AD455" s="75" t="str">
        <x:f>IF($C455&lt;&gt;"","MW-"&amp;$C455,"")</x:f>
        <x:v>MW-80</x:v>
      </x:c>
      <x:c r="AE455" s="75" t="str">
        <x:f>IF($G455&lt;&gt;"","3D Baskı / "&amp;$G455,"3D Baskı")</x:f>
        <x:v>3D Baskı</x:v>
      </x:c>
      <x:c r="AF455" s="75" t="str">
        <x:f>IF($D455&lt;&gt;"",$D455&amp;" - "&amp;$G455,$AD455&amp;" - "&amp;$G455)</x:f>
        <x:v>MW-80 - </x:v>
      </x:c>
      <x:c r="AG455" s="75" t="str"/>
    </x:row>
    <x:row r="456">
      <x:c r="A456" s="75" t="str">
        <x:f>IF($B456&lt;&gt;"",ROW()-4,"")</x:f>
      </x:c>
      <x:c r="B456" s="75" t="str"/>
      <x:c r="C456" s="75" t="n">
        <x:f>IFERROR(LET(x,MID($B456,FIND("/models/",$B456)+8,80),y,LEFT(x,FIND("-",x&amp;"-")-1),LEFT(y,FIND("?",y&amp;"?")-1)),"")</x:f>
        <x:v>80</x:v>
      </x:c>
      <x:c r="D456" s="75" t="str">
        <x:f>IF($B456="","",IFERROR(XLOOKUP($C456,MakerWorld_Verileri!$A:$A,MakerWorld_Verileri!$B:$B,""),""))</x:f>
      </x:c>
      <x:c r="E456" s="75" t="str">
        <x:f>IF($B456="","",IFERROR(XLOOKUP($C456,MakerWorld_Verileri!$A:$A,MakerWorld_Verileri!$C:$C,""),""))</x:f>
      </x:c>
      <x:c r="F456" s="75" t="str"/>
      <x:c r="G456" s="75" t="str">
        <x:f>IF($B456&lt;&gt;"",Ayarlar!$B$7,"")</x:f>
      </x:c>
      <x:c r="H456" s="82" t="str">
        <x:f>IF($B456&lt;&gt;"",1,"")</x:f>
      </x:c>
      <x:c r="I456" s="82" t="str">
        <x:f>IF($B456="","",IFERROR(XLOOKUP($C456,MakerWorld_Verileri!$A:$A,MakerWorld_Verileri!$D:$D,""),""))</x:f>
      </x:c>
      <x:c r="J456" s="82" t="str"/>
      <x:c r="K456" s="82" t="str">
        <x:f>IF($I456&lt;&gt;"",$I456,$J456)</x:f>
      </x:c>
      <x:c r="L456" s="82" t="str">
        <x:f>IF($B456="","",IFERROR(XLOOKUP($C456,MakerWorld_Verileri!$A:$A,MakerWorld_Verileri!$E:$E,""),""))</x:f>
      </x:c>
      <x:c r="M456" s="82" t="str"/>
      <x:c r="N456" s="82" t="str">
        <x:f>IF($L456&lt;&gt;"",$L456,$M456)</x:f>
      </x:c>
      <x:c r="O456" s="82" t="str">
        <x:f>IF($B456&lt;&gt;"",0,"")</x:f>
      </x:c>
      <x:c r="P456" s="75" t="str">
        <x:f>IF($B456&lt;&gt;"","Orta","")</x:f>
      </x:c>
      <x:c r="Q456" s="82" t="str">
        <x:f>IF($B456&lt;&gt;"",10,"")</x:f>
      </x:c>
      <x:c r="R456" s="83" t="str">
        <x:f>IF($B456&lt;&gt;"",Ayarlar!$B$10,"")</x:f>
      </x:c>
      <x:c r="S456" s="83" t="str">
        <x:f>IF($B456&lt;&gt;"",0,"")</x:f>
      </x:c>
      <x:c r="T456" s="83" t="n">
        <x:f>IFERROR(($K456+$O456)*XLOOKUP($G456,Ayarlar!$A$19:$A$28,Ayarlar!$C$19:$C$28,0)*(1+Ayarlar!$B$11),0)</x:f>
        <x:v>0</x:v>
      </x:c>
      <x:c r="U456" s="83" t="n">
        <x:f>IFERROR($N456/60*Ayarlar!$B$8,0)</x:f>
        <x:v>0</x:v>
      </x:c>
      <x:c r="V456" s="83" t="n">
        <x:f>IF($B456&lt;&gt;"",Ayarlar!$B$12+($Q456/60*Ayarlar!$B$9),0)</x:f>
        <x:v>0</x:v>
      </x:c>
      <x:c r="W456" s="83" t="n">
        <x:f>IF($B456&lt;&gt;"",SUM($T456:$V456,$R456:$S456),0)</x:f>
        <x:v>0</x:v>
      </x:c>
      <x:c r="X456" s="83" t="n">
        <x:f>IF($B456&lt;&gt;"",$W456*Ayarlar!$B$15,0)</x:f>
        <x:v>0</x:v>
      </x:c>
      <x:c r="Y456" s="83" t="n">
        <x:f>IF($B456&lt;&gt;"",($W456+$X456)*Ayarlar!$B$13,0)</x:f>
        <x:v>0</x:v>
      </x:c>
      <x:c r="Z456" s="83" t="n">
        <x:f>IF($B456&lt;&gt;"",($W456+$X456+$Y456)*Ayarlar!$B$14,0)</x:f>
        <x:v>0</x:v>
      </x:c>
      <x:c r="AA456" s="83" t="str">
        <x:f>IF($B456="","",IF(OR($K456="",$N456=""),"",CEILING($W456+$X456+$Y456+$Z456,Ayarlar!$B$16)))</x:f>
      </x:c>
      <x:c r="AB456" s="83" t="str">
        <x:f>IFERROR($AA456/$H456,"")</x:f>
      </x:c>
      <x:c r="AC456" s="75" t="str">
        <x:f>IF($B456="","",IF(OR($K456="",$N456=""),"Veri Eksik","Fiyat Hazır"))</x:f>
      </x:c>
      <x:c r="AD456" s="75" t="str">
        <x:f>IF($C456&lt;&gt;"","MW-"&amp;$C456,"")</x:f>
        <x:v>MW-80</x:v>
      </x:c>
      <x:c r="AE456" s="75" t="str">
        <x:f>IF($G456&lt;&gt;"","3D Baskı / "&amp;$G456,"3D Baskı")</x:f>
        <x:v>3D Baskı</x:v>
      </x:c>
      <x:c r="AF456" s="75" t="str">
        <x:f>IF($D456&lt;&gt;"",$D456&amp;" - "&amp;$G456,$AD456&amp;" - "&amp;$G456)</x:f>
        <x:v>MW-80 - </x:v>
      </x:c>
      <x:c r="AG456" s="75" t="str"/>
    </x:row>
    <x:row r="457">
      <x:c r="A457" s="75" t="str">
        <x:f>IF($B457&lt;&gt;"",ROW()-4,"")</x:f>
      </x:c>
      <x:c r="B457" s="75" t="str"/>
      <x:c r="C457" s="75" t="n">
        <x:f>IFERROR(LET(x,MID($B457,FIND("/models/",$B457)+8,80),y,LEFT(x,FIND("-",x&amp;"-")-1),LEFT(y,FIND("?",y&amp;"?")-1)),"")</x:f>
        <x:v>80</x:v>
      </x:c>
      <x:c r="D457" s="75" t="str">
        <x:f>IF($B457="","",IFERROR(XLOOKUP($C457,MakerWorld_Verileri!$A:$A,MakerWorld_Verileri!$B:$B,""),""))</x:f>
      </x:c>
      <x:c r="E457" s="75" t="str">
        <x:f>IF($B457="","",IFERROR(XLOOKUP($C457,MakerWorld_Verileri!$A:$A,MakerWorld_Verileri!$C:$C,""),""))</x:f>
      </x:c>
      <x:c r="F457" s="75" t="str"/>
      <x:c r="G457" s="75" t="str">
        <x:f>IF($B457&lt;&gt;"",Ayarlar!$B$7,"")</x:f>
      </x:c>
      <x:c r="H457" s="82" t="str">
        <x:f>IF($B457&lt;&gt;"",1,"")</x:f>
      </x:c>
      <x:c r="I457" s="82" t="str">
        <x:f>IF($B457="","",IFERROR(XLOOKUP($C457,MakerWorld_Verileri!$A:$A,MakerWorld_Verileri!$D:$D,""),""))</x:f>
      </x:c>
      <x:c r="J457" s="82" t="str"/>
      <x:c r="K457" s="82" t="str">
        <x:f>IF($I457&lt;&gt;"",$I457,$J457)</x:f>
      </x:c>
      <x:c r="L457" s="82" t="str">
        <x:f>IF($B457="","",IFERROR(XLOOKUP($C457,MakerWorld_Verileri!$A:$A,MakerWorld_Verileri!$E:$E,""),""))</x:f>
      </x:c>
      <x:c r="M457" s="82" t="str"/>
      <x:c r="N457" s="82" t="str">
        <x:f>IF($L457&lt;&gt;"",$L457,$M457)</x:f>
      </x:c>
      <x:c r="O457" s="82" t="str">
        <x:f>IF($B457&lt;&gt;"",0,"")</x:f>
      </x:c>
      <x:c r="P457" s="75" t="str">
        <x:f>IF($B457&lt;&gt;"","Orta","")</x:f>
      </x:c>
      <x:c r="Q457" s="82" t="str">
        <x:f>IF($B457&lt;&gt;"",10,"")</x:f>
      </x:c>
      <x:c r="R457" s="83" t="str">
        <x:f>IF($B457&lt;&gt;"",Ayarlar!$B$10,"")</x:f>
      </x:c>
      <x:c r="S457" s="83" t="str">
        <x:f>IF($B457&lt;&gt;"",0,"")</x:f>
      </x:c>
      <x:c r="T457" s="83" t="n">
        <x:f>IFERROR(($K457+$O457)*XLOOKUP($G457,Ayarlar!$A$19:$A$28,Ayarlar!$C$19:$C$28,0)*(1+Ayarlar!$B$11),0)</x:f>
        <x:v>0</x:v>
      </x:c>
      <x:c r="U457" s="83" t="n">
        <x:f>IFERROR($N457/60*Ayarlar!$B$8,0)</x:f>
        <x:v>0</x:v>
      </x:c>
      <x:c r="V457" s="83" t="n">
        <x:f>IF($B457&lt;&gt;"",Ayarlar!$B$12+($Q457/60*Ayarlar!$B$9),0)</x:f>
        <x:v>0</x:v>
      </x:c>
      <x:c r="W457" s="83" t="n">
        <x:f>IF($B457&lt;&gt;"",SUM($T457:$V457,$R457:$S457),0)</x:f>
        <x:v>0</x:v>
      </x:c>
      <x:c r="X457" s="83" t="n">
        <x:f>IF($B457&lt;&gt;"",$W457*Ayarlar!$B$15,0)</x:f>
        <x:v>0</x:v>
      </x:c>
      <x:c r="Y457" s="83" t="n">
        <x:f>IF($B457&lt;&gt;"",($W457+$X457)*Ayarlar!$B$13,0)</x:f>
        <x:v>0</x:v>
      </x:c>
      <x:c r="Z457" s="83" t="n">
        <x:f>IF($B457&lt;&gt;"",($W457+$X457+$Y457)*Ayarlar!$B$14,0)</x:f>
        <x:v>0</x:v>
      </x:c>
      <x:c r="AA457" s="83" t="str">
        <x:f>IF($B457="","",IF(OR($K457="",$N457=""),"",CEILING($W457+$X457+$Y457+$Z457,Ayarlar!$B$16)))</x:f>
      </x:c>
      <x:c r="AB457" s="83" t="str">
        <x:f>IFERROR($AA457/$H457,"")</x:f>
      </x:c>
      <x:c r="AC457" s="75" t="str">
        <x:f>IF($B457="","",IF(OR($K457="",$N457=""),"Veri Eksik","Fiyat Hazır"))</x:f>
      </x:c>
      <x:c r="AD457" s="75" t="str">
        <x:f>IF($C457&lt;&gt;"","MW-"&amp;$C457,"")</x:f>
        <x:v>MW-80</x:v>
      </x:c>
      <x:c r="AE457" s="75" t="str">
        <x:f>IF($G457&lt;&gt;"","3D Baskı / "&amp;$G457,"3D Baskı")</x:f>
        <x:v>3D Baskı</x:v>
      </x:c>
      <x:c r="AF457" s="75" t="str">
        <x:f>IF($D457&lt;&gt;"",$D457&amp;" - "&amp;$G457,$AD457&amp;" - "&amp;$G457)</x:f>
        <x:v>MW-80 - </x:v>
      </x:c>
      <x:c r="AG457" s="75" t="str"/>
    </x:row>
    <x:row r="458">
      <x:c r="A458" s="75" t="str">
        <x:f>IF($B458&lt;&gt;"",ROW()-4,"")</x:f>
      </x:c>
      <x:c r="B458" s="75" t="str"/>
      <x:c r="C458" s="75" t="n">
        <x:f>IFERROR(LET(x,MID($B458,FIND("/models/",$B458)+8,80),y,LEFT(x,FIND("-",x&amp;"-")-1),LEFT(y,FIND("?",y&amp;"?")-1)),"")</x:f>
        <x:v>80</x:v>
      </x:c>
      <x:c r="D458" s="75" t="str">
        <x:f>IF($B458="","",IFERROR(XLOOKUP($C458,MakerWorld_Verileri!$A:$A,MakerWorld_Verileri!$B:$B,""),""))</x:f>
      </x:c>
      <x:c r="E458" s="75" t="str">
        <x:f>IF($B458="","",IFERROR(XLOOKUP($C458,MakerWorld_Verileri!$A:$A,MakerWorld_Verileri!$C:$C,""),""))</x:f>
      </x:c>
      <x:c r="F458" s="75" t="str"/>
      <x:c r="G458" s="75" t="str">
        <x:f>IF($B458&lt;&gt;"",Ayarlar!$B$7,"")</x:f>
      </x:c>
      <x:c r="H458" s="82" t="str">
        <x:f>IF($B458&lt;&gt;"",1,"")</x:f>
      </x:c>
      <x:c r="I458" s="82" t="str">
        <x:f>IF($B458="","",IFERROR(XLOOKUP($C458,MakerWorld_Verileri!$A:$A,MakerWorld_Verileri!$D:$D,""),""))</x:f>
      </x:c>
      <x:c r="J458" s="82" t="str"/>
      <x:c r="K458" s="82" t="str">
        <x:f>IF($I458&lt;&gt;"",$I458,$J458)</x:f>
      </x:c>
      <x:c r="L458" s="82" t="str">
        <x:f>IF($B458="","",IFERROR(XLOOKUP($C458,MakerWorld_Verileri!$A:$A,MakerWorld_Verileri!$E:$E,""),""))</x:f>
      </x:c>
      <x:c r="M458" s="82" t="str"/>
      <x:c r="N458" s="82" t="str">
        <x:f>IF($L458&lt;&gt;"",$L458,$M458)</x:f>
      </x:c>
      <x:c r="O458" s="82" t="str">
        <x:f>IF($B458&lt;&gt;"",0,"")</x:f>
      </x:c>
      <x:c r="P458" s="75" t="str">
        <x:f>IF($B458&lt;&gt;"","Orta","")</x:f>
      </x:c>
      <x:c r="Q458" s="82" t="str">
        <x:f>IF($B458&lt;&gt;"",10,"")</x:f>
      </x:c>
      <x:c r="R458" s="83" t="str">
        <x:f>IF($B458&lt;&gt;"",Ayarlar!$B$10,"")</x:f>
      </x:c>
      <x:c r="S458" s="83" t="str">
        <x:f>IF($B458&lt;&gt;"",0,"")</x:f>
      </x:c>
      <x:c r="T458" s="83" t="n">
        <x:f>IFERROR(($K458+$O458)*XLOOKUP($G458,Ayarlar!$A$19:$A$28,Ayarlar!$C$19:$C$28,0)*(1+Ayarlar!$B$11),0)</x:f>
        <x:v>0</x:v>
      </x:c>
      <x:c r="U458" s="83" t="n">
        <x:f>IFERROR($N458/60*Ayarlar!$B$8,0)</x:f>
        <x:v>0</x:v>
      </x:c>
      <x:c r="V458" s="83" t="n">
        <x:f>IF($B458&lt;&gt;"",Ayarlar!$B$12+($Q458/60*Ayarlar!$B$9),0)</x:f>
        <x:v>0</x:v>
      </x:c>
      <x:c r="W458" s="83" t="n">
        <x:f>IF($B458&lt;&gt;"",SUM($T458:$V458,$R458:$S458),0)</x:f>
        <x:v>0</x:v>
      </x:c>
      <x:c r="X458" s="83" t="n">
        <x:f>IF($B458&lt;&gt;"",$W458*Ayarlar!$B$15,0)</x:f>
        <x:v>0</x:v>
      </x:c>
      <x:c r="Y458" s="83" t="n">
        <x:f>IF($B458&lt;&gt;"",($W458+$X458)*Ayarlar!$B$13,0)</x:f>
        <x:v>0</x:v>
      </x:c>
      <x:c r="Z458" s="83" t="n">
        <x:f>IF($B458&lt;&gt;"",($W458+$X458+$Y458)*Ayarlar!$B$14,0)</x:f>
        <x:v>0</x:v>
      </x:c>
      <x:c r="AA458" s="83" t="str">
        <x:f>IF($B458="","",IF(OR($K458="",$N458=""),"",CEILING($W458+$X458+$Y458+$Z458,Ayarlar!$B$16)))</x:f>
      </x:c>
      <x:c r="AB458" s="83" t="str">
        <x:f>IFERROR($AA458/$H458,"")</x:f>
      </x:c>
      <x:c r="AC458" s="75" t="str">
        <x:f>IF($B458="","",IF(OR($K458="",$N458=""),"Veri Eksik","Fiyat Hazır"))</x:f>
      </x:c>
      <x:c r="AD458" s="75" t="str">
        <x:f>IF($C458&lt;&gt;"","MW-"&amp;$C458,"")</x:f>
        <x:v>MW-80</x:v>
      </x:c>
      <x:c r="AE458" s="75" t="str">
        <x:f>IF($G458&lt;&gt;"","3D Baskı / "&amp;$G458,"3D Baskı")</x:f>
        <x:v>3D Baskı</x:v>
      </x:c>
      <x:c r="AF458" s="75" t="str">
        <x:f>IF($D458&lt;&gt;"",$D458&amp;" - "&amp;$G458,$AD458&amp;" - "&amp;$G458)</x:f>
        <x:v>MW-80 - </x:v>
      </x:c>
      <x:c r="AG458" s="75" t="str"/>
    </x:row>
    <x:row r="459">
      <x:c r="A459" s="75" t="str">
        <x:f>IF($B459&lt;&gt;"",ROW()-4,"")</x:f>
      </x:c>
      <x:c r="B459" s="75" t="str"/>
      <x:c r="C459" s="75" t="n">
        <x:f>IFERROR(LET(x,MID($B459,FIND("/models/",$B459)+8,80),y,LEFT(x,FIND("-",x&amp;"-")-1),LEFT(y,FIND("?",y&amp;"?")-1)),"")</x:f>
        <x:v>80</x:v>
      </x:c>
      <x:c r="D459" s="75" t="str">
        <x:f>IF($B459="","",IFERROR(XLOOKUP($C459,MakerWorld_Verileri!$A:$A,MakerWorld_Verileri!$B:$B,""),""))</x:f>
      </x:c>
      <x:c r="E459" s="75" t="str">
        <x:f>IF($B459="","",IFERROR(XLOOKUP($C459,MakerWorld_Verileri!$A:$A,MakerWorld_Verileri!$C:$C,""),""))</x:f>
      </x:c>
      <x:c r="F459" s="75" t="str"/>
      <x:c r="G459" s="75" t="str">
        <x:f>IF($B459&lt;&gt;"",Ayarlar!$B$7,"")</x:f>
      </x:c>
      <x:c r="H459" s="82" t="str">
        <x:f>IF($B459&lt;&gt;"",1,"")</x:f>
      </x:c>
      <x:c r="I459" s="82" t="str">
        <x:f>IF($B459="","",IFERROR(XLOOKUP($C459,MakerWorld_Verileri!$A:$A,MakerWorld_Verileri!$D:$D,""),""))</x:f>
      </x:c>
      <x:c r="J459" s="82" t="str"/>
      <x:c r="K459" s="82" t="str">
        <x:f>IF($I459&lt;&gt;"",$I459,$J459)</x:f>
      </x:c>
      <x:c r="L459" s="82" t="str">
        <x:f>IF($B459="","",IFERROR(XLOOKUP($C459,MakerWorld_Verileri!$A:$A,MakerWorld_Verileri!$E:$E,""),""))</x:f>
      </x:c>
      <x:c r="M459" s="82" t="str"/>
      <x:c r="N459" s="82" t="str">
        <x:f>IF($L459&lt;&gt;"",$L459,$M459)</x:f>
      </x:c>
      <x:c r="O459" s="82" t="str">
        <x:f>IF($B459&lt;&gt;"",0,"")</x:f>
      </x:c>
      <x:c r="P459" s="75" t="str">
        <x:f>IF($B459&lt;&gt;"","Orta","")</x:f>
      </x:c>
      <x:c r="Q459" s="82" t="str">
        <x:f>IF($B459&lt;&gt;"",10,"")</x:f>
      </x:c>
      <x:c r="R459" s="83" t="str">
        <x:f>IF($B459&lt;&gt;"",Ayarlar!$B$10,"")</x:f>
      </x:c>
      <x:c r="S459" s="83" t="str">
        <x:f>IF($B459&lt;&gt;"",0,"")</x:f>
      </x:c>
      <x:c r="T459" s="83" t="n">
        <x:f>IFERROR(($K459+$O459)*XLOOKUP($G459,Ayarlar!$A$19:$A$28,Ayarlar!$C$19:$C$28,0)*(1+Ayarlar!$B$11),0)</x:f>
        <x:v>0</x:v>
      </x:c>
      <x:c r="U459" s="83" t="n">
        <x:f>IFERROR($N459/60*Ayarlar!$B$8,0)</x:f>
        <x:v>0</x:v>
      </x:c>
      <x:c r="V459" s="83" t="n">
        <x:f>IF($B459&lt;&gt;"",Ayarlar!$B$12+($Q459/60*Ayarlar!$B$9),0)</x:f>
        <x:v>0</x:v>
      </x:c>
      <x:c r="W459" s="83" t="n">
        <x:f>IF($B459&lt;&gt;"",SUM($T459:$V459,$R459:$S459),0)</x:f>
        <x:v>0</x:v>
      </x:c>
      <x:c r="X459" s="83" t="n">
        <x:f>IF($B459&lt;&gt;"",$W459*Ayarlar!$B$15,0)</x:f>
        <x:v>0</x:v>
      </x:c>
      <x:c r="Y459" s="83" t="n">
        <x:f>IF($B459&lt;&gt;"",($W459+$X459)*Ayarlar!$B$13,0)</x:f>
        <x:v>0</x:v>
      </x:c>
      <x:c r="Z459" s="83" t="n">
        <x:f>IF($B459&lt;&gt;"",($W459+$X459+$Y459)*Ayarlar!$B$14,0)</x:f>
        <x:v>0</x:v>
      </x:c>
      <x:c r="AA459" s="83" t="str">
        <x:f>IF($B459="","",IF(OR($K459="",$N459=""),"",CEILING($W459+$X459+$Y459+$Z459,Ayarlar!$B$16)))</x:f>
      </x:c>
      <x:c r="AB459" s="83" t="str">
        <x:f>IFERROR($AA459/$H459,"")</x:f>
      </x:c>
      <x:c r="AC459" s="75" t="str">
        <x:f>IF($B459="","",IF(OR($K459="",$N459=""),"Veri Eksik","Fiyat Hazır"))</x:f>
      </x:c>
      <x:c r="AD459" s="75" t="str">
        <x:f>IF($C459&lt;&gt;"","MW-"&amp;$C459,"")</x:f>
        <x:v>MW-80</x:v>
      </x:c>
      <x:c r="AE459" s="75" t="str">
        <x:f>IF($G459&lt;&gt;"","3D Baskı / "&amp;$G459,"3D Baskı")</x:f>
        <x:v>3D Baskı</x:v>
      </x:c>
      <x:c r="AF459" s="75" t="str">
        <x:f>IF($D459&lt;&gt;"",$D459&amp;" - "&amp;$G459,$AD459&amp;" - "&amp;$G459)</x:f>
        <x:v>MW-80 - </x:v>
      </x:c>
      <x:c r="AG459" s="75" t="str"/>
    </x:row>
    <x:row r="460">
      <x:c r="A460" s="75" t="str">
        <x:f>IF($B460&lt;&gt;"",ROW()-4,"")</x:f>
      </x:c>
      <x:c r="B460" s="75" t="str"/>
      <x:c r="C460" s="75" t="n">
        <x:f>IFERROR(LET(x,MID($B460,FIND("/models/",$B460)+8,80),y,LEFT(x,FIND("-",x&amp;"-")-1),LEFT(y,FIND("?",y&amp;"?")-1)),"")</x:f>
        <x:v>80</x:v>
      </x:c>
      <x:c r="D460" s="75" t="str">
        <x:f>IF($B460="","",IFERROR(XLOOKUP($C460,MakerWorld_Verileri!$A:$A,MakerWorld_Verileri!$B:$B,""),""))</x:f>
      </x:c>
      <x:c r="E460" s="75" t="str">
        <x:f>IF($B460="","",IFERROR(XLOOKUP($C460,MakerWorld_Verileri!$A:$A,MakerWorld_Verileri!$C:$C,""),""))</x:f>
      </x:c>
      <x:c r="F460" s="75" t="str"/>
      <x:c r="G460" s="75" t="str">
        <x:f>IF($B460&lt;&gt;"",Ayarlar!$B$7,"")</x:f>
      </x:c>
      <x:c r="H460" s="82" t="str">
        <x:f>IF($B460&lt;&gt;"",1,"")</x:f>
      </x:c>
      <x:c r="I460" s="82" t="str">
        <x:f>IF($B460="","",IFERROR(XLOOKUP($C460,MakerWorld_Verileri!$A:$A,MakerWorld_Verileri!$D:$D,""),""))</x:f>
      </x:c>
      <x:c r="J460" s="82" t="str"/>
      <x:c r="K460" s="82" t="str">
        <x:f>IF($I460&lt;&gt;"",$I460,$J460)</x:f>
      </x:c>
      <x:c r="L460" s="82" t="str">
        <x:f>IF($B460="","",IFERROR(XLOOKUP($C460,MakerWorld_Verileri!$A:$A,MakerWorld_Verileri!$E:$E,""),""))</x:f>
      </x:c>
      <x:c r="M460" s="82" t="str"/>
      <x:c r="N460" s="82" t="str">
        <x:f>IF($L460&lt;&gt;"",$L460,$M460)</x:f>
      </x:c>
      <x:c r="O460" s="82" t="str">
        <x:f>IF($B460&lt;&gt;"",0,"")</x:f>
      </x:c>
      <x:c r="P460" s="75" t="str">
        <x:f>IF($B460&lt;&gt;"","Orta","")</x:f>
      </x:c>
      <x:c r="Q460" s="82" t="str">
        <x:f>IF($B460&lt;&gt;"",10,"")</x:f>
      </x:c>
      <x:c r="R460" s="83" t="str">
        <x:f>IF($B460&lt;&gt;"",Ayarlar!$B$10,"")</x:f>
      </x:c>
      <x:c r="S460" s="83" t="str">
        <x:f>IF($B460&lt;&gt;"",0,"")</x:f>
      </x:c>
      <x:c r="T460" s="83" t="n">
        <x:f>IFERROR(($K460+$O460)*XLOOKUP($G460,Ayarlar!$A$19:$A$28,Ayarlar!$C$19:$C$28,0)*(1+Ayarlar!$B$11),0)</x:f>
        <x:v>0</x:v>
      </x:c>
      <x:c r="U460" s="83" t="n">
        <x:f>IFERROR($N460/60*Ayarlar!$B$8,0)</x:f>
        <x:v>0</x:v>
      </x:c>
      <x:c r="V460" s="83" t="n">
        <x:f>IF($B460&lt;&gt;"",Ayarlar!$B$12+($Q460/60*Ayarlar!$B$9),0)</x:f>
        <x:v>0</x:v>
      </x:c>
      <x:c r="W460" s="83" t="n">
        <x:f>IF($B460&lt;&gt;"",SUM($T460:$V460,$R460:$S460),0)</x:f>
        <x:v>0</x:v>
      </x:c>
      <x:c r="X460" s="83" t="n">
        <x:f>IF($B460&lt;&gt;"",$W460*Ayarlar!$B$15,0)</x:f>
        <x:v>0</x:v>
      </x:c>
      <x:c r="Y460" s="83" t="n">
        <x:f>IF($B460&lt;&gt;"",($W460+$X460)*Ayarlar!$B$13,0)</x:f>
        <x:v>0</x:v>
      </x:c>
      <x:c r="Z460" s="83" t="n">
        <x:f>IF($B460&lt;&gt;"",($W460+$X460+$Y460)*Ayarlar!$B$14,0)</x:f>
        <x:v>0</x:v>
      </x:c>
      <x:c r="AA460" s="83" t="str">
        <x:f>IF($B460="","",IF(OR($K460="",$N460=""),"",CEILING($W460+$X460+$Y460+$Z460,Ayarlar!$B$16)))</x:f>
      </x:c>
      <x:c r="AB460" s="83" t="str">
        <x:f>IFERROR($AA460/$H460,"")</x:f>
      </x:c>
      <x:c r="AC460" s="75" t="str">
        <x:f>IF($B460="","",IF(OR($K460="",$N460=""),"Veri Eksik","Fiyat Hazır"))</x:f>
      </x:c>
      <x:c r="AD460" s="75" t="str">
        <x:f>IF($C460&lt;&gt;"","MW-"&amp;$C460,"")</x:f>
        <x:v>MW-80</x:v>
      </x:c>
      <x:c r="AE460" s="75" t="str">
        <x:f>IF($G460&lt;&gt;"","3D Baskı / "&amp;$G460,"3D Baskı")</x:f>
        <x:v>3D Baskı</x:v>
      </x:c>
      <x:c r="AF460" s="75" t="str">
        <x:f>IF($D460&lt;&gt;"",$D460&amp;" - "&amp;$G460,$AD460&amp;" - "&amp;$G460)</x:f>
        <x:v>MW-80 - </x:v>
      </x:c>
      <x:c r="AG460" s="75" t="str"/>
    </x:row>
    <x:row r="461">
      <x:c r="A461" s="75" t="str">
        <x:f>IF($B461&lt;&gt;"",ROW()-4,"")</x:f>
      </x:c>
      <x:c r="B461" s="75" t="str"/>
      <x:c r="C461" s="75" t="n">
        <x:f>IFERROR(LET(x,MID($B461,FIND("/models/",$B461)+8,80),y,LEFT(x,FIND("-",x&amp;"-")-1),LEFT(y,FIND("?",y&amp;"?")-1)),"")</x:f>
        <x:v>80</x:v>
      </x:c>
      <x:c r="D461" s="75" t="str">
        <x:f>IF($B461="","",IFERROR(XLOOKUP($C461,MakerWorld_Verileri!$A:$A,MakerWorld_Verileri!$B:$B,""),""))</x:f>
      </x:c>
      <x:c r="E461" s="75" t="str">
        <x:f>IF($B461="","",IFERROR(XLOOKUP($C461,MakerWorld_Verileri!$A:$A,MakerWorld_Verileri!$C:$C,""),""))</x:f>
      </x:c>
      <x:c r="F461" s="75" t="str"/>
      <x:c r="G461" s="75" t="str">
        <x:f>IF($B461&lt;&gt;"",Ayarlar!$B$7,"")</x:f>
      </x:c>
      <x:c r="H461" s="82" t="str">
        <x:f>IF($B461&lt;&gt;"",1,"")</x:f>
      </x:c>
      <x:c r="I461" s="82" t="str">
        <x:f>IF($B461="","",IFERROR(XLOOKUP($C461,MakerWorld_Verileri!$A:$A,MakerWorld_Verileri!$D:$D,""),""))</x:f>
      </x:c>
      <x:c r="J461" s="82" t="str"/>
      <x:c r="K461" s="82" t="str">
        <x:f>IF($I461&lt;&gt;"",$I461,$J461)</x:f>
      </x:c>
      <x:c r="L461" s="82" t="str">
        <x:f>IF($B461="","",IFERROR(XLOOKUP($C461,MakerWorld_Verileri!$A:$A,MakerWorld_Verileri!$E:$E,""),""))</x:f>
      </x:c>
      <x:c r="M461" s="82" t="str"/>
      <x:c r="N461" s="82" t="str">
        <x:f>IF($L461&lt;&gt;"",$L461,$M461)</x:f>
      </x:c>
      <x:c r="O461" s="82" t="str">
        <x:f>IF($B461&lt;&gt;"",0,"")</x:f>
      </x:c>
      <x:c r="P461" s="75" t="str">
        <x:f>IF($B461&lt;&gt;"","Orta","")</x:f>
      </x:c>
      <x:c r="Q461" s="82" t="str">
        <x:f>IF($B461&lt;&gt;"",10,"")</x:f>
      </x:c>
      <x:c r="R461" s="83" t="str">
        <x:f>IF($B461&lt;&gt;"",Ayarlar!$B$10,"")</x:f>
      </x:c>
      <x:c r="S461" s="83" t="str">
        <x:f>IF($B461&lt;&gt;"",0,"")</x:f>
      </x:c>
      <x:c r="T461" s="83" t="n">
        <x:f>IFERROR(($K461+$O461)*XLOOKUP($G461,Ayarlar!$A$19:$A$28,Ayarlar!$C$19:$C$28,0)*(1+Ayarlar!$B$11),0)</x:f>
        <x:v>0</x:v>
      </x:c>
      <x:c r="U461" s="83" t="n">
        <x:f>IFERROR($N461/60*Ayarlar!$B$8,0)</x:f>
        <x:v>0</x:v>
      </x:c>
      <x:c r="V461" s="83" t="n">
        <x:f>IF($B461&lt;&gt;"",Ayarlar!$B$12+($Q461/60*Ayarlar!$B$9),0)</x:f>
        <x:v>0</x:v>
      </x:c>
      <x:c r="W461" s="83" t="n">
        <x:f>IF($B461&lt;&gt;"",SUM($T461:$V461,$R461:$S461),0)</x:f>
        <x:v>0</x:v>
      </x:c>
      <x:c r="X461" s="83" t="n">
        <x:f>IF($B461&lt;&gt;"",$W461*Ayarlar!$B$15,0)</x:f>
        <x:v>0</x:v>
      </x:c>
      <x:c r="Y461" s="83" t="n">
        <x:f>IF($B461&lt;&gt;"",($W461+$X461)*Ayarlar!$B$13,0)</x:f>
        <x:v>0</x:v>
      </x:c>
      <x:c r="Z461" s="83" t="n">
        <x:f>IF($B461&lt;&gt;"",($W461+$X461+$Y461)*Ayarlar!$B$14,0)</x:f>
        <x:v>0</x:v>
      </x:c>
      <x:c r="AA461" s="83" t="str">
        <x:f>IF($B461="","",IF(OR($K461="",$N461=""),"",CEILING($W461+$X461+$Y461+$Z461,Ayarlar!$B$16)))</x:f>
      </x:c>
      <x:c r="AB461" s="83" t="str">
        <x:f>IFERROR($AA461/$H461,"")</x:f>
      </x:c>
      <x:c r="AC461" s="75" t="str">
        <x:f>IF($B461="","",IF(OR($K461="",$N461=""),"Veri Eksik","Fiyat Hazır"))</x:f>
      </x:c>
      <x:c r="AD461" s="75" t="str">
        <x:f>IF($C461&lt;&gt;"","MW-"&amp;$C461,"")</x:f>
        <x:v>MW-80</x:v>
      </x:c>
      <x:c r="AE461" s="75" t="str">
        <x:f>IF($G461&lt;&gt;"","3D Baskı / "&amp;$G461,"3D Baskı")</x:f>
        <x:v>3D Baskı</x:v>
      </x:c>
      <x:c r="AF461" s="75" t="str">
        <x:f>IF($D461&lt;&gt;"",$D461&amp;" - "&amp;$G461,$AD461&amp;" - "&amp;$G461)</x:f>
        <x:v>MW-80 - </x:v>
      </x:c>
      <x:c r="AG461" s="75" t="str"/>
    </x:row>
    <x:row r="462">
      <x:c r="A462" s="75" t="str">
        <x:f>IF($B462&lt;&gt;"",ROW()-4,"")</x:f>
      </x:c>
      <x:c r="B462" s="75" t="str"/>
      <x:c r="C462" s="75" t="n">
        <x:f>IFERROR(LET(x,MID($B462,FIND("/models/",$B462)+8,80),y,LEFT(x,FIND("-",x&amp;"-")-1),LEFT(y,FIND("?",y&amp;"?")-1)),"")</x:f>
        <x:v>80</x:v>
      </x:c>
      <x:c r="D462" s="75" t="str">
        <x:f>IF($B462="","",IFERROR(XLOOKUP($C462,MakerWorld_Verileri!$A:$A,MakerWorld_Verileri!$B:$B,""),""))</x:f>
      </x:c>
      <x:c r="E462" s="75" t="str">
        <x:f>IF($B462="","",IFERROR(XLOOKUP($C462,MakerWorld_Verileri!$A:$A,MakerWorld_Verileri!$C:$C,""),""))</x:f>
      </x:c>
      <x:c r="F462" s="75" t="str"/>
      <x:c r="G462" s="75" t="str">
        <x:f>IF($B462&lt;&gt;"",Ayarlar!$B$7,"")</x:f>
      </x:c>
      <x:c r="H462" s="82" t="str">
        <x:f>IF($B462&lt;&gt;"",1,"")</x:f>
      </x:c>
      <x:c r="I462" s="82" t="str">
        <x:f>IF($B462="","",IFERROR(XLOOKUP($C462,MakerWorld_Verileri!$A:$A,MakerWorld_Verileri!$D:$D,""),""))</x:f>
      </x:c>
      <x:c r="J462" s="82" t="str"/>
      <x:c r="K462" s="82" t="str">
        <x:f>IF($I462&lt;&gt;"",$I462,$J462)</x:f>
      </x:c>
      <x:c r="L462" s="82" t="str">
        <x:f>IF($B462="","",IFERROR(XLOOKUP($C462,MakerWorld_Verileri!$A:$A,MakerWorld_Verileri!$E:$E,""),""))</x:f>
      </x:c>
      <x:c r="M462" s="82" t="str"/>
      <x:c r="N462" s="82" t="str">
        <x:f>IF($L462&lt;&gt;"",$L462,$M462)</x:f>
      </x:c>
      <x:c r="O462" s="82" t="str">
        <x:f>IF($B462&lt;&gt;"",0,"")</x:f>
      </x:c>
      <x:c r="P462" s="75" t="str">
        <x:f>IF($B462&lt;&gt;"","Orta","")</x:f>
      </x:c>
      <x:c r="Q462" s="82" t="str">
        <x:f>IF($B462&lt;&gt;"",10,"")</x:f>
      </x:c>
      <x:c r="R462" s="83" t="str">
        <x:f>IF($B462&lt;&gt;"",Ayarlar!$B$10,"")</x:f>
      </x:c>
      <x:c r="S462" s="83" t="str">
        <x:f>IF($B462&lt;&gt;"",0,"")</x:f>
      </x:c>
      <x:c r="T462" s="83" t="n">
        <x:f>IFERROR(($K462+$O462)*XLOOKUP($G462,Ayarlar!$A$19:$A$28,Ayarlar!$C$19:$C$28,0)*(1+Ayarlar!$B$11),0)</x:f>
        <x:v>0</x:v>
      </x:c>
      <x:c r="U462" s="83" t="n">
        <x:f>IFERROR($N462/60*Ayarlar!$B$8,0)</x:f>
        <x:v>0</x:v>
      </x:c>
      <x:c r="V462" s="83" t="n">
        <x:f>IF($B462&lt;&gt;"",Ayarlar!$B$12+($Q462/60*Ayarlar!$B$9),0)</x:f>
        <x:v>0</x:v>
      </x:c>
      <x:c r="W462" s="83" t="n">
        <x:f>IF($B462&lt;&gt;"",SUM($T462:$V462,$R462:$S462),0)</x:f>
        <x:v>0</x:v>
      </x:c>
      <x:c r="X462" s="83" t="n">
        <x:f>IF($B462&lt;&gt;"",$W462*Ayarlar!$B$15,0)</x:f>
        <x:v>0</x:v>
      </x:c>
      <x:c r="Y462" s="83" t="n">
        <x:f>IF($B462&lt;&gt;"",($W462+$X462)*Ayarlar!$B$13,0)</x:f>
        <x:v>0</x:v>
      </x:c>
      <x:c r="Z462" s="83" t="n">
        <x:f>IF($B462&lt;&gt;"",($W462+$X462+$Y462)*Ayarlar!$B$14,0)</x:f>
        <x:v>0</x:v>
      </x:c>
      <x:c r="AA462" s="83" t="str">
        <x:f>IF($B462="","",IF(OR($K462="",$N462=""),"",CEILING($W462+$X462+$Y462+$Z462,Ayarlar!$B$16)))</x:f>
      </x:c>
      <x:c r="AB462" s="83" t="str">
        <x:f>IFERROR($AA462/$H462,"")</x:f>
      </x:c>
      <x:c r="AC462" s="75" t="str">
        <x:f>IF($B462="","",IF(OR($K462="",$N462=""),"Veri Eksik","Fiyat Hazır"))</x:f>
      </x:c>
      <x:c r="AD462" s="75" t="str">
        <x:f>IF($C462&lt;&gt;"","MW-"&amp;$C462,"")</x:f>
        <x:v>MW-80</x:v>
      </x:c>
      <x:c r="AE462" s="75" t="str">
        <x:f>IF($G462&lt;&gt;"","3D Baskı / "&amp;$G462,"3D Baskı")</x:f>
        <x:v>3D Baskı</x:v>
      </x:c>
      <x:c r="AF462" s="75" t="str">
        <x:f>IF($D462&lt;&gt;"",$D462&amp;" - "&amp;$G462,$AD462&amp;" - "&amp;$G462)</x:f>
        <x:v>MW-80 - </x:v>
      </x:c>
      <x:c r="AG462" s="75" t="str"/>
    </x:row>
    <x:row r="463">
      <x:c r="A463" s="75" t="str">
        <x:f>IF($B463&lt;&gt;"",ROW()-4,"")</x:f>
      </x:c>
      <x:c r="B463" s="75" t="str"/>
      <x:c r="C463" s="75" t="n">
        <x:f>IFERROR(LET(x,MID($B463,FIND("/models/",$B463)+8,80),y,LEFT(x,FIND("-",x&amp;"-")-1),LEFT(y,FIND("?",y&amp;"?")-1)),"")</x:f>
        <x:v>80</x:v>
      </x:c>
      <x:c r="D463" s="75" t="str">
        <x:f>IF($B463="","",IFERROR(XLOOKUP($C463,MakerWorld_Verileri!$A:$A,MakerWorld_Verileri!$B:$B,""),""))</x:f>
      </x:c>
      <x:c r="E463" s="75" t="str">
        <x:f>IF($B463="","",IFERROR(XLOOKUP($C463,MakerWorld_Verileri!$A:$A,MakerWorld_Verileri!$C:$C,""),""))</x:f>
      </x:c>
      <x:c r="F463" s="75" t="str"/>
      <x:c r="G463" s="75" t="str">
        <x:f>IF($B463&lt;&gt;"",Ayarlar!$B$7,"")</x:f>
      </x:c>
      <x:c r="H463" s="82" t="str">
        <x:f>IF($B463&lt;&gt;"",1,"")</x:f>
      </x:c>
      <x:c r="I463" s="82" t="str">
        <x:f>IF($B463="","",IFERROR(XLOOKUP($C463,MakerWorld_Verileri!$A:$A,MakerWorld_Verileri!$D:$D,""),""))</x:f>
      </x:c>
      <x:c r="J463" s="82" t="str"/>
      <x:c r="K463" s="82" t="str">
        <x:f>IF($I463&lt;&gt;"",$I463,$J463)</x:f>
      </x:c>
      <x:c r="L463" s="82" t="str">
        <x:f>IF($B463="","",IFERROR(XLOOKUP($C463,MakerWorld_Verileri!$A:$A,MakerWorld_Verileri!$E:$E,""),""))</x:f>
      </x:c>
      <x:c r="M463" s="82" t="str"/>
      <x:c r="N463" s="82" t="str">
        <x:f>IF($L463&lt;&gt;"",$L463,$M463)</x:f>
      </x:c>
      <x:c r="O463" s="82" t="str">
        <x:f>IF($B463&lt;&gt;"",0,"")</x:f>
      </x:c>
      <x:c r="P463" s="75" t="str">
        <x:f>IF($B463&lt;&gt;"","Orta","")</x:f>
      </x:c>
      <x:c r="Q463" s="82" t="str">
        <x:f>IF($B463&lt;&gt;"",10,"")</x:f>
      </x:c>
      <x:c r="R463" s="83" t="str">
        <x:f>IF($B463&lt;&gt;"",Ayarlar!$B$10,"")</x:f>
      </x:c>
      <x:c r="S463" s="83" t="str">
        <x:f>IF($B463&lt;&gt;"",0,"")</x:f>
      </x:c>
      <x:c r="T463" s="83" t="n">
        <x:f>IFERROR(($K463+$O463)*XLOOKUP($G463,Ayarlar!$A$19:$A$28,Ayarlar!$C$19:$C$28,0)*(1+Ayarlar!$B$11),0)</x:f>
        <x:v>0</x:v>
      </x:c>
      <x:c r="U463" s="83" t="n">
        <x:f>IFERROR($N463/60*Ayarlar!$B$8,0)</x:f>
        <x:v>0</x:v>
      </x:c>
      <x:c r="V463" s="83" t="n">
        <x:f>IF($B463&lt;&gt;"",Ayarlar!$B$12+($Q463/60*Ayarlar!$B$9),0)</x:f>
        <x:v>0</x:v>
      </x:c>
      <x:c r="W463" s="83" t="n">
        <x:f>IF($B463&lt;&gt;"",SUM($T463:$V463,$R463:$S463),0)</x:f>
        <x:v>0</x:v>
      </x:c>
      <x:c r="X463" s="83" t="n">
        <x:f>IF($B463&lt;&gt;"",$W463*Ayarlar!$B$15,0)</x:f>
        <x:v>0</x:v>
      </x:c>
      <x:c r="Y463" s="83" t="n">
        <x:f>IF($B463&lt;&gt;"",($W463+$X463)*Ayarlar!$B$13,0)</x:f>
        <x:v>0</x:v>
      </x:c>
      <x:c r="Z463" s="83" t="n">
        <x:f>IF($B463&lt;&gt;"",($W463+$X463+$Y463)*Ayarlar!$B$14,0)</x:f>
        <x:v>0</x:v>
      </x:c>
      <x:c r="AA463" s="83" t="str">
        <x:f>IF($B463="","",IF(OR($K463="",$N463=""),"",CEILING($W463+$X463+$Y463+$Z463,Ayarlar!$B$16)))</x:f>
      </x:c>
      <x:c r="AB463" s="83" t="str">
        <x:f>IFERROR($AA463/$H463,"")</x:f>
      </x:c>
      <x:c r="AC463" s="75" t="str">
        <x:f>IF($B463="","",IF(OR($K463="",$N463=""),"Veri Eksik","Fiyat Hazır"))</x:f>
      </x:c>
      <x:c r="AD463" s="75" t="str">
        <x:f>IF($C463&lt;&gt;"","MW-"&amp;$C463,"")</x:f>
        <x:v>MW-80</x:v>
      </x:c>
      <x:c r="AE463" s="75" t="str">
        <x:f>IF($G463&lt;&gt;"","3D Baskı / "&amp;$G463,"3D Baskı")</x:f>
        <x:v>3D Baskı</x:v>
      </x:c>
      <x:c r="AF463" s="75" t="str">
        <x:f>IF($D463&lt;&gt;"",$D463&amp;" - "&amp;$G463,$AD463&amp;" - "&amp;$G463)</x:f>
        <x:v>MW-80 - </x:v>
      </x:c>
      <x:c r="AG463" s="75" t="str"/>
    </x:row>
    <x:row r="464">
      <x:c r="A464" s="75" t="str">
        <x:f>IF($B464&lt;&gt;"",ROW()-4,"")</x:f>
      </x:c>
      <x:c r="B464" s="75" t="str"/>
      <x:c r="C464" s="75" t="n">
        <x:f>IFERROR(LET(x,MID($B464,FIND("/models/",$B464)+8,80),y,LEFT(x,FIND("-",x&amp;"-")-1),LEFT(y,FIND("?",y&amp;"?")-1)),"")</x:f>
        <x:v>80</x:v>
      </x:c>
      <x:c r="D464" s="75" t="str">
        <x:f>IF($B464="","",IFERROR(XLOOKUP($C464,MakerWorld_Verileri!$A:$A,MakerWorld_Verileri!$B:$B,""),""))</x:f>
      </x:c>
      <x:c r="E464" s="75" t="str">
        <x:f>IF($B464="","",IFERROR(XLOOKUP($C464,MakerWorld_Verileri!$A:$A,MakerWorld_Verileri!$C:$C,""),""))</x:f>
      </x:c>
      <x:c r="F464" s="75" t="str"/>
      <x:c r="G464" s="75" t="str">
        <x:f>IF($B464&lt;&gt;"",Ayarlar!$B$7,"")</x:f>
      </x:c>
      <x:c r="H464" s="82" t="str">
        <x:f>IF($B464&lt;&gt;"",1,"")</x:f>
      </x:c>
      <x:c r="I464" s="82" t="str">
        <x:f>IF($B464="","",IFERROR(XLOOKUP($C464,MakerWorld_Verileri!$A:$A,MakerWorld_Verileri!$D:$D,""),""))</x:f>
      </x:c>
      <x:c r="J464" s="82" t="str"/>
      <x:c r="K464" s="82" t="str">
        <x:f>IF($I464&lt;&gt;"",$I464,$J464)</x:f>
      </x:c>
      <x:c r="L464" s="82" t="str">
        <x:f>IF($B464="","",IFERROR(XLOOKUP($C464,MakerWorld_Verileri!$A:$A,MakerWorld_Verileri!$E:$E,""),""))</x:f>
      </x:c>
      <x:c r="M464" s="82" t="str"/>
      <x:c r="N464" s="82" t="str">
        <x:f>IF($L464&lt;&gt;"",$L464,$M464)</x:f>
      </x:c>
      <x:c r="O464" s="82" t="str">
        <x:f>IF($B464&lt;&gt;"",0,"")</x:f>
      </x:c>
      <x:c r="P464" s="75" t="str">
        <x:f>IF($B464&lt;&gt;"","Orta","")</x:f>
      </x:c>
      <x:c r="Q464" s="82" t="str">
        <x:f>IF($B464&lt;&gt;"",10,"")</x:f>
      </x:c>
      <x:c r="R464" s="83" t="str">
        <x:f>IF($B464&lt;&gt;"",Ayarlar!$B$10,"")</x:f>
      </x:c>
      <x:c r="S464" s="83" t="str">
        <x:f>IF($B464&lt;&gt;"",0,"")</x:f>
      </x:c>
      <x:c r="T464" s="83" t="n">
        <x:f>IFERROR(($K464+$O464)*XLOOKUP($G464,Ayarlar!$A$19:$A$28,Ayarlar!$C$19:$C$28,0)*(1+Ayarlar!$B$11),0)</x:f>
        <x:v>0</x:v>
      </x:c>
      <x:c r="U464" s="83" t="n">
        <x:f>IFERROR($N464/60*Ayarlar!$B$8,0)</x:f>
        <x:v>0</x:v>
      </x:c>
      <x:c r="V464" s="83" t="n">
        <x:f>IF($B464&lt;&gt;"",Ayarlar!$B$12+($Q464/60*Ayarlar!$B$9),0)</x:f>
        <x:v>0</x:v>
      </x:c>
      <x:c r="W464" s="83" t="n">
        <x:f>IF($B464&lt;&gt;"",SUM($T464:$V464,$R464:$S464),0)</x:f>
        <x:v>0</x:v>
      </x:c>
      <x:c r="X464" s="83" t="n">
        <x:f>IF($B464&lt;&gt;"",$W464*Ayarlar!$B$15,0)</x:f>
        <x:v>0</x:v>
      </x:c>
      <x:c r="Y464" s="83" t="n">
        <x:f>IF($B464&lt;&gt;"",($W464+$X464)*Ayarlar!$B$13,0)</x:f>
        <x:v>0</x:v>
      </x:c>
      <x:c r="Z464" s="83" t="n">
        <x:f>IF($B464&lt;&gt;"",($W464+$X464+$Y464)*Ayarlar!$B$14,0)</x:f>
        <x:v>0</x:v>
      </x:c>
      <x:c r="AA464" s="83" t="str">
        <x:f>IF($B464="","",IF(OR($K464="",$N464=""),"",CEILING($W464+$X464+$Y464+$Z464,Ayarlar!$B$16)))</x:f>
      </x:c>
      <x:c r="AB464" s="83" t="str">
        <x:f>IFERROR($AA464/$H464,"")</x:f>
      </x:c>
      <x:c r="AC464" s="75" t="str">
        <x:f>IF($B464="","",IF(OR($K464="",$N464=""),"Veri Eksik","Fiyat Hazır"))</x:f>
      </x:c>
      <x:c r="AD464" s="75" t="str">
        <x:f>IF($C464&lt;&gt;"","MW-"&amp;$C464,"")</x:f>
        <x:v>MW-80</x:v>
      </x:c>
      <x:c r="AE464" s="75" t="str">
        <x:f>IF($G464&lt;&gt;"","3D Baskı / "&amp;$G464,"3D Baskı")</x:f>
        <x:v>3D Baskı</x:v>
      </x:c>
      <x:c r="AF464" s="75" t="str">
        <x:f>IF($D464&lt;&gt;"",$D464&amp;" - "&amp;$G464,$AD464&amp;" - "&amp;$G464)</x:f>
        <x:v>MW-80 - </x:v>
      </x:c>
      <x:c r="AG464" s="75" t="str"/>
    </x:row>
    <x:row r="465">
      <x:c r="A465" s="75" t="str">
        <x:f>IF($B465&lt;&gt;"",ROW()-4,"")</x:f>
      </x:c>
      <x:c r="B465" s="75" t="str"/>
      <x:c r="C465" s="75" t="n">
        <x:f>IFERROR(LET(x,MID($B465,FIND("/models/",$B465)+8,80),y,LEFT(x,FIND("-",x&amp;"-")-1),LEFT(y,FIND("?",y&amp;"?")-1)),"")</x:f>
        <x:v>80</x:v>
      </x:c>
      <x:c r="D465" s="75" t="str">
        <x:f>IF($B465="","",IFERROR(XLOOKUP($C465,MakerWorld_Verileri!$A:$A,MakerWorld_Verileri!$B:$B,""),""))</x:f>
      </x:c>
      <x:c r="E465" s="75" t="str">
        <x:f>IF($B465="","",IFERROR(XLOOKUP($C465,MakerWorld_Verileri!$A:$A,MakerWorld_Verileri!$C:$C,""),""))</x:f>
      </x:c>
      <x:c r="F465" s="75" t="str"/>
      <x:c r="G465" s="75" t="str">
        <x:f>IF($B465&lt;&gt;"",Ayarlar!$B$7,"")</x:f>
      </x:c>
      <x:c r="H465" s="82" t="str">
        <x:f>IF($B465&lt;&gt;"",1,"")</x:f>
      </x:c>
      <x:c r="I465" s="82" t="str">
        <x:f>IF($B465="","",IFERROR(XLOOKUP($C465,MakerWorld_Verileri!$A:$A,MakerWorld_Verileri!$D:$D,""),""))</x:f>
      </x:c>
      <x:c r="J465" s="82" t="str"/>
      <x:c r="K465" s="82" t="str">
        <x:f>IF($I465&lt;&gt;"",$I465,$J465)</x:f>
      </x:c>
      <x:c r="L465" s="82" t="str">
        <x:f>IF($B465="","",IFERROR(XLOOKUP($C465,MakerWorld_Verileri!$A:$A,MakerWorld_Verileri!$E:$E,""),""))</x:f>
      </x:c>
      <x:c r="M465" s="82" t="str"/>
      <x:c r="N465" s="82" t="str">
        <x:f>IF($L465&lt;&gt;"",$L465,$M465)</x:f>
      </x:c>
      <x:c r="O465" s="82" t="str">
        <x:f>IF($B465&lt;&gt;"",0,"")</x:f>
      </x:c>
      <x:c r="P465" s="75" t="str">
        <x:f>IF($B465&lt;&gt;"","Orta","")</x:f>
      </x:c>
      <x:c r="Q465" s="82" t="str">
        <x:f>IF($B465&lt;&gt;"",10,"")</x:f>
      </x:c>
      <x:c r="R465" s="83" t="str">
        <x:f>IF($B465&lt;&gt;"",Ayarlar!$B$10,"")</x:f>
      </x:c>
      <x:c r="S465" s="83" t="str">
        <x:f>IF($B465&lt;&gt;"",0,"")</x:f>
      </x:c>
      <x:c r="T465" s="83" t="n">
        <x:f>IFERROR(($K465+$O465)*XLOOKUP($G465,Ayarlar!$A$19:$A$28,Ayarlar!$C$19:$C$28,0)*(1+Ayarlar!$B$11),0)</x:f>
        <x:v>0</x:v>
      </x:c>
      <x:c r="U465" s="83" t="n">
        <x:f>IFERROR($N465/60*Ayarlar!$B$8,0)</x:f>
        <x:v>0</x:v>
      </x:c>
      <x:c r="V465" s="83" t="n">
        <x:f>IF($B465&lt;&gt;"",Ayarlar!$B$12+($Q465/60*Ayarlar!$B$9),0)</x:f>
        <x:v>0</x:v>
      </x:c>
      <x:c r="W465" s="83" t="n">
        <x:f>IF($B465&lt;&gt;"",SUM($T465:$V465,$R465:$S465),0)</x:f>
        <x:v>0</x:v>
      </x:c>
      <x:c r="X465" s="83" t="n">
        <x:f>IF($B465&lt;&gt;"",$W465*Ayarlar!$B$15,0)</x:f>
        <x:v>0</x:v>
      </x:c>
      <x:c r="Y465" s="83" t="n">
        <x:f>IF($B465&lt;&gt;"",($W465+$X465)*Ayarlar!$B$13,0)</x:f>
        <x:v>0</x:v>
      </x:c>
      <x:c r="Z465" s="83" t="n">
        <x:f>IF($B465&lt;&gt;"",($W465+$X465+$Y465)*Ayarlar!$B$14,0)</x:f>
        <x:v>0</x:v>
      </x:c>
      <x:c r="AA465" s="83" t="str">
        <x:f>IF($B465="","",IF(OR($K465="",$N465=""),"",CEILING($W465+$X465+$Y465+$Z465,Ayarlar!$B$16)))</x:f>
      </x:c>
      <x:c r="AB465" s="83" t="str">
        <x:f>IFERROR($AA465/$H465,"")</x:f>
      </x:c>
      <x:c r="AC465" s="75" t="str">
        <x:f>IF($B465="","",IF(OR($K465="",$N465=""),"Veri Eksik","Fiyat Hazır"))</x:f>
      </x:c>
      <x:c r="AD465" s="75" t="str">
        <x:f>IF($C465&lt;&gt;"","MW-"&amp;$C465,"")</x:f>
        <x:v>MW-80</x:v>
      </x:c>
      <x:c r="AE465" s="75" t="str">
        <x:f>IF($G465&lt;&gt;"","3D Baskı / "&amp;$G465,"3D Baskı")</x:f>
        <x:v>3D Baskı</x:v>
      </x:c>
      <x:c r="AF465" s="75" t="str">
        <x:f>IF($D465&lt;&gt;"",$D465&amp;" - "&amp;$G465,$AD465&amp;" - "&amp;$G465)</x:f>
        <x:v>MW-80 - </x:v>
      </x:c>
      <x:c r="AG465" s="75" t="str"/>
    </x:row>
    <x:row r="466">
      <x:c r="A466" s="75" t="str">
        <x:f>IF($B466&lt;&gt;"",ROW()-4,"")</x:f>
      </x:c>
      <x:c r="B466" s="75" t="str"/>
      <x:c r="C466" s="75" t="n">
        <x:f>IFERROR(LET(x,MID($B466,FIND("/models/",$B466)+8,80),y,LEFT(x,FIND("-",x&amp;"-")-1),LEFT(y,FIND("?",y&amp;"?")-1)),"")</x:f>
        <x:v>80</x:v>
      </x:c>
      <x:c r="D466" s="75" t="str">
        <x:f>IF($B466="","",IFERROR(XLOOKUP($C466,MakerWorld_Verileri!$A:$A,MakerWorld_Verileri!$B:$B,""),""))</x:f>
      </x:c>
      <x:c r="E466" s="75" t="str">
        <x:f>IF($B466="","",IFERROR(XLOOKUP($C466,MakerWorld_Verileri!$A:$A,MakerWorld_Verileri!$C:$C,""),""))</x:f>
      </x:c>
      <x:c r="F466" s="75" t="str"/>
      <x:c r="G466" s="75" t="str">
        <x:f>IF($B466&lt;&gt;"",Ayarlar!$B$7,"")</x:f>
      </x:c>
      <x:c r="H466" s="82" t="str">
        <x:f>IF($B466&lt;&gt;"",1,"")</x:f>
      </x:c>
      <x:c r="I466" s="82" t="str">
        <x:f>IF($B466="","",IFERROR(XLOOKUP($C466,MakerWorld_Verileri!$A:$A,MakerWorld_Verileri!$D:$D,""),""))</x:f>
      </x:c>
      <x:c r="J466" s="82" t="str"/>
      <x:c r="K466" s="82" t="str">
        <x:f>IF($I466&lt;&gt;"",$I466,$J466)</x:f>
      </x:c>
      <x:c r="L466" s="82" t="str">
        <x:f>IF($B466="","",IFERROR(XLOOKUP($C466,MakerWorld_Verileri!$A:$A,MakerWorld_Verileri!$E:$E,""),""))</x:f>
      </x:c>
      <x:c r="M466" s="82" t="str"/>
      <x:c r="N466" s="82" t="str">
        <x:f>IF($L466&lt;&gt;"",$L466,$M466)</x:f>
      </x:c>
      <x:c r="O466" s="82" t="str">
        <x:f>IF($B466&lt;&gt;"",0,"")</x:f>
      </x:c>
      <x:c r="P466" s="75" t="str">
        <x:f>IF($B466&lt;&gt;"","Orta","")</x:f>
      </x:c>
      <x:c r="Q466" s="82" t="str">
        <x:f>IF($B466&lt;&gt;"",10,"")</x:f>
      </x:c>
      <x:c r="R466" s="83" t="str">
        <x:f>IF($B466&lt;&gt;"",Ayarlar!$B$10,"")</x:f>
      </x:c>
      <x:c r="S466" s="83" t="str">
        <x:f>IF($B466&lt;&gt;"",0,"")</x:f>
      </x:c>
      <x:c r="T466" s="83" t="n">
        <x:f>IFERROR(($K466+$O466)*XLOOKUP($G466,Ayarlar!$A$19:$A$28,Ayarlar!$C$19:$C$28,0)*(1+Ayarlar!$B$11),0)</x:f>
        <x:v>0</x:v>
      </x:c>
      <x:c r="U466" s="83" t="n">
        <x:f>IFERROR($N466/60*Ayarlar!$B$8,0)</x:f>
        <x:v>0</x:v>
      </x:c>
      <x:c r="V466" s="83" t="n">
        <x:f>IF($B466&lt;&gt;"",Ayarlar!$B$12+($Q466/60*Ayarlar!$B$9),0)</x:f>
        <x:v>0</x:v>
      </x:c>
      <x:c r="W466" s="83" t="n">
        <x:f>IF($B466&lt;&gt;"",SUM($T466:$V466,$R466:$S466),0)</x:f>
        <x:v>0</x:v>
      </x:c>
      <x:c r="X466" s="83" t="n">
        <x:f>IF($B466&lt;&gt;"",$W466*Ayarlar!$B$15,0)</x:f>
        <x:v>0</x:v>
      </x:c>
      <x:c r="Y466" s="83" t="n">
        <x:f>IF($B466&lt;&gt;"",($W466+$X466)*Ayarlar!$B$13,0)</x:f>
        <x:v>0</x:v>
      </x:c>
      <x:c r="Z466" s="83" t="n">
        <x:f>IF($B466&lt;&gt;"",($W466+$X466+$Y466)*Ayarlar!$B$14,0)</x:f>
        <x:v>0</x:v>
      </x:c>
      <x:c r="AA466" s="83" t="str">
        <x:f>IF($B466="","",IF(OR($K466="",$N466=""),"",CEILING($W466+$X466+$Y466+$Z466,Ayarlar!$B$16)))</x:f>
      </x:c>
      <x:c r="AB466" s="83" t="str">
        <x:f>IFERROR($AA466/$H466,"")</x:f>
      </x:c>
      <x:c r="AC466" s="75" t="str">
        <x:f>IF($B466="","",IF(OR($K466="",$N466=""),"Veri Eksik","Fiyat Hazır"))</x:f>
      </x:c>
      <x:c r="AD466" s="75" t="str">
        <x:f>IF($C466&lt;&gt;"","MW-"&amp;$C466,"")</x:f>
        <x:v>MW-80</x:v>
      </x:c>
      <x:c r="AE466" s="75" t="str">
        <x:f>IF($G466&lt;&gt;"","3D Baskı / "&amp;$G466,"3D Baskı")</x:f>
        <x:v>3D Baskı</x:v>
      </x:c>
      <x:c r="AF466" s="75" t="str">
        <x:f>IF($D466&lt;&gt;"",$D466&amp;" - "&amp;$G466,$AD466&amp;" - "&amp;$G466)</x:f>
        <x:v>MW-80 - </x:v>
      </x:c>
      <x:c r="AG466" s="75" t="str"/>
    </x:row>
    <x:row r="467">
      <x:c r="A467" s="75" t="str">
        <x:f>IF($B467&lt;&gt;"",ROW()-4,"")</x:f>
      </x:c>
      <x:c r="B467" s="75" t="str"/>
      <x:c r="C467" s="75" t="n">
        <x:f>IFERROR(LET(x,MID($B467,FIND("/models/",$B467)+8,80),y,LEFT(x,FIND("-",x&amp;"-")-1),LEFT(y,FIND("?",y&amp;"?")-1)),"")</x:f>
        <x:v>80</x:v>
      </x:c>
      <x:c r="D467" s="75" t="str">
        <x:f>IF($B467="","",IFERROR(XLOOKUP($C467,MakerWorld_Verileri!$A:$A,MakerWorld_Verileri!$B:$B,""),""))</x:f>
      </x:c>
      <x:c r="E467" s="75" t="str">
        <x:f>IF($B467="","",IFERROR(XLOOKUP($C467,MakerWorld_Verileri!$A:$A,MakerWorld_Verileri!$C:$C,""),""))</x:f>
      </x:c>
      <x:c r="F467" s="75" t="str"/>
      <x:c r="G467" s="75" t="str">
        <x:f>IF($B467&lt;&gt;"",Ayarlar!$B$7,"")</x:f>
      </x:c>
      <x:c r="H467" s="82" t="str">
        <x:f>IF($B467&lt;&gt;"",1,"")</x:f>
      </x:c>
      <x:c r="I467" s="82" t="str">
        <x:f>IF($B467="","",IFERROR(XLOOKUP($C467,MakerWorld_Verileri!$A:$A,MakerWorld_Verileri!$D:$D,""),""))</x:f>
      </x:c>
      <x:c r="J467" s="82" t="str"/>
      <x:c r="K467" s="82" t="str">
        <x:f>IF($I467&lt;&gt;"",$I467,$J467)</x:f>
      </x:c>
      <x:c r="L467" s="82" t="str">
        <x:f>IF($B467="","",IFERROR(XLOOKUP($C467,MakerWorld_Verileri!$A:$A,MakerWorld_Verileri!$E:$E,""),""))</x:f>
      </x:c>
      <x:c r="M467" s="82" t="str"/>
      <x:c r="N467" s="82" t="str">
        <x:f>IF($L467&lt;&gt;"",$L467,$M467)</x:f>
      </x:c>
      <x:c r="O467" s="82" t="str">
        <x:f>IF($B467&lt;&gt;"",0,"")</x:f>
      </x:c>
      <x:c r="P467" s="75" t="str">
        <x:f>IF($B467&lt;&gt;"","Orta","")</x:f>
      </x:c>
      <x:c r="Q467" s="82" t="str">
        <x:f>IF($B467&lt;&gt;"",10,"")</x:f>
      </x:c>
      <x:c r="R467" s="83" t="str">
        <x:f>IF($B467&lt;&gt;"",Ayarlar!$B$10,"")</x:f>
      </x:c>
      <x:c r="S467" s="83" t="str">
        <x:f>IF($B467&lt;&gt;"",0,"")</x:f>
      </x:c>
      <x:c r="T467" s="83" t="n">
        <x:f>IFERROR(($K467+$O467)*XLOOKUP($G467,Ayarlar!$A$19:$A$28,Ayarlar!$C$19:$C$28,0)*(1+Ayarlar!$B$11),0)</x:f>
        <x:v>0</x:v>
      </x:c>
      <x:c r="U467" s="83" t="n">
        <x:f>IFERROR($N467/60*Ayarlar!$B$8,0)</x:f>
        <x:v>0</x:v>
      </x:c>
      <x:c r="V467" s="83" t="n">
        <x:f>IF($B467&lt;&gt;"",Ayarlar!$B$12+($Q467/60*Ayarlar!$B$9),0)</x:f>
        <x:v>0</x:v>
      </x:c>
      <x:c r="W467" s="83" t="n">
        <x:f>IF($B467&lt;&gt;"",SUM($T467:$V467,$R467:$S467),0)</x:f>
        <x:v>0</x:v>
      </x:c>
      <x:c r="X467" s="83" t="n">
        <x:f>IF($B467&lt;&gt;"",$W467*Ayarlar!$B$15,0)</x:f>
        <x:v>0</x:v>
      </x:c>
      <x:c r="Y467" s="83" t="n">
        <x:f>IF($B467&lt;&gt;"",($W467+$X467)*Ayarlar!$B$13,0)</x:f>
        <x:v>0</x:v>
      </x:c>
      <x:c r="Z467" s="83" t="n">
        <x:f>IF($B467&lt;&gt;"",($W467+$X467+$Y467)*Ayarlar!$B$14,0)</x:f>
        <x:v>0</x:v>
      </x:c>
      <x:c r="AA467" s="83" t="str">
        <x:f>IF($B467="","",IF(OR($K467="",$N467=""),"",CEILING($W467+$X467+$Y467+$Z467,Ayarlar!$B$16)))</x:f>
      </x:c>
      <x:c r="AB467" s="83" t="str">
        <x:f>IFERROR($AA467/$H467,"")</x:f>
      </x:c>
      <x:c r="AC467" s="75" t="str">
        <x:f>IF($B467="","",IF(OR($K467="",$N467=""),"Veri Eksik","Fiyat Hazır"))</x:f>
      </x:c>
      <x:c r="AD467" s="75" t="str">
        <x:f>IF($C467&lt;&gt;"","MW-"&amp;$C467,"")</x:f>
        <x:v>MW-80</x:v>
      </x:c>
      <x:c r="AE467" s="75" t="str">
        <x:f>IF($G467&lt;&gt;"","3D Baskı / "&amp;$G467,"3D Baskı")</x:f>
        <x:v>3D Baskı</x:v>
      </x:c>
      <x:c r="AF467" s="75" t="str">
        <x:f>IF($D467&lt;&gt;"",$D467&amp;" - "&amp;$G467,$AD467&amp;" - "&amp;$G467)</x:f>
        <x:v>MW-80 - </x:v>
      </x:c>
      <x:c r="AG467" s="75" t="str"/>
    </x:row>
    <x:row r="468">
      <x:c r="A468" s="75" t="str">
        <x:f>IF($B468&lt;&gt;"",ROW()-4,"")</x:f>
      </x:c>
      <x:c r="B468" s="75" t="str"/>
      <x:c r="C468" s="75" t="n">
        <x:f>IFERROR(LET(x,MID($B468,FIND("/models/",$B468)+8,80),y,LEFT(x,FIND("-",x&amp;"-")-1),LEFT(y,FIND("?",y&amp;"?")-1)),"")</x:f>
        <x:v>80</x:v>
      </x:c>
      <x:c r="D468" s="75" t="str">
        <x:f>IF($B468="","",IFERROR(XLOOKUP($C468,MakerWorld_Verileri!$A:$A,MakerWorld_Verileri!$B:$B,""),""))</x:f>
      </x:c>
      <x:c r="E468" s="75" t="str">
        <x:f>IF($B468="","",IFERROR(XLOOKUP($C468,MakerWorld_Verileri!$A:$A,MakerWorld_Verileri!$C:$C,""),""))</x:f>
      </x:c>
      <x:c r="F468" s="75" t="str"/>
      <x:c r="G468" s="75" t="str">
        <x:f>IF($B468&lt;&gt;"",Ayarlar!$B$7,"")</x:f>
      </x:c>
      <x:c r="H468" s="82" t="str">
        <x:f>IF($B468&lt;&gt;"",1,"")</x:f>
      </x:c>
      <x:c r="I468" s="82" t="str">
        <x:f>IF($B468="","",IFERROR(XLOOKUP($C468,MakerWorld_Verileri!$A:$A,MakerWorld_Verileri!$D:$D,""),""))</x:f>
      </x:c>
      <x:c r="J468" s="82" t="str"/>
      <x:c r="K468" s="82" t="str">
        <x:f>IF($I468&lt;&gt;"",$I468,$J468)</x:f>
      </x:c>
      <x:c r="L468" s="82" t="str">
        <x:f>IF($B468="","",IFERROR(XLOOKUP($C468,MakerWorld_Verileri!$A:$A,MakerWorld_Verileri!$E:$E,""),""))</x:f>
      </x:c>
      <x:c r="M468" s="82" t="str"/>
      <x:c r="N468" s="82" t="str">
        <x:f>IF($L468&lt;&gt;"",$L468,$M468)</x:f>
      </x:c>
      <x:c r="O468" s="82" t="str">
        <x:f>IF($B468&lt;&gt;"",0,"")</x:f>
      </x:c>
      <x:c r="P468" s="75" t="str">
        <x:f>IF($B468&lt;&gt;"","Orta","")</x:f>
      </x:c>
      <x:c r="Q468" s="82" t="str">
        <x:f>IF($B468&lt;&gt;"",10,"")</x:f>
      </x:c>
      <x:c r="R468" s="83" t="str">
        <x:f>IF($B468&lt;&gt;"",Ayarlar!$B$10,"")</x:f>
      </x:c>
      <x:c r="S468" s="83" t="str">
        <x:f>IF($B468&lt;&gt;"",0,"")</x:f>
      </x:c>
      <x:c r="T468" s="83" t="n">
        <x:f>IFERROR(($K468+$O468)*XLOOKUP($G468,Ayarlar!$A$19:$A$28,Ayarlar!$C$19:$C$28,0)*(1+Ayarlar!$B$11),0)</x:f>
        <x:v>0</x:v>
      </x:c>
      <x:c r="U468" s="83" t="n">
        <x:f>IFERROR($N468/60*Ayarlar!$B$8,0)</x:f>
        <x:v>0</x:v>
      </x:c>
      <x:c r="V468" s="83" t="n">
        <x:f>IF($B468&lt;&gt;"",Ayarlar!$B$12+($Q468/60*Ayarlar!$B$9),0)</x:f>
        <x:v>0</x:v>
      </x:c>
      <x:c r="W468" s="83" t="n">
        <x:f>IF($B468&lt;&gt;"",SUM($T468:$V468,$R468:$S468),0)</x:f>
        <x:v>0</x:v>
      </x:c>
      <x:c r="X468" s="83" t="n">
        <x:f>IF($B468&lt;&gt;"",$W468*Ayarlar!$B$15,0)</x:f>
        <x:v>0</x:v>
      </x:c>
      <x:c r="Y468" s="83" t="n">
        <x:f>IF($B468&lt;&gt;"",($W468+$X468)*Ayarlar!$B$13,0)</x:f>
        <x:v>0</x:v>
      </x:c>
      <x:c r="Z468" s="83" t="n">
        <x:f>IF($B468&lt;&gt;"",($W468+$X468+$Y468)*Ayarlar!$B$14,0)</x:f>
        <x:v>0</x:v>
      </x:c>
      <x:c r="AA468" s="83" t="str">
        <x:f>IF($B468="","",IF(OR($K468="",$N468=""),"",CEILING($W468+$X468+$Y468+$Z468,Ayarlar!$B$16)))</x:f>
      </x:c>
      <x:c r="AB468" s="83" t="str">
        <x:f>IFERROR($AA468/$H468,"")</x:f>
      </x:c>
      <x:c r="AC468" s="75" t="str">
        <x:f>IF($B468="","",IF(OR($K468="",$N468=""),"Veri Eksik","Fiyat Hazır"))</x:f>
      </x:c>
      <x:c r="AD468" s="75" t="str">
        <x:f>IF($C468&lt;&gt;"","MW-"&amp;$C468,"")</x:f>
        <x:v>MW-80</x:v>
      </x:c>
      <x:c r="AE468" s="75" t="str">
        <x:f>IF($G468&lt;&gt;"","3D Baskı / "&amp;$G468,"3D Baskı")</x:f>
        <x:v>3D Baskı</x:v>
      </x:c>
      <x:c r="AF468" s="75" t="str">
        <x:f>IF($D468&lt;&gt;"",$D468&amp;" - "&amp;$G468,$AD468&amp;" - "&amp;$G468)</x:f>
        <x:v>MW-80 - </x:v>
      </x:c>
      <x:c r="AG468" s="75" t="str"/>
    </x:row>
    <x:row r="469">
      <x:c r="A469" s="75" t="str">
        <x:f>IF($B469&lt;&gt;"",ROW()-4,"")</x:f>
      </x:c>
      <x:c r="B469" s="75" t="str"/>
      <x:c r="C469" s="75" t="n">
        <x:f>IFERROR(LET(x,MID($B469,FIND("/models/",$B469)+8,80),y,LEFT(x,FIND("-",x&amp;"-")-1),LEFT(y,FIND("?",y&amp;"?")-1)),"")</x:f>
        <x:v>80</x:v>
      </x:c>
      <x:c r="D469" s="75" t="str">
        <x:f>IF($B469="","",IFERROR(XLOOKUP($C469,MakerWorld_Verileri!$A:$A,MakerWorld_Verileri!$B:$B,""),""))</x:f>
      </x:c>
      <x:c r="E469" s="75" t="str">
        <x:f>IF($B469="","",IFERROR(XLOOKUP($C469,MakerWorld_Verileri!$A:$A,MakerWorld_Verileri!$C:$C,""),""))</x:f>
      </x:c>
      <x:c r="F469" s="75" t="str"/>
      <x:c r="G469" s="75" t="str">
        <x:f>IF($B469&lt;&gt;"",Ayarlar!$B$7,"")</x:f>
      </x:c>
      <x:c r="H469" s="82" t="str">
        <x:f>IF($B469&lt;&gt;"",1,"")</x:f>
      </x:c>
      <x:c r="I469" s="82" t="str">
        <x:f>IF($B469="","",IFERROR(XLOOKUP($C469,MakerWorld_Verileri!$A:$A,MakerWorld_Verileri!$D:$D,""),""))</x:f>
      </x:c>
      <x:c r="J469" s="82" t="str"/>
      <x:c r="K469" s="82" t="str">
        <x:f>IF($I469&lt;&gt;"",$I469,$J469)</x:f>
      </x:c>
      <x:c r="L469" s="82" t="str">
        <x:f>IF($B469="","",IFERROR(XLOOKUP($C469,MakerWorld_Verileri!$A:$A,MakerWorld_Verileri!$E:$E,""),""))</x:f>
      </x:c>
      <x:c r="M469" s="82" t="str"/>
      <x:c r="N469" s="82" t="str">
        <x:f>IF($L469&lt;&gt;"",$L469,$M469)</x:f>
      </x:c>
      <x:c r="O469" s="82" t="str">
        <x:f>IF($B469&lt;&gt;"",0,"")</x:f>
      </x:c>
      <x:c r="P469" s="75" t="str">
        <x:f>IF($B469&lt;&gt;"","Orta","")</x:f>
      </x:c>
      <x:c r="Q469" s="82" t="str">
        <x:f>IF($B469&lt;&gt;"",10,"")</x:f>
      </x:c>
      <x:c r="R469" s="83" t="str">
        <x:f>IF($B469&lt;&gt;"",Ayarlar!$B$10,"")</x:f>
      </x:c>
      <x:c r="S469" s="83" t="str">
        <x:f>IF($B469&lt;&gt;"",0,"")</x:f>
      </x:c>
      <x:c r="T469" s="83" t="n">
        <x:f>IFERROR(($K469+$O469)*XLOOKUP($G469,Ayarlar!$A$19:$A$28,Ayarlar!$C$19:$C$28,0)*(1+Ayarlar!$B$11),0)</x:f>
        <x:v>0</x:v>
      </x:c>
      <x:c r="U469" s="83" t="n">
        <x:f>IFERROR($N469/60*Ayarlar!$B$8,0)</x:f>
        <x:v>0</x:v>
      </x:c>
      <x:c r="V469" s="83" t="n">
        <x:f>IF($B469&lt;&gt;"",Ayarlar!$B$12+($Q469/60*Ayarlar!$B$9),0)</x:f>
        <x:v>0</x:v>
      </x:c>
      <x:c r="W469" s="83" t="n">
        <x:f>IF($B469&lt;&gt;"",SUM($T469:$V469,$R469:$S469),0)</x:f>
        <x:v>0</x:v>
      </x:c>
      <x:c r="X469" s="83" t="n">
        <x:f>IF($B469&lt;&gt;"",$W469*Ayarlar!$B$15,0)</x:f>
        <x:v>0</x:v>
      </x:c>
      <x:c r="Y469" s="83" t="n">
        <x:f>IF($B469&lt;&gt;"",($W469+$X469)*Ayarlar!$B$13,0)</x:f>
        <x:v>0</x:v>
      </x:c>
      <x:c r="Z469" s="83" t="n">
        <x:f>IF($B469&lt;&gt;"",($W469+$X469+$Y469)*Ayarlar!$B$14,0)</x:f>
        <x:v>0</x:v>
      </x:c>
      <x:c r="AA469" s="83" t="str">
        <x:f>IF($B469="","",IF(OR($K469="",$N469=""),"",CEILING($W469+$X469+$Y469+$Z469,Ayarlar!$B$16)))</x:f>
      </x:c>
      <x:c r="AB469" s="83" t="str">
        <x:f>IFERROR($AA469/$H469,"")</x:f>
      </x:c>
      <x:c r="AC469" s="75" t="str">
        <x:f>IF($B469="","",IF(OR($K469="",$N469=""),"Veri Eksik","Fiyat Hazır"))</x:f>
      </x:c>
      <x:c r="AD469" s="75" t="str">
        <x:f>IF($C469&lt;&gt;"","MW-"&amp;$C469,"")</x:f>
        <x:v>MW-80</x:v>
      </x:c>
      <x:c r="AE469" s="75" t="str">
        <x:f>IF($G469&lt;&gt;"","3D Baskı / "&amp;$G469,"3D Baskı")</x:f>
        <x:v>3D Baskı</x:v>
      </x:c>
      <x:c r="AF469" s="75" t="str">
        <x:f>IF($D469&lt;&gt;"",$D469&amp;" - "&amp;$G469,$AD469&amp;" - "&amp;$G469)</x:f>
        <x:v>MW-80 - </x:v>
      </x:c>
      <x:c r="AG469" s="75" t="str"/>
    </x:row>
    <x:row r="470">
      <x:c r="A470" s="75" t="str">
        <x:f>IF($B470&lt;&gt;"",ROW()-4,"")</x:f>
      </x:c>
      <x:c r="B470" s="75" t="str"/>
      <x:c r="C470" s="75" t="n">
        <x:f>IFERROR(LET(x,MID($B470,FIND("/models/",$B470)+8,80),y,LEFT(x,FIND("-",x&amp;"-")-1),LEFT(y,FIND("?",y&amp;"?")-1)),"")</x:f>
        <x:v>80</x:v>
      </x:c>
      <x:c r="D470" s="75" t="str">
        <x:f>IF($B470="","",IFERROR(XLOOKUP($C470,MakerWorld_Verileri!$A:$A,MakerWorld_Verileri!$B:$B,""),""))</x:f>
      </x:c>
      <x:c r="E470" s="75" t="str">
        <x:f>IF($B470="","",IFERROR(XLOOKUP($C470,MakerWorld_Verileri!$A:$A,MakerWorld_Verileri!$C:$C,""),""))</x:f>
      </x:c>
      <x:c r="F470" s="75" t="str"/>
      <x:c r="G470" s="75" t="str">
        <x:f>IF($B470&lt;&gt;"",Ayarlar!$B$7,"")</x:f>
      </x:c>
      <x:c r="H470" s="82" t="str">
        <x:f>IF($B470&lt;&gt;"",1,"")</x:f>
      </x:c>
      <x:c r="I470" s="82" t="str">
        <x:f>IF($B470="","",IFERROR(XLOOKUP($C470,MakerWorld_Verileri!$A:$A,MakerWorld_Verileri!$D:$D,""),""))</x:f>
      </x:c>
      <x:c r="J470" s="82" t="str"/>
      <x:c r="K470" s="82" t="str">
        <x:f>IF($I470&lt;&gt;"",$I470,$J470)</x:f>
      </x:c>
      <x:c r="L470" s="82" t="str">
        <x:f>IF($B470="","",IFERROR(XLOOKUP($C470,MakerWorld_Verileri!$A:$A,MakerWorld_Verileri!$E:$E,""),""))</x:f>
      </x:c>
      <x:c r="M470" s="82" t="str"/>
      <x:c r="N470" s="82" t="str">
        <x:f>IF($L470&lt;&gt;"",$L470,$M470)</x:f>
      </x:c>
      <x:c r="O470" s="82" t="str">
        <x:f>IF($B470&lt;&gt;"",0,"")</x:f>
      </x:c>
      <x:c r="P470" s="75" t="str">
        <x:f>IF($B470&lt;&gt;"","Orta","")</x:f>
      </x:c>
      <x:c r="Q470" s="82" t="str">
        <x:f>IF($B470&lt;&gt;"",10,"")</x:f>
      </x:c>
      <x:c r="R470" s="83" t="str">
        <x:f>IF($B470&lt;&gt;"",Ayarlar!$B$10,"")</x:f>
      </x:c>
      <x:c r="S470" s="83" t="str">
        <x:f>IF($B470&lt;&gt;"",0,"")</x:f>
      </x:c>
      <x:c r="T470" s="83" t="n">
        <x:f>IFERROR(($K470+$O470)*XLOOKUP($G470,Ayarlar!$A$19:$A$28,Ayarlar!$C$19:$C$28,0)*(1+Ayarlar!$B$11),0)</x:f>
        <x:v>0</x:v>
      </x:c>
      <x:c r="U470" s="83" t="n">
        <x:f>IFERROR($N470/60*Ayarlar!$B$8,0)</x:f>
        <x:v>0</x:v>
      </x:c>
      <x:c r="V470" s="83" t="n">
        <x:f>IF($B470&lt;&gt;"",Ayarlar!$B$12+($Q470/60*Ayarlar!$B$9),0)</x:f>
        <x:v>0</x:v>
      </x:c>
      <x:c r="W470" s="83" t="n">
        <x:f>IF($B470&lt;&gt;"",SUM($T470:$V470,$R470:$S470),0)</x:f>
        <x:v>0</x:v>
      </x:c>
      <x:c r="X470" s="83" t="n">
        <x:f>IF($B470&lt;&gt;"",$W470*Ayarlar!$B$15,0)</x:f>
        <x:v>0</x:v>
      </x:c>
      <x:c r="Y470" s="83" t="n">
        <x:f>IF($B470&lt;&gt;"",($W470+$X470)*Ayarlar!$B$13,0)</x:f>
        <x:v>0</x:v>
      </x:c>
      <x:c r="Z470" s="83" t="n">
        <x:f>IF($B470&lt;&gt;"",($W470+$X470+$Y470)*Ayarlar!$B$14,0)</x:f>
        <x:v>0</x:v>
      </x:c>
      <x:c r="AA470" s="83" t="str">
        <x:f>IF($B470="","",IF(OR($K470="",$N470=""),"",CEILING($W470+$X470+$Y470+$Z470,Ayarlar!$B$16)))</x:f>
      </x:c>
      <x:c r="AB470" s="83" t="str">
        <x:f>IFERROR($AA470/$H470,"")</x:f>
      </x:c>
      <x:c r="AC470" s="75" t="str">
        <x:f>IF($B470="","",IF(OR($K470="",$N470=""),"Veri Eksik","Fiyat Hazır"))</x:f>
      </x:c>
      <x:c r="AD470" s="75" t="str">
        <x:f>IF($C470&lt;&gt;"","MW-"&amp;$C470,"")</x:f>
        <x:v>MW-80</x:v>
      </x:c>
      <x:c r="AE470" s="75" t="str">
        <x:f>IF($G470&lt;&gt;"","3D Baskı / "&amp;$G470,"3D Baskı")</x:f>
        <x:v>3D Baskı</x:v>
      </x:c>
      <x:c r="AF470" s="75" t="str">
        <x:f>IF($D470&lt;&gt;"",$D470&amp;" - "&amp;$G470,$AD470&amp;" - "&amp;$G470)</x:f>
        <x:v>MW-80 - </x:v>
      </x:c>
      <x:c r="AG470" s="75" t="str"/>
    </x:row>
    <x:row r="471">
      <x:c r="A471" s="75" t="str">
        <x:f>IF($B471&lt;&gt;"",ROW()-4,"")</x:f>
      </x:c>
      <x:c r="B471" s="75" t="str"/>
      <x:c r="C471" s="75" t="n">
        <x:f>IFERROR(LET(x,MID($B471,FIND("/models/",$B471)+8,80),y,LEFT(x,FIND("-",x&amp;"-")-1),LEFT(y,FIND("?",y&amp;"?")-1)),"")</x:f>
        <x:v>80</x:v>
      </x:c>
      <x:c r="D471" s="75" t="str">
        <x:f>IF($B471="","",IFERROR(XLOOKUP($C471,MakerWorld_Verileri!$A:$A,MakerWorld_Verileri!$B:$B,""),""))</x:f>
      </x:c>
      <x:c r="E471" s="75" t="str">
        <x:f>IF($B471="","",IFERROR(XLOOKUP($C471,MakerWorld_Verileri!$A:$A,MakerWorld_Verileri!$C:$C,""),""))</x:f>
      </x:c>
      <x:c r="F471" s="75" t="str"/>
      <x:c r="G471" s="75" t="str">
        <x:f>IF($B471&lt;&gt;"",Ayarlar!$B$7,"")</x:f>
      </x:c>
      <x:c r="H471" s="82" t="str">
        <x:f>IF($B471&lt;&gt;"",1,"")</x:f>
      </x:c>
      <x:c r="I471" s="82" t="str">
        <x:f>IF($B471="","",IFERROR(XLOOKUP($C471,MakerWorld_Verileri!$A:$A,MakerWorld_Verileri!$D:$D,""),""))</x:f>
      </x:c>
      <x:c r="J471" s="82" t="str"/>
      <x:c r="K471" s="82" t="str">
        <x:f>IF($I471&lt;&gt;"",$I471,$J471)</x:f>
      </x:c>
      <x:c r="L471" s="82" t="str">
        <x:f>IF($B471="","",IFERROR(XLOOKUP($C471,MakerWorld_Verileri!$A:$A,MakerWorld_Verileri!$E:$E,""),""))</x:f>
      </x:c>
      <x:c r="M471" s="82" t="str"/>
      <x:c r="N471" s="82" t="str">
        <x:f>IF($L471&lt;&gt;"",$L471,$M471)</x:f>
      </x:c>
      <x:c r="O471" s="82" t="str">
        <x:f>IF($B471&lt;&gt;"",0,"")</x:f>
      </x:c>
      <x:c r="P471" s="75" t="str">
        <x:f>IF($B471&lt;&gt;"","Orta","")</x:f>
      </x:c>
      <x:c r="Q471" s="82" t="str">
        <x:f>IF($B471&lt;&gt;"",10,"")</x:f>
      </x:c>
      <x:c r="R471" s="83" t="str">
        <x:f>IF($B471&lt;&gt;"",Ayarlar!$B$10,"")</x:f>
      </x:c>
      <x:c r="S471" s="83" t="str">
        <x:f>IF($B471&lt;&gt;"",0,"")</x:f>
      </x:c>
      <x:c r="T471" s="83" t="n">
        <x:f>IFERROR(($K471+$O471)*XLOOKUP($G471,Ayarlar!$A$19:$A$28,Ayarlar!$C$19:$C$28,0)*(1+Ayarlar!$B$11),0)</x:f>
        <x:v>0</x:v>
      </x:c>
      <x:c r="U471" s="83" t="n">
        <x:f>IFERROR($N471/60*Ayarlar!$B$8,0)</x:f>
        <x:v>0</x:v>
      </x:c>
      <x:c r="V471" s="83" t="n">
        <x:f>IF($B471&lt;&gt;"",Ayarlar!$B$12+($Q471/60*Ayarlar!$B$9),0)</x:f>
        <x:v>0</x:v>
      </x:c>
      <x:c r="W471" s="83" t="n">
        <x:f>IF($B471&lt;&gt;"",SUM($T471:$V471,$R471:$S471),0)</x:f>
        <x:v>0</x:v>
      </x:c>
      <x:c r="X471" s="83" t="n">
        <x:f>IF($B471&lt;&gt;"",$W471*Ayarlar!$B$15,0)</x:f>
        <x:v>0</x:v>
      </x:c>
      <x:c r="Y471" s="83" t="n">
        <x:f>IF($B471&lt;&gt;"",($W471+$X471)*Ayarlar!$B$13,0)</x:f>
        <x:v>0</x:v>
      </x:c>
      <x:c r="Z471" s="83" t="n">
        <x:f>IF($B471&lt;&gt;"",($W471+$X471+$Y471)*Ayarlar!$B$14,0)</x:f>
        <x:v>0</x:v>
      </x:c>
      <x:c r="AA471" s="83" t="str">
        <x:f>IF($B471="","",IF(OR($K471="",$N471=""),"",CEILING($W471+$X471+$Y471+$Z471,Ayarlar!$B$16)))</x:f>
      </x:c>
      <x:c r="AB471" s="83" t="str">
        <x:f>IFERROR($AA471/$H471,"")</x:f>
      </x:c>
      <x:c r="AC471" s="75" t="str">
        <x:f>IF($B471="","",IF(OR($K471="",$N471=""),"Veri Eksik","Fiyat Hazır"))</x:f>
      </x:c>
      <x:c r="AD471" s="75" t="str">
        <x:f>IF($C471&lt;&gt;"","MW-"&amp;$C471,"")</x:f>
        <x:v>MW-80</x:v>
      </x:c>
      <x:c r="AE471" s="75" t="str">
        <x:f>IF($G471&lt;&gt;"","3D Baskı / "&amp;$G471,"3D Baskı")</x:f>
        <x:v>3D Baskı</x:v>
      </x:c>
      <x:c r="AF471" s="75" t="str">
        <x:f>IF($D471&lt;&gt;"",$D471&amp;" - "&amp;$G471,$AD471&amp;" - "&amp;$G471)</x:f>
        <x:v>MW-80 - </x:v>
      </x:c>
      <x:c r="AG471" s="75" t="str"/>
    </x:row>
    <x:row r="472">
      <x:c r="A472" s="75" t="str">
        <x:f>IF($B472&lt;&gt;"",ROW()-4,"")</x:f>
      </x:c>
      <x:c r="B472" s="75" t="str"/>
      <x:c r="C472" s="75" t="n">
        <x:f>IFERROR(LET(x,MID($B472,FIND("/models/",$B472)+8,80),y,LEFT(x,FIND("-",x&amp;"-")-1),LEFT(y,FIND("?",y&amp;"?")-1)),"")</x:f>
        <x:v>80</x:v>
      </x:c>
      <x:c r="D472" s="75" t="str">
        <x:f>IF($B472="","",IFERROR(XLOOKUP($C472,MakerWorld_Verileri!$A:$A,MakerWorld_Verileri!$B:$B,""),""))</x:f>
      </x:c>
      <x:c r="E472" s="75" t="str">
        <x:f>IF($B472="","",IFERROR(XLOOKUP($C472,MakerWorld_Verileri!$A:$A,MakerWorld_Verileri!$C:$C,""),""))</x:f>
      </x:c>
      <x:c r="F472" s="75" t="str"/>
      <x:c r="G472" s="75" t="str">
        <x:f>IF($B472&lt;&gt;"",Ayarlar!$B$7,"")</x:f>
      </x:c>
      <x:c r="H472" s="82" t="str">
        <x:f>IF($B472&lt;&gt;"",1,"")</x:f>
      </x:c>
      <x:c r="I472" s="82" t="str">
        <x:f>IF($B472="","",IFERROR(XLOOKUP($C472,MakerWorld_Verileri!$A:$A,MakerWorld_Verileri!$D:$D,""),""))</x:f>
      </x:c>
      <x:c r="J472" s="82" t="str"/>
      <x:c r="K472" s="82" t="str">
        <x:f>IF($I472&lt;&gt;"",$I472,$J472)</x:f>
      </x:c>
      <x:c r="L472" s="82" t="str">
        <x:f>IF($B472="","",IFERROR(XLOOKUP($C472,MakerWorld_Verileri!$A:$A,MakerWorld_Verileri!$E:$E,""),""))</x:f>
      </x:c>
      <x:c r="M472" s="82" t="str"/>
      <x:c r="N472" s="82" t="str">
        <x:f>IF($L472&lt;&gt;"",$L472,$M472)</x:f>
      </x:c>
      <x:c r="O472" s="82" t="str">
        <x:f>IF($B472&lt;&gt;"",0,"")</x:f>
      </x:c>
      <x:c r="P472" s="75" t="str">
        <x:f>IF($B472&lt;&gt;"","Orta","")</x:f>
      </x:c>
      <x:c r="Q472" s="82" t="str">
        <x:f>IF($B472&lt;&gt;"",10,"")</x:f>
      </x:c>
      <x:c r="R472" s="83" t="str">
        <x:f>IF($B472&lt;&gt;"",Ayarlar!$B$10,"")</x:f>
      </x:c>
      <x:c r="S472" s="83" t="str">
        <x:f>IF($B472&lt;&gt;"",0,"")</x:f>
      </x:c>
      <x:c r="T472" s="83" t="n">
        <x:f>IFERROR(($K472+$O472)*XLOOKUP($G472,Ayarlar!$A$19:$A$28,Ayarlar!$C$19:$C$28,0)*(1+Ayarlar!$B$11),0)</x:f>
        <x:v>0</x:v>
      </x:c>
      <x:c r="U472" s="83" t="n">
        <x:f>IFERROR($N472/60*Ayarlar!$B$8,0)</x:f>
        <x:v>0</x:v>
      </x:c>
      <x:c r="V472" s="83" t="n">
        <x:f>IF($B472&lt;&gt;"",Ayarlar!$B$12+($Q472/60*Ayarlar!$B$9),0)</x:f>
        <x:v>0</x:v>
      </x:c>
      <x:c r="W472" s="83" t="n">
        <x:f>IF($B472&lt;&gt;"",SUM($T472:$V472,$R472:$S472),0)</x:f>
        <x:v>0</x:v>
      </x:c>
      <x:c r="X472" s="83" t="n">
        <x:f>IF($B472&lt;&gt;"",$W472*Ayarlar!$B$15,0)</x:f>
        <x:v>0</x:v>
      </x:c>
      <x:c r="Y472" s="83" t="n">
        <x:f>IF($B472&lt;&gt;"",($W472+$X472)*Ayarlar!$B$13,0)</x:f>
        <x:v>0</x:v>
      </x:c>
      <x:c r="Z472" s="83" t="n">
        <x:f>IF($B472&lt;&gt;"",($W472+$X472+$Y472)*Ayarlar!$B$14,0)</x:f>
        <x:v>0</x:v>
      </x:c>
      <x:c r="AA472" s="83" t="str">
        <x:f>IF($B472="","",IF(OR($K472="",$N472=""),"",CEILING($W472+$X472+$Y472+$Z472,Ayarlar!$B$16)))</x:f>
      </x:c>
      <x:c r="AB472" s="83" t="str">
        <x:f>IFERROR($AA472/$H472,"")</x:f>
      </x:c>
      <x:c r="AC472" s="75" t="str">
        <x:f>IF($B472="","",IF(OR($K472="",$N472=""),"Veri Eksik","Fiyat Hazır"))</x:f>
      </x:c>
      <x:c r="AD472" s="75" t="str">
        <x:f>IF($C472&lt;&gt;"","MW-"&amp;$C472,"")</x:f>
        <x:v>MW-80</x:v>
      </x:c>
      <x:c r="AE472" s="75" t="str">
        <x:f>IF($G472&lt;&gt;"","3D Baskı / "&amp;$G472,"3D Baskı")</x:f>
        <x:v>3D Baskı</x:v>
      </x:c>
      <x:c r="AF472" s="75" t="str">
        <x:f>IF($D472&lt;&gt;"",$D472&amp;" - "&amp;$G472,$AD472&amp;" - "&amp;$G472)</x:f>
        <x:v>MW-80 - </x:v>
      </x:c>
      <x:c r="AG472" s="75" t="str"/>
    </x:row>
    <x:row r="473">
      <x:c r="A473" s="75" t="str">
        <x:f>IF($B473&lt;&gt;"",ROW()-4,"")</x:f>
      </x:c>
      <x:c r="B473" s="75" t="str"/>
      <x:c r="C473" s="75" t="n">
        <x:f>IFERROR(LET(x,MID($B473,FIND("/models/",$B473)+8,80),y,LEFT(x,FIND("-",x&amp;"-")-1),LEFT(y,FIND("?",y&amp;"?")-1)),"")</x:f>
        <x:v>80</x:v>
      </x:c>
      <x:c r="D473" s="75" t="str">
        <x:f>IF($B473="","",IFERROR(XLOOKUP($C473,MakerWorld_Verileri!$A:$A,MakerWorld_Verileri!$B:$B,""),""))</x:f>
      </x:c>
      <x:c r="E473" s="75" t="str">
        <x:f>IF($B473="","",IFERROR(XLOOKUP($C473,MakerWorld_Verileri!$A:$A,MakerWorld_Verileri!$C:$C,""),""))</x:f>
      </x:c>
      <x:c r="F473" s="75" t="str"/>
      <x:c r="G473" s="75" t="str">
        <x:f>IF($B473&lt;&gt;"",Ayarlar!$B$7,"")</x:f>
      </x:c>
      <x:c r="H473" s="82" t="str">
        <x:f>IF($B473&lt;&gt;"",1,"")</x:f>
      </x:c>
      <x:c r="I473" s="82" t="str">
        <x:f>IF($B473="","",IFERROR(XLOOKUP($C473,MakerWorld_Verileri!$A:$A,MakerWorld_Verileri!$D:$D,""),""))</x:f>
      </x:c>
      <x:c r="J473" s="82" t="str"/>
      <x:c r="K473" s="82" t="str">
        <x:f>IF($I473&lt;&gt;"",$I473,$J473)</x:f>
      </x:c>
      <x:c r="L473" s="82" t="str">
        <x:f>IF($B473="","",IFERROR(XLOOKUP($C473,MakerWorld_Verileri!$A:$A,MakerWorld_Verileri!$E:$E,""),""))</x:f>
      </x:c>
      <x:c r="M473" s="82" t="str"/>
      <x:c r="N473" s="82" t="str">
        <x:f>IF($L473&lt;&gt;"",$L473,$M473)</x:f>
      </x:c>
      <x:c r="O473" s="82" t="str">
        <x:f>IF($B473&lt;&gt;"",0,"")</x:f>
      </x:c>
      <x:c r="P473" s="75" t="str">
        <x:f>IF($B473&lt;&gt;"","Orta","")</x:f>
      </x:c>
      <x:c r="Q473" s="82" t="str">
        <x:f>IF($B473&lt;&gt;"",10,"")</x:f>
      </x:c>
      <x:c r="R473" s="83" t="str">
        <x:f>IF($B473&lt;&gt;"",Ayarlar!$B$10,"")</x:f>
      </x:c>
      <x:c r="S473" s="83" t="str">
        <x:f>IF($B473&lt;&gt;"",0,"")</x:f>
      </x:c>
      <x:c r="T473" s="83" t="n">
        <x:f>IFERROR(($K473+$O473)*XLOOKUP($G473,Ayarlar!$A$19:$A$28,Ayarlar!$C$19:$C$28,0)*(1+Ayarlar!$B$11),0)</x:f>
        <x:v>0</x:v>
      </x:c>
      <x:c r="U473" s="83" t="n">
        <x:f>IFERROR($N473/60*Ayarlar!$B$8,0)</x:f>
        <x:v>0</x:v>
      </x:c>
      <x:c r="V473" s="83" t="n">
        <x:f>IF($B473&lt;&gt;"",Ayarlar!$B$12+($Q473/60*Ayarlar!$B$9),0)</x:f>
        <x:v>0</x:v>
      </x:c>
      <x:c r="W473" s="83" t="n">
        <x:f>IF($B473&lt;&gt;"",SUM($T473:$V473,$R473:$S473),0)</x:f>
        <x:v>0</x:v>
      </x:c>
      <x:c r="X473" s="83" t="n">
        <x:f>IF($B473&lt;&gt;"",$W473*Ayarlar!$B$15,0)</x:f>
        <x:v>0</x:v>
      </x:c>
      <x:c r="Y473" s="83" t="n">
        <x:f>IF($B473&lt;&gt;"",($W473+$X473)*Ayarlar!$B$13,0)</x:f>
        <x:v>0</x:v>
      </x:c>
      <x:c r="Z473" s="83" t="n">
        <x:f>IF($B473&lt;&gt;"",($W473+$X473+$Y473)*Ayarlar!$B$14,0)</x:f>
        <x:v>0</x:v>
      </x:c>
      <x:c r="AA473" s="83" t="str">
        <x:f>IF($B473="","",IF(OR($K473="",$N473=""),"",CEILING($W473+$X473+$Y473+$Z473,Ayarlar!$B$16)))</x:f>
      </x:c>
      <x:c r="AB473" s="83" t="str">
        <x:f>IFERROR($AA473/$H473,"")</x:f>
      </x:c>
      <x:c r="AC473" s="75" t="str">
        <x:f>IF($B473="","",IF(OR($K473="",$N473=""),"Veri Eksik","Fiyat Hazır"))</x:f>
      </x:c>
      <x:c r="AD473" s="75" t="str">
        <x:f>IF($C473&lt;&gt;"","MW-"&amp;$C473,"")</x:f>
        <x:v>MW-80</x:v>
      </x:c>
      <x:c r="AE473" s="75" t="str">
        <x:f>IF($G473&lt;&gt;"","3D Baskı / "&amp;$G473,"3D Baskı")</x:f>
        <x:v>3D Baskı</x:v>
      </x:c>
      <x:c r="AF473" s="75" t="str">
        <x:f>IF($D473&lt;&gt;"",$D473&amp;" - "&amp;$G473,$AD473&amp;" - "&amp;$G473)</x:f>
        <x:v>MW-80 - </x:v>
      </x:c>
      <x:c r="AG473" s="75" t="str"/>
    </x:row>
    <x:row r="474">
      <x:c r="A474" s="75" t="str">
        <x:f>IF($B474&lt;&gt;"",ROW()-4,"")</x:f>
      </x:c>
      <x:c r="B474" s="75" t="str"/>
      <x:c r="C474" s="75" t="n">
        <x:f>IFERROR(LET(x,MID($B474,FIND("/models/",$B474)+8,80),y,LEFT(x,FIND("-",x&amp;"-")-1),LEFT(y,FIND("?",y&amp;"?")-1)),"")</x:f>
        <x:v>80</x:v>
      </x:c>
      <x:c r="D474" s="75" t="str">
        <x:f>IF($B474="","",IFERROR(XLOOKUP($C474,MakerWorld_Verileri!$A:$A,MakerWorld_Verileri!$B:$B,""),""))</x:f>
      </x:c>
      <x:c r="E474" s="75" t="str">
        <x:f>IF($B474="","",IFERROR(XLOOKUP($C474,MakerWorld_Verileri!$A:$A,MakerWorld_Verileri!$C:$C,""),""))</x:f>
      </x:c>
      <x:c r="F474" s="75" t="str"/>
      <x:c r="G474" s="75" t="str">
        <x:f>IF($B474&lt;&gt;"",Ayarlar!$B$7,"")</x:f>
      </x:c>
      <x:c r="H474" s="82" t="str">
        <x:f>IF($B474&lt;&gt;"",1,"")</x:f>
      </x:c>
      <x:c r="I474" s="82" t="str">
        <x:f>IF($B474="","",IFERROR(XLOOKUP($C474,MakerWorld_Verileri!$A:$A,MakerWorld_Verileri!$D:$D,""),""))</x:f>
      </x:c>
      <x:c r="J474" s="82" t="str"/>
      <x:c r="K474" s="82" t="str">
        <x:f>IF($I474&lt;&gt;"",$I474,$J474)</x:f>
      </x:c>
      <x:c r="L474" s="82" t="str">
        <x:f>IF($B474="","",IFERROR(XLOOKUP($C474,MakerWorld_Verileri!$A:$A,MakerWorld_Verileri!$E:$E,""),""))</x:f>
      </x:c>
      <x:c r="M474" s="82" t="str"/>
      <x:c r="N474" s="82" t="str">
        <x:f>IF($L474&lt;&gt;"",$L474,$M474)</x:f>
      </x:c>
      <x:c r="O474" s="82" t="str">
        <x:f>IF($B474&lt;&gt;"",0,"")</x:f>
      </x:c>
      <x:c r="P474" s="75" t="str">
        <x:f>IF($B474&lt;&gt;"","Orta","")</x:f>
      </x:c>
      <x:c r="Q474" s="82" t="str">
        <x:f>IF($B474&lt;&gt;"",10,"")</x:f>
      </x:c>
      <x:c r="R474" s="83" t="str">
        <x:f>IF($B474&lt;&gt;"",Ayarlar!$B$10,"")</x:f>
      </x:c>
      <x:c r="S474" s="83" t="str">
        <x:f>IF($B474&lt;&gt;"",0,"")</x:f>
      </x:c>
      <x:c r="T474" s="83" t="n">
        <x:f>IFERROR(($K474+$O474)*XLOOKUP($G474,Ayarlar!$A$19:$A$28,Ayarlar!$C$19:$C$28,0)*(1+Ayarlar!$B$11),0)</x:f>
        <x:v>0</x:v>
      </x:c>
      <x:c r="U474" s="83" t="n">
        <x:f>IFERROR($N474/60*Ayarlar!$B$8,0)</x:f>
        <x:v>0</x:v>
      </x:c>
      <x:c r="V474" s="83" t="n">
        <x:f>IF($B474&lt;&gt;"",Ayarlar!$B$12+($Q474/60*Ayarlar!$B$9),0)</x:f>
        <x:v>0</x:v>
      </x:c>
      <x:c r="W474" s="83" t="n">
        <x:f>IF($B474&lt;&gt;"",SUM($T474:$V474,$R474:$S474),0)</x:f>
        <x:v>0</x:v>
      </x:c>
      <x:c r="X474" s="83" t="n">
        <x:f>IF($B474&lt;&gt;"",$W474*Ayarlar!$B$15,0)</x:f>
        <x:v>0</x:v>
      </x:c>
      <x:c r="Y474" s="83" t="n">
        <x:f>IF($B474&lt;&gt;"",($W474+$X474)*Ayarlar!$B$13,0)</x:f>
        <x:v>0</x:v>
      </x:c>
      <x:c r="Z474" s="83" t="n">
        <x:f>IF($B474&lt;&gt;"",($W474+$X474+$Y474)*Ayarlar!$B$14,0)</x:f>
        <x:v>0</x:v>
      </x:c>
      <x:c r="AA474" s="83" t="str">
        <x:f>IF($B474="","",IF(OR($K474="",$N474=""),"",CEILING($W474+$X474+$Y474+$Z474,Ayarlar!$B$16)))</x:f>
      </x:c>
      <x:c r="AB474" s="83" t="str">
        <x:f>IFERROR($AA474/$H474,"")</x:f>
      </x:c>
      <x:c r="AC474" s="75" t="str">
        <x:f>IF($B474="","",IF(OR($K474="",$N474=""),"Veri Eksik","Fiyat Hazır"))</x:f>
      </x:c>
      <x:c r="AD474" s="75" t="str">
        <x:f>IF($C474&lt;&gt;"","MW-"&amp;$C474,"")</x:f>
        <x:v>MW-80</x:v>
      </x:c>
      <x:c r="AE474" s="75" t="str">
        <x:f>IF($G474&lt;&gt;"","3D Baskı / "&amp;$G474,"3D Baskı")</x:f>
        <x:v>3D Baskı</x:v>
      </x:c>
      <x:c r="AF474" s="75" t="str">
        <x:f>IF($D474&lt;&gt;"",$D474&amp;" - "&amp;$G474,$AD474&amp;" - "&amp;$G474)</x:f>
        <x:v>MW-80 - </x:v>
      </x:c>
      <x:c r="AG474" s="75" t="str"/>
    </x:row>
    <x:row r="475">
      <x:c r="A475" s="75" t="str">
        <x:f>IF($B475&lt;&gt;"",ROW()-4,"")</x:f>
      </x:c>
      <x:c r="B475" s="75" t="str"/>
      <x:c r="C475" s="75" t="n">
        <x:f>IFERROR(LET(x,MID($B475,FIND("/models/",$B475)+8,80),y,LEFT(x,FIND("-",x&amp;"-")-1),LEFT(y,FIND("?",y&amp;"?")-1)),"")</x:f>
        <x:v>80</x:v>
      </x:c>
      <x:c r="D475" s="75" t="str">
        <x:f>IF($B475="","",IFERROR(XLOOKUP($C475,MakerWorld_Verileri!$A:$A,MakerWorld_Verileri!$B:$B,""),""))</x:f>
      </x:c>
      <x:c r="E475" s="75" t="str">
        <x:f>IF($B475="","",IFERROR(XLOOKUP($C475,MakerWorld_Verileri!$A:$A,MakerWorld_Verileri!$C:$C,""),""))</x:f>
      </x:c>
      <x:c r="F475" s="75" t="str"/>
      <x:c r="G475" s="75" t="str">
        <x:f>IF($B475&lt;&gt;"",Ayarlar!$B$7,"")</x:f>
      </x:c>
      <x:c r="H475" s="82" t="str">
        <x:f>IF($B475&lt;&gt;"",1,"")</x:f>
      </x:c>
      <x:c r="I475" s="82" t="str">
        <x:f>IF($B475="","",IFERROR(XLOOKUP($C475,MakerWorld_Verileri!$A:$A,MakerWorld_Verileri!$D:$D,""),""))</x:f>
      </x:c>
      <x:c r="J475" s="82" t="str"/>
      <x:c r="K475" s="82" t="str">
        <x:f>IF($I475&lt;&gt;"",$I475,$J475)</x:f>
      </x:c>
      <x:c r="L475" s="82" t="str">
        <x:f>IF($B475="","",IFERROR(XLOOKUP($C475,MakerWorld_Verileri!$A:$A,MakerWorld_Verileri!$E:$E,""),""))</x:f>
      </x:c>
      <x:c r="M475" s="82" t="str"/>
      <x:c r="N475" s="82" t="str">
        <x:f>IF($L475&lt;&gt;"",$L475,$M475)</x:f>
      </x:c>
      <x:c r="O475" s="82" t="str">
        <x:f>IF($B475&lt;&gt;"",0,"")</x:f>
      </x:c>
      <x:c r="P475" s="75" t="str">
        <x:f>IF($B475&lt;&gt;"","Orta","")</x:f>
      </x:c>
      <x:c r="Q475" s="82" t="str">
        <x:f>IF($B475&lt;&gt;"",10,"")</x:f>
      </x:c>
      <x:c r="R475" s="83" t="str">
        <x:f>IF($B475&lt;&gt;"",Ayarlar!$B$10,"")</x:f>
      </x:c>
      <x:c r="S475" s="83" t="str">
        <x:f>IF($B475&lt;&gt;"",0,"")</x:f>
      </x:c>
      <x:c r="T475" s="83" t="n">
        <x:f>IFERROR(($K475+$O475)*XLOOKUP($G475,Ayarlar!$A$19:$A$28,Ayarlar!$C$19:$C$28,0)*(1+Ayarlar!$B$11),0)</x:f>
        <x:v>0</x:v>
      </x:c>
      <x:c r="U475" s="83" t="n">
        <x:f>IFERROR($N475/60*Ayarlar!$B$8,0)</x:f>
        <x:v>0</x:v>
      </x:c>
      <x:c r="V475" s="83" t="n">
        <x:f>IF($B475&lt;&gt;"",Ayarlar!$B$12+($Q475/60*Ayarlar!$B$9),0)</x:f>
        <x:v>0</x:v>
      </x:c>
      <x:c r="W475" s="83" t="n">
        <x:f>IF($B475&lt;&gt;"",SUM($T475:$V475,$R475:$S475),0)</x:f>
        <x:v>0</x:v>
      </x:c>
      <x:c r="X475" s="83" t="n">
        <x:f>IF($B475&lt;&gt;"",$W475*Ayarlar!$B$15,0)</x:f>
        <x:v>0</x:v>
      </x:c>
      <x:c r="Y475" s="83" t="n">
        <x:f>IF($B475&lt;&gt;"",($W475+$X475)*Ayarlar!$B$13,0)</x:f>
        <x:v>0</x:v>
      </x:c>
      <x:c r="Z475" s="83" t="n">
        <x:f>IF($B475&lt;&gt;"",($W475+$X475+$Y475)*Ayarlar!$B$14,0)</x:f>
        <x:v>0</x:v>
      </x:c>
      <x:c r="AA475" s="83" t="str">
        <x:f>IF($B475="","",IF(OR($K475="",$N475=""),"",CEILING($W475+$X475+$Y475+$Z475,Ayarlar!$B$16)))</x:f>
      </x:c>
      <x:c r="AB475" s="83" t="str">
        <x:f>IFERROR($AA475/$H475,"")</x:f>
      </x:c>
      <x:c r="AC475" s="75" t="str">
        <x:f>IF($B475="","",IF(OR($K475="",$N475=""),"Veri Eksik","Fiyat Hazır"))</x:f>
      </x:c>
      <x:c r="AD475" s="75" t="str">
        <x:f>IF($C475&lt;&gt;"","MW-"&amp;$C475,"")</x:f>
        <x:v>MW-80</x:v>
      </x:c>
      <x:c r="AE475" s="75" t="str">
        <x:f>IF($G475&lt;&gt;"","3D Baskı / "&amp;$G475,"3D Baskı")</x:f>
        <x:v>3D Baskı</x:v>
      </x:c>
      <x:c r="AF475" s="75" t="str">
        <x:f>IF($D475&lt;&gt;"",$D475&amp;" - "&amp;$G475,$AD475&amp;" - "&amp;$G475)</x:f>
        <x:v>MW-80 - </x:v>
      </x:c>
      <x:c r="AG475" s="75" t="str"/>
    </x:row>
    <x:row r="476">
      <x:c r="A476" s="75" t="str">
        <x:f>IF($B476&lt;&gt;"",ROW()-4,"")</x:f>
      </x:c>
      <x:c r="B476" s="75" t="str"/>
      <x:c r="C476" s="75" t="n">
        <x:f>IFERROR(LET(x,MID($B476,FIND("/models/",$B476)+8,80),y,LEFT(x,FIND("-",x&amp;"-")-1),LEFT(y,FIND("?",y&amp;"?")-1)),"")</x:f>
        <x:v>80</x:v>
      </x:c>
      <x:c r="D476" s="75" t="str">
        <x:f>IF($B476="","",IFERROR(XLOOKUP($C476,MakerWorld_Verileri!$A:$A,MakerWorld_Verileri!$B:$B,""),""))</x:f>
      </x:c>
      <x:c r="E476" s="75" t="str">
        <x:f>IF($B476="","",IFERROR(XLOOKUP($C476,MakerWorld_Verileri!$A:$A,MakerWorld_Verileri!$C:$C,""),""))</x:f>
      </x:c>
      <x:c r="F476" s="75" t="str"/>
      <x:c r="G476" s="75" t="str">
        <x:f>IF($B476&lt;&gt;"",Ayarlar!$B$7,"")</x:f>
      </x:c>
      <x:c r="H476" s="82" t="str">
        <x:f>IF($B476&lt;&gt;"",1,"")</x:f>
      </x:c>
      <x:c r="I476" s="82" t="str">
        <x:f>IF($B476="","",IFERROR(XLOOKUP($C476,MakerWorld_Verileri!$A:$A,MakerWorld_Verileri!$D:$D,""),""))</x:f>
      </x:c>
      <x:c r="J476" s="82" t="str"/>
      <x:c r="K476" s="82" t="str">
        <x:f>IF($I476&lt;&gt;"",$I476,$J476)</x:f>
      </x:c>
      <x:c r="L476" s="82" t="str">
        <x:f>IF($B476="","",IFERROR(XLOOKUP($C476,MakerWorld_Verileri!$A:$A,MakerWorld_Verileri!$E:$E,""),""))</x:f>
      </x:c>
      <x:c r="M476" s="82" t="str"/>
      <x:c r="N476" s="82" t="str">
        <x:f>IF($L476&lt;&gt;"",$L476,$M476)</x:f>
      </x:c>
      <x:c r="O476" s="82" t="str">
        <x:f>IF($B476&lt;&gt;"",0,"")</x:f>
      </x:c>
      <x:c r="P476" s="75" t="str">
        <x:f>IF($B476&lt;&gt;"","Orta","")</x:f>
      </x:c>
      <x:c r="Q476" s="82" t="str">
        <x:f>IF($B476&lt;&gt;"",10,"")</x:f>
      </x:c>
      <x:c r="R476" s="83" t="str">
        <x:f>IF($B476&lt;&gt;"",Ayarlar!$B$10,"")</x:f>
      </x:c>
      <x:c r="S476" s="83" t="str">
        <x:f>IF($B476&lt;&gt;"",0,"")</x:f>
      </x:c>
      <x:c r="T476" s="83" t="n">
        <x:f>IFERROR(($K476+$O476)*XLOOKUP($G476,Ayarlar!$A$19:$A$28,Ayarlar!$C$19:$C$28,0)*(1+Ayarlar!$B$11),0)</x:f>
        <x:v>0</x:v>
      </x:c>
      <x:c r="U476" s="83" t="n">
        <x:f>IFERROR($N476/60*Ayarlar!$B$8,0)</x:f>
        <x:v>0</x:v>
      </x:c>
      <x:c r="V476" s="83" t="n">
        <x:f>IF($B476&lt;&gt;"",Ayarlar!$B$12+($Q476/60*Ayarlar!$B$9),0)</x:f>
        <x:v>0</x:v>
      </x:c>
      <x:c r="W476" s="83" t="n">
        <x:f>IF($B476&lt;&gt;"",SUM($T476:$V476,$R476:$S476),0)</x:f>
        <x:v>0</x:v>
      </x:c>
      <x:c r="X476" s="83" t="n">
        <x:f>IF($B476&lt;&gt;"",$W476*Ayarlar!$B$15,0)</x:f>
        <x:v>0</x:v>
      </x:c>
      <x:c r="Y476" s="83" t="n">
        <x:f>IF($B476&lt;&gt;"",($W476+$X476)*Ayarlar!$B$13,0)</x:f>
        <x:v>0</x:v>
      </x:c>
      <x:c r="Z476" s="83" t="n">
        <x:f>IF($B476&lt;&gt;"",($W476+$X476+$Y476)*Ayarlar!$B$14,0)</x:f>
        <x:v>0</x:v>
      </x:c>
      <x:c r="AA476" s="83" t="str">
        <x:f>IF($B476="","",IF(OR($K476="",$N476=""),"",CEILING($W476+$X476+$Y476+$Z476,Ayarlar!$B$16)))</x:f>
      </x:c>
      <x:c r="AB476" s="83" t="str">
        <x:f>IFERROR($AA476/$H476,"")</x:f>
      </x:c>
      <x:c r="AC476" s="75" t="str">
        <x:f>IF($B476="","",IF(OR($K476="",$N476=""),"Veri Eksik","Fiyat Hazır"))</x:f>
      </x:c>
      <x:c r="AD476" s="75" t="str">
        <x:f>IF($C476&lt;&gt;"","MW-"&amp;$C476,"")</x:f>
        <x:v>MW-80</x:v>
      </x:c>
      <x:c r="AE476" s="75" t="str">
        <x:f>IF($G476&lt;&gt;"","3D Baskı / "&amp;$G476,"3D Baskı")</x:f>
        <x:v>3D Baskı</x:v>
      </x:c>
      <x:c r="AF476" s="75" t="str">
        <x:f>IF($D476&lt;&gt;"",$D476&amp;" - "&amp;$G476,$AD476&amp;" - "&amp;$G476)</x:f>
        <x:v>MW-80 - </x:v>
      </x:c>
      <x:c r="AG476" s="75" t="str"/>
    </x:row>
    <x:row r="477">
      <x:c r="A477" s="75" t="str">
        <x:f>IF($B477&lt;&gt;"",ROW()-4,"")</x:f>
      </x:c>
      <x:c r="B477" s="75" t="str"/>
      <x:c r="C477" s="75" t="n">
        <x:f>IFERROR(LET(x,MID($B477,FIND("/models/",$B477)+8,80),y,LEFT(x,FIND("-",x&amp;"-")-1),LEFT(y,FIND("?",y&amp;"?")-1)),"")</x:f>
        <x:v>80</x:v>
      </x:c>
      <x:c r="D477" s="75" t="str">
        <x:f>IF($B477="","",IFERROR(XLOOKUP($C477,MakerWorld_Verileri!$A:$A,MakerWorld_Verileri!$B:$B,""),""))</x:f>
      </x:c>
      <x:c r="E477" s="75" t="str">
        <x:f>IF($B477="","",IFERROR(XLOOKUP($C477,MakerWorld_Verileri!$A:$A,MakerWorld_Verileri!$C:$C,""),""))</x:f>
      </x:c>
      <x:c r="F477" s="75" t="str"/>
      <x:c r="G477" s="75" t="str">
        <x:f>IF($B477&lt;&gt;"",Ayarlar!$B$7,"")</x:f>
      </x:c>
      <x:c r="H477" s="82" t="str">
        <x:f>IF($B477&lt;&gt;"",1,"")</x:f>
      </x:c>
      <x:c r="I477" s="82" t="str">
        <x:f>IF($B477="","",IFERROR(XLOOKUP($C477,MakerWorld_Verileri!$A:$A,MakerWorld_Verileri!$D:$D,""),""))</x:f>
      </x:c>
      <x:c r="J477" s="82" t="str"/>
      <x:c r="K477" s="82" t="str">
        <x:f>IF($I477&lt;&gt;"",$I477,$J477)</x:f>
      </x:c>
      <x:c r="L477" s="82" t="str">
        <x:f>IF($B477="","",IFERROR(XLOOKUP($C477,MakerWorld_Verileri!$A:$A,MakerWorld_Verileri!$E:$E,""),""))</x:f>
      </x:c>
      <x:c r="M477" s="82" t="str"/>
      <x:c r="N477" s="82" t="str">
        <x:f>IF($L477&lt;&gt;"",$L477,$M477)</x:f>
      </x:c>
      <x:c r="O477" s="82" t="str">
        <x:f>IF($B477&lt;&gt;"",0,"")</x:f>
      </x:c>
      <x:c r="P477" s="75" t="str">
        <x:f>IF($B477&lt;&gt;"","Orta","")</x:f>
      </x:c>
      <x:c r="Q477" s="82" t="str">
        <x:f>IF($B477&lt;&gt;"",10,"")</x:f>
      </x:c>
      <x:c r="R477" s="83" t="str">
        <x:f>IF($B477&lt;&gt;"",Ayarlar!$B$10,"")</x:f>
      </x:c>
      <x:c r="S477" s="83" t="str">
        <x:f>IF($B477&lt;&gt;"",0,"")</x:f>
      </x:c>
      <x:c r="T477" s="83" t="n">
        <x:f>IFERROR(($K477+$O477)*XLOOKUP($G477,Ayarlar!$A$19:$A$28,Ayarlar!$C$19:$C$28,0)*(1+Ayarlar!$B$11),0)</x:f>
        <x:v>0</x:v>
      </x:c>
      <x:c r="U477" s="83" t="n">
        <x:f>IFERROR($N477/60*Ayarlar!$B$8,0)</x:f>
        <x:v>0</x:v>
      </x:c>
      <x:c r="V477" s="83" t="n">
        <x:f>IF($B477&lt;&gt;"",Ayarlar!$B$12+($Q477/60*Ayarlar!$B$9),0)</x:f>
        <x:v>0</x:v>
      </x:c>
      <x:c r="W477" s="83" t="n">
        <x:f>IF($B477&lt;&gt;"",SUM($T477:$V477,$R477:$S477),0)</x:f>
        <x:v>0</x:v>
      </x:c>
      <x:c r="X477" s="83" t="n">
        <x:f>IF($B477&lt;&gt;"",$W477*Ayarlar!$B$15,0)</x:f>
        <x:v>0</x:v>
      </x:c>
      <x:c r="Y477" s="83" t="n">
        <x:f>IF($B477&lt;&gt;"",($W477+$X477)*Ayarlar!$B$13,0)</x:f>
        <x:v>0</x:v>
      </x:c>
      <x:c r="Z477" s="83" t="n">
        <x:f>IF($B477&lt;&gt;"",($W477+$X477+$Y477)*Ayarlar!$B$14,0)</x:f>
        <x:v>0</x:v>
      </x:c>
      <x:c r="AA477" s="83" t="str">
        <x:f>IF($B477="","",IF(OR($K477="",$N477=""),"",CEILING($W477+$X477+$Y477+$Z477,Ayarlar!$B$16)))</x:f>
      </x:c>
      <x:c r="AB477" s="83" t="str">
        <x:f>IFERROR($AA477/$H477,"")</x:f>
      </x:c>
      <x:c r="AC477" s="75" t="str">
        <x:f>IF($B477="","",IF(OR($K477="",$N477=""),"Veri Eksik","Fiyat Hazır"))</x:f>
      </x:c>
      <x:c r="AD477" s="75" t="str">
        <x:f>IF($C477&lt;&gt;"","MW-"&amp;$C477,"")</x:f>
        <x:v>MW-80</x:v>
      </x:c>
      <x:c r="AE477" s="75" t="str">
        <x:f>IF($G477&lt;&gt;"","3D Baskı / "&amp;$G477,"3D Baskı")</x:f>
        <x:v>3D Baskı</x:v>
      </x:c>
      <x:c r="AF477" s="75" t="str">
        <x:f>IF($D477&lt;&gt;"",$D477&amp;" - "&amp;$G477,$AD477&amp;" - "&amp;$G477)</x:f>
        <x:v>MW-80 - </x:v>
      </x:c>
      <x:c r="AG477" s="75" t="str"/>
    </x:row>
    <x:row r="478">
      <x:c r="A478" s="75" t="str">
        <x:f>IF($B478&lt;&gt;"",ROW()-4,"")</x:f>
      </x:c>
      <x:c r="B478" s="75" t="str"/>
      <x:c r="C478" s="75" t="n">
        <x:f>IFERROR(LET(x,MID($B478,FIND("/models/",$B478)+8,80),y,LEFT(x,FIND("-",x&amp;"-")-1),LEFT(y,FIND("?",y&amp;"?")-1)),"")</x:f>
        <x:v>80</x:v>
      </x:c>
      <x:c r="D478" s="75" t="str">
        <x:f>IF($B478="","",IFERROR(XLOOKUP($C478,MakerWorld_Verileri!$A:$A,MakerWorld_Verileri!$B:$B,""),""))</x:f>
      </x:c>
      <x:c r="E478" s="75" t="str">
        <x:f>IF($B478="","",IFERROR(XLOOKUP($C478,MakerWorld_Verileri!$A:$A,MakerWorld_Verileri!$C:$C,""),""))</x:f>
      </x:c>
      <x:c r="F478" s="75" t="str"/>
      <x:c r="G478" s="75" t="str">
        <x:f>IF($B478&lt;&gt;"",Ayarlar!$B$7,"")</x:f>
      </x:c>
      <x:c r="H478" s="82" t="str">
        <x:f>IF($B478&lt;&gt;"",1,"")</x:f>
      </x:c>
      <x:c r="I478" s="82" t="str">
        <x:f>IF($B478="","",IFERROR(XLOOKUP($C478,MakerWorld_Verileri!$A:$A,MakerWorld_Verileri!$D:$D,""),""))</x:f>
      </x:c>
      <x:c r="J478" s="82" t="str"/>
      <x:c r="K478" s="82" t="str">
        <x:f>IF($I478&lt;&gt;"",$I478,$J478)</x:f>
      </x:c>
      <x:c r="L478" s="82" t="str">
        <x:f>IF($B478="","",IFERROR(XLOOKUP($C478,MakerWorld_Verileri!$A:$A,MakerWorld_Verileri!$E:$E,""),""))</x:f>
      </x:c>
      <x:c r="M478" s="82" t="str"/>
      <x:c r="N478" s="82" t="str">
        <x:f>IF($L478&lt;&gt;"",$L478,$M478)</x:f>
      </x:c>
      <x:c r="O478" s="82" t="str">
        <x:f>IF($B478&lt;&gt;"",0,"")</x:f>
      </x:c>
      <x:c r="P478" s="75" t="str">
        <x:f>IF($B478&lt;&gt;"","Orta","")</x:f>
      </x:c>
      <x:c r="Q478" s="82" t="str">
        <x:f>IF($B478&lt;&gt;"",10,"")</x:f>
      </x:c>
      <x:c r="R478" s="83" t="str">
        <x:f>IF($B478&lt;&gt;"",Ayarlar!$B$10,"")</x:f>
      </x:c>
      <x:c r="S478" s="83" t="str">
        <x:f>IF($B478&lt;&gt;"",0,"")</x:f>
      </x:c>
      <x:c r="T478" s="83" t="n">
        <x:f>IFERROR(($K478+$O478)*XLOOKUP($G478,Ayarlar!$A$19:$A$28,Ayarlar!$C$19:$C$28,0)*(1+Ayarlar!$B$11),0)</x:f>
        <x:v>0</x:v>
      </x:c>
      <x:c r="U478" s="83" t="n">
        <x:f>IFERROR($N478/60*Ayarlar!$B$8,0)</x:f>
        <x:v>0</x:v>
      </x:c>
      <x:c r="V478" s="83" t="n">
        <x:f>IF($B478&lt;&gt;"",Ayarlar!$B$12+($Q478/60*Ayarlar!$B$9),0)</x:f>
        <x:v>0</x:v>
      </x:c>
      <x:c r="W478" s="83" t="n">
        <x:f>IF($B478&lt;&gt;"",SUM($T478:$V478,$R478:$S478),0)</x:f>
        <x:v>0</x:v>
      </x:c>
      <x:c r="X478" s="83" t="n">
        <x:f>IF($B478&lt;&gt;"",$W478*Ayarlar!$B$15,0)</x:f>
        <x:v>0</x:v>
      </x:c>
      <x:c r="Y478" s="83" t="n">
        <x:f>IF($B478&lt;&gt;"",($W478+$X478)*Ayarlar!$B$13,0)</x:f>
        <x:v>0</x:v>
      </x:c>
      <x:c r="Z478" s="83" t="n">
        <x:f>IF($B478&lt;&gt;"",($W478+$X478+$Y478)*Ayarlar!$B$14,0)</x:f>
        <x:v>0</x:v>
      </x:c>
      <x:c r="AA478" s="83" t="str">
        <x:f>IF($B478="","",IF(OR($K478="",$N478=""),"",CEILING($W478+$X478+$Y478+$Z478,Ayarlar!$B$16)))</x:f>
      </x:c>
      <x:c r="AB478" s="83" t="str">
        <x:f>IFERROR($AA478/$H478,"")</x:f>
      </x:c>
      <x:c r="AC478" s="75" t="str">
        <x:f>IF($B478="","",IF(OR($K478="",$N478=""),"Veri Eksik","Fiyat Hazır"))</x:f>
      </x:c>
      <x:c r="AD478" s="75" t="str">
        <x:f>IF($C478&lt;&gt;"","MW-"&amp;$C478,"")</x:f>
        <x:v>MW-80</x:v>
      </x:c>
      <x:c r="AE478" s="75" t="str">
        <x:f>IF($G478&lt;&gt;"","3D Baskı / "&amp;$G478,"3D Baskı")</x:f>
        <x:v>3D Baskı</x:v>
      </x:c>
      <x:c r="AF478" s="75" t="str">
        <x:f>IF($D478&lt;&gt;"",$D478&amp;" - "&amp;$G478,$AD478&amp;" - "&amp;$G478)</x:f>
        <x:v>MW-80 - </x:v>
      </x:c>
      <x:c r="AG478" s="75" t="str"/>
    </x:row>
    <x:row r="479">
      <x:c r="A479" s="75" t="str">
        <x:f>IF($B479&lt;&gt;"",ROW()-4,"")</x:f>
      </x:c>
      <x:c r="B479" s="75" t="str"/>
      <x:c r="C479" s="75" t="n">
        <x:f>IFERROR(LET(x,MID($B479,FIND("/models/",$B479)+8,80),y,LEFT(x,FIND("-",x&amp;"-")-1),LEFT(y,FIND("?",y&amp;"?")-1)),"")</x:f>
        <x:v>80</x:v>
      </x:c>
      <x:c r="D479" s="75" t="str">
        <x:f>IF($B479="","",IFERROR(XLOOKUP($C479,MakerWorld_Verileri!$A:$A,MakerWorld_Verileri!$B:$B,""),""))</x:f>
      </x:c>
      <x:c r="E479" s="75" t="str">
        <x:f>IF($B479="","",IFERROR(XLOOKUP($C479,MakerWorld_Verileri!$A:$A,MakerWorld_Verileri!$C:$C,""),""))</x:f>
      </x:c>
      <x:c r="F479" s="75" t="str"/>
      <x:c r="G479" s="75" t="str">
        <x:f>IF($B479&lt;&gt;"",Ayarlar!$B$7,"")</x:f>
      </x:c>
      <x:c r="H479" s="82" t="str">
        <x:f>IF($B479&lt;&gt;"",1,"")</x:f>
      </x:c>
      <x:c r="I479" s="82" t="str">
        <x:f>IF($B479="","",IFERROR(XLOOKUP($C479,MakerWorld_Verileri!$A:$A,MakerWorld_Verileri!$D:$D,""),""))</x:f>
      </x:c>
      <x:c r="J479" s="82" t="str"/>
      <x:c r="K479" s="82" t="str">
        <x:f>IF($I479&lt;&gt;"",$I479,$J479)</x:f>
      </x:c>
      <x:c r="L479" s="82" t="str">
        <x:f>IF($B479="","",IFERROR(XLOOKUP($C479,MakerWorld_Verileri!$A:$A,MakerWorld_Verileri!$E:$E,""),""))</x:f>
      </x:c>
      <x:c r="M479" s="82" t="str"/>
      <x:c r="N479" s="82" t="str">
        <x:f>IF($L479&lt;&gt;"",$L479,$M479)</x:f>
      </x:c>
      <x:c r="O479" s="82" t="str">
        <x:f>IF($B479&lt;&gt;"",0,"")</x:f>
      </x:c>
      <x:c r="P479" s="75" t="str">
        <x:f>IF($B479&lt;&gt;"","Orta","")</x:f>
      </x:c>
      <x:c r="Q479" s="82" t="str">
        <x:f>IF($B479&lt;&gt;"",10,"")</x:f>
      </x:c>
      <x:c r="R479" s="83" t="str">
        <x:f>IF($B479&lt;&gt;"",Ayarlar!$B$10,"")</x:f>
      </x:c>
      <x:c r="S479" s="83" t="str">
        <x:f>IF($B479&lt;&gt;"",0,"")</x:f>
      </x:c>
      <x:c r="T479" s="83" t="n">
        <x:f>IFERROR(($K479+$O479)*XLOOKUP($G479,Ayarlar!$A$19:$A$28,Ayarlar!$C$19:$C$28,0)*(1+Ayarlar!$B$11),0)</x:f>
        <x:v>0</x:v>
      </x:c>
      <x:c r="U479" s="83" t="n">
        <x:f>IFERROR($N479/60*Ayarlar!$B$8,0)</x:f>
        <x:v>0</x:v>
      </x:c>
      <x:c r="V479" s="83" t="n">
        <x:f>IF($B479&lt;&gt;"",Ayarlar!$B$12+($Q479/60*Ayarlar!$B$9),0)</x:f>
        <x:v>0</x:v>
      </x:c>
      <x:c r="W479" s="83" t="n">
        <x:f>IF($B479&lt;&gt;"",SUM($T479:$V479,$R479:$S479),0)</x:f>
        <x:v>0</x:v>
      </x:c>
      <x:c r="X479" s="83" t="n">
        <x:f>IF($B479&lt;&gt;"",$W479*Ayarlar!$B$15,0)</x:f>
        <x:v>0</x:v>
      </x:c>
      <x:c r="Y479" s="83" t="n">
        <x:f>IF($B479&lt;&gt;"",($W479+$X479)*Ayarlar!$B$13,0)</x:f>
        <x:v>0</x:v>
      </x:c>
      <x:c r="Z479" s="83" t="n">
        <x:f>IF($B479&lt;&gt;"",($W479+$X479+$Y479)*Ayarlar!$B$14,0)</x:f>
        <x:v>0</x:v>
      </x:c>
      <x:c r="AA479" s="83" t="str">
        <x:f>IF($B479="","",IF(OR($K479="",$N479=""),"",CEILING($W479+$X479+$Y479+$Z479,Ayarlar!$B$16)))</x:f>
      </x:c>
      <x:c r="AB479" s="83" t="str">
        <x:f>IFERROR($AA479/$H479,"")</x:f>
      </x:c>
      <x:c r="AC479" s="75" t="str">
        <x:f>IF($B479="","",IF(OR($K479="",$N479=""),"Veri Eksik","Fiyat Hazır"))</x:f>
      </x:c>
      <x:c r="AD479" s="75" t="str">
        <x:f>IF($C479&lt;&gt;"","MW-"&amp;$C479,"")</x:f>
        <x:v>MW-80</x:v>
      </x:c>
      <x:c r="AE479" s="75" t="str">
        <x:f>IF($G479&lt;&gt;"","3D Baskı / "&amp;$G479,"3D Baskı")</x:f>
        <x:v>3D Baskı</x:v>
      </x:c>
      <x:c r="AF479" s="75" t="str">
        <x:f>IF($D479&lt;&gt;"",$D479&amp;" - "&amp;$G479,$AD479&amp;" - "&amp;$G479)</x:f>
        <x:v>MW-80 - </x:v>
      </x:c>
      <x:c r="AG479" s="75" t="str"/>
    </x:row>
    <x:row r="480">
      <x:c r="A480" s="75" t="str">
        <x:f>IF($B480&lt;&gt;"",ROW()-4,"")</x:f>
      </x:c>
      <x:c r="B480" s="75" t="str"/>
      <x:c r="C480" s="75" t="n">
        <x:f>IFERROR(LET(x,MID($B480,FIND("/models/",$B480)+8,80),y,LEFT(x,FIND("-",x&amp;"-")-1),LEFT(y,FIND("?",y&amp;"?")-1)),"")</x:f>
        <x:v>80</x:v>
      </x:c>
      <x:c r="D480" s="75" t="str">
        <x:f>IF($B480="","",IFERROR(XLOOKUP($C480,MakerWorld_Verileri!$A:$A,MakerWorld_Verileri!$B:$B,""),""))</x:f>
      </x:c>
      <x:c r="E480" s="75" t="str">
        <x:f>IF($B480="","",IFERROR(XLOOKUP($C480,MakerWorld_Verileri!$A:$A,MakerWorld_Verileri!$C:$C,""),""))</x:f>
      </x:c>
      <x:c r="F480" s="75" t="str"/>
      <x:c r="G480" s="75" t="str">
        <x:f>IF($B480&lt;&gt;"",Ayarlar!$B$7,"")</x:f>
      </x:c>
      <x:c r="H480" s="82" t="str">
        <x:f>IF($B480&lt;&gt;"",1,"")</x:f>
      </x:c>
      <x:c r="I480" s="82" t="str">
        <x:f>IF($B480="","",IFERROR(XLOOKUP($C480,MakerWorld_Verileri!$A:$A,MakerWorld_Verileri!$D:$D,""),""))</x:f>
      </x:c>
      <x:c r="J480" s="82" t="str"/>
      <x:c r="K480" s="82" t="str">
        <x:f>IF($I480&lt;&gt;"",$I480,$J480)</x:f>
      </x:c>
      <x:c r="L480" s="82" t="str">
        <x:f>IF($B480="","",IFERROR(XLOOKUP($C480,MakerWorld_Verileri!$A:$A,MakerWorld_Verileri!$E:$E,""),""))</x:f>
      </x:c>
      <x:c r="M480" s="82" t="str"/>
      <x:c r="N480" s="82" t="str">
        <x:f>IF($L480&lt;&gt;"",$L480,$M480)</x:f>
      </x:c>
      <x:c r="O480" s="82" t="str">
        <x:f>IF($B480&lt;&gt;"",0,"")</x:f>
      </x:c>
      <x:c r="P480" s="75" t="str">
        <x:f>IF($B480&lt;&gt;"","Orta","")</x:f>
      </x:c>
      <x:c r="Q480" s="82" t="str">
        <x:f>IF($B480&lt;&gt;"",10,"")</x:f>
      </x:c>
      <x:c r="R480" s="83" t="str">
        <x:f>IF($B480&lt;&gt;"",Ayarlar!$B$10,"")</x:f>
      </x:c>
      <x:c r="S480" s="83" t="str">
        <x:f>IF($B480&lt;&gt;"",0,"")</x:f>
      </x:c>
      <x:c r="T480" s="83" t="n">
        <x:f>IFERROR(($K480+$O480)*XLOOKUP($G480,Ayarlar!$A$19:$A$28,Ayarlar!$C$19:$C$28,0)*(1+Ayarlar!$B$11),0)</x:f>
        <x:v>0</x:v>
      </x:c>
      <x:c r="U480" s="83" t="n">
        <x:f>IFERROR($N480/60*Ayarlar!$B$8,0)</x:f>
        <x:v>0</x:v>
      </x:c>
      <x:c r="V480" s="83" t="n">
        <x:f>IF($B480&lt;&gt;"",Ayarlar!$B$12+($Q480/60*Ayarlar!$B$9),0)</x:f>
        <x:v>0</x:v>
      </x:c>
      <x:c r="W480" s="83" t="n">
        <x:f>IF($B480&lt;&gt;"",SUM($T480:$V480,$R480:$S480),0)</x:f>
        <x:v>0</x:v>
      </x:c>
      <x:c r="X480" s="83" t="n">
        <x:f>IF($B480&lt;&gt;"",$W480*Ayarlar!$B$15,0)</x:f>
        <x:v>0</x:v>
      </x:c>
      <x:c r="Y480" s="83" t="n">
        <x:f>IF($B480&lt;&gt;"",($W480+$X480)*Ayarlar!$B$13,0)</x:f>
        <x:v>0</x:v>
      </x:c>
      <x:c r="Z480" s="83" t="n">
        <x:f>IF($B480&lt;&gt;"",($W480+$X480+$Y480)*Ayarlar!$B$14,0)</x:f>
        <x:v>0</x:v>
      </x:c>
      <x:c r="AA480" s="83" t="str">
        <x:f>IF($B480="","",IF(OR($K480="",$N480=""),"",CEILING($W480+$X480+$Y480+$Z480,Ayarlar!$B$16)))</x:f>
      </x:c>
      <x:c r="AB480" s="83" t="str">
        <x:f>IFERROR($AA480/$H480,"")</x:f>
      </x:c>
      <x:c r="AC480" s="75" t="str">
        <x:f>IF($B480="","",IF(OR($K480="",$N480=""),"Veri Eksik","Fiyat Hazır"))</x:f>
      </x:c>
      <x:c r="AD480" s="75" t="str">
        <x:f>IF($C480&lt;&gt;"","MW-"&amp;$C480,"")</x:f>
        <x:v>MW-80</x:v>
      </x:c>
      <x:c r="AE480" s="75" t="str">
        <x:f>IF($G480&lt;&gt;"","3D Baskı / "&amp;$G480,"3D Baskı")</x:f>
        <x:v>3D Baskı</x:v>
      </x:c>
      <x:c r="AF480" s="75" t="str">
        <x:f>IF($D480&lt;&gt;"",$D480&amp;" - "&amp;$G480,$AD480&amp;" - "&amp;$G480)</x:f>
        <x:v>MW-80 - </x:v>
      </x:c>
      <x:c r="AG480" s="75" t="str"/>
    </x:row>
    <x:row r="481">
      <x:c r="A481" s="75" t="str">
        <x:f>IF($B481&lt;&gt;"",ROW()-4,"")</x:f>
      </x:c>
      <x:c r="B481" s="75" t="str"/>
      <x:c r="C481" s="75" t="n">
        <x:f>IFERROR(LET(x,MID($B481,FIND("/models/",$B481)+8,80),y,LEFT(x,FIND("-",x&amp;"-")-1),LEFT(y,FIND("?",y&amp;"?")-1)),"")</x:f>
        <x:v>80</x:v>
      </x:c>
      <x:c r="D481" s="75" t="str">
        <x:f>IF($B481="","",IFERROR(XLOOKUP($C481,MakerWorld_Verileri!$A:$A,MakerWorld_Verileri!$B:$B,""),""))</x:f>
      </x:c>
      <x:c r="E481" s="75" t="str">
        <x:f>IF($B481="","",IFERROR(XLOOKUP($C481,MakerWorld_Verileri!$A:$A,MakerWorld_Verileri!$C:$C,""),""))</x:f>
      </x:c>
      <x:c r="F481" s="75" t="str"/>
      <x:c r="G481" s="75" t="str">
        <x:f>IF($B481&lt;&gt;"",Ayarlar!$B$7,"")</x:f>
      </x:c>
      <x:c r="H481" s="82" t="str">
        <x:f>IF($B481&lt;&gt;"",1,"")</x:f>
      </x:c>
      <x:c r="I481" s="82" t="str">
        <x:f>IF($B481="","",IFERROR(XLOOKUP($C481,MakerWorld_Verileri!$A:$A,MakerWorld_Verileri!$D:$D,""),""))</x:f>
      </x:c>
      <x:c r="J481" s="82" t="str"/>
      <x:c r="K481" s="82" t="str">
        <x:f>IF($I481&lt;&gt;"",$I481,$J481)</x:f>
      </x:c>
      <x:c r="L481" s="82" t="str">
        <x:f>IF($B481="","",IFERROR(XLOOKUP($C481,MakerWorld_Verileri!$A:$A,MakerWorld_Verileri!$E:$E,""),""))</x:f>
      </x:c>
      <x:c r="M481" s="82" t="str"/>
      <x:c r="N481" s="82" t="str">
        <x:f>IF($L481&lt;&gt;"",$L481,$M481)</x:f>
      </x:c>
      <x:c r="O481" s="82" t="str">
        <x:f>IF($B481&lt;&gt;"",0,"")</x:f>
      </x:c>
      <x:c r="P481" s="75" t="str">
        <x:f>IF($B481&lt;&gt;"","Orta","")</x:f>
      </x:c>
      <x:c r="Q481" s="82" t="str">
        <x:f>IF($B481&lt;&gt;"",10,"")</x:f>
      </x:c>
      <x:c r="R481" s="83" t="str">
        <x:f>IF($B481&lt;&gt;"",Ayarlar!$B$10,"")</x:f>
      </x:c>
      <x:c r="S481" s="83" t="str">
        <x:f>IF($B481&lt;&gt;"",0,"")</x:f>
      </x:c>
      <x:c r="T481" s="83" t="n">
        <x:f>IFERROR(($K481+$O481)*XLOOKUP($G481,Ayarlar!$A$19:$A$28,Ayarlar!$C$19:$C$28,0)*(1+Ayarlar!$B$11),0)</x:f>
        <x:v>0</x:v>
      </x:c>
      <x:c r="U481" s="83" t="n">
        <x:f>IFERROR($N481/60*Ayarlar!$B$8,0)</x:f>
        <x:v>0</x:v>
      </x:c>
      <x:c r="V481" s="83" t="n">
        <x:f>IF($B481&lt;&gt;"",Ayarlar!$B$12+($Q481/60*Ayarlar!$B$9),0)</x:f>
        <x:v>0</x:v>
      </x:c>
      <x:c r="W481" s="83" t="n">
        <x:f>IF($B481&lt;&gt;"",SUM($T481:$V481,$R481:$S481),0)</x:f>
        <x:v>0</x:v>
      </x:c>
      <x:c r="X481" s="83" t="n">
        <x:f>IF($B481&lt;&gt;"",$W481*Ayarlar!$B$15,0)</x:f>
        <x:v>0</x:v>
      </x:c>
      <x:c r="Y481" s="83" t="n">
        <x:f>IF($B481&lt;&gt;"",($W481+$X481)*Ayarlar!$B$13,0)</x:f>
        <x:v>0</x:v>
      </x:c>
      <x:c r="Z481" s="83" t="n">
        <x:f>IF($B481&lt;&gt;"",($W481+$X481+$Y481)*Ayarlar!$B$14,0)</x:f>
        <x:v>0</x:v>
      </x:c>
      <x:c r="AA481" s="83" t="str">
        <x:f>IF($B481="","",IF(OR($K481="",$N481=""),"",CEILING($W481+$X481+$Y481+$Z481,Ayarlar!$B$16)))</x:f>
      </x:c>
      <x:c r="AB481" s="83" t="str">
        <x:f>IFERROR($AA481/$H481,"")</x:f>
      </x:c>
      <x:c r="AC481" s="75" t="str">
        <x:f>IF($B481="","",IF(OR($K481="",$N481=""),"Veri Eksik","Fiyat Hazır"))</x:f>
      </x:c>
      <x:c r="AD481" s="75" t="str">
        <x:f>IF($C481&lt;&gt;"","MW-"&amp;$C481,"")</x:f>
        <x:v>MW-80</x:v>
      </x:c>
      <x:c r="AE481" s="75" t="str">
        <x:f>IF($G481&lt;&gt;"","3D Baskı / "&amp;$G481,"3D Baskı")</x:f>
        <x:v>3D Baskı</x:v>
      </x:c>
      <x:c r="AF481" s="75" t="str">
        <x:f>IF($D481&lt;&gt;"",$D481&amp;" - "&amp;$G481,$AD481&amp;" - "&amp;$G481)</x:f>
        <x:v>MW-80 - </x:v>
      </x:c>
      <x:c r="AG481" s="75" t="str"/>
    </x:row>
    <x:row r="482">
      <x:c r="A482" s="75" t="str">
        <x:f>IF($B482&lt;&gt;"",ROW()-4,"")</x:f>
      </x:c>
      <x:c r="B482" s="75" t="str"/>
      <x:c r="C482" s="75" t="n">
        <x:f>IFERROR(LET(x,MID($B482,FIND("/models/",$B482)+8,80),y,LEFT(x,FIND("-",x&amp;"-")-1),LEFT(y,FIND("?",y&amp;"?")-1)),"")</x:f>
        <x:v>80</x:v>
      </x:c>
      <x:c r="D482" s="75" t="str">
        <x:f>IF($B482="","",IFERROR(XLOOKUP($C482,MakerWorld_Verileri!$A:$A,MakerWorld_Verileri!$B:$B,""),""))</x:f>
      </x:c>
      <x:c r="E482" s="75" t="str">
        <x:f>IF($B482="","",IFERROR(XLOOKUP($C482,MakerWorld_Verileri!$A:$A,MakerWorld_Verileri!$C:$C,""),""))</x:f>
      </x:c>
      <x:c r="F482" s="75" t="str"/>
      <x:c r="G482" s="75" t="str">
        <x:f>IF($B482&lt;&gt;"",Ayarlar!$B$7,"")</x:f>
      </x:c>
      <x:c r="H482" s="82" t="str">
        <x:f>IF($B482&lt;&gt;"",1,"")</x:f>
      </x:c>
      <x:c r="I482" s="82" t="str">
        <x:f>IF($B482="","",IFERROR(XLOOKUP($C482,MakerWorld_Verileri!$A:$A,MakerWorld_Verileri!$D:$D,""),""))</x:f>
      </x:c>
      <x:c r="J482" s="82" t="str"/>
      <x:c r="K482" s="82" t="str">
        <x:f>IF($I482&lt;&gt;"",$I482,$J482)</x:f>
      </x:c>
      <x:c r="L482" s="82" t="str">
        <x:f>IF($B482="","",IFERROR(XLOOKUP($C482,MakerWorld_Verileri!$A:$A,MakerWorld_Verileri!$E:$E,""),""))</x:f>
      </x:c>
      <x:c r="M482" s="82" t="str"/>
      <x:c r="N482" s="82" t="str">
        <x:f>IF($L482&lt;&gt;"",$L482,$M482)</x:f>
      </x:c>
      <x:c r="O482" s="82" t="str">
        <x:f>IF($B482&lt;&gt;"",0,"")</x:f>
      </x:c>
      <x:c r="P482" s="75" t="str">
        <x:f>IF($B482&lt;&gt;"","Orta","")</x:f>
      </x:c>
      <x:c r="Q482" s="82" t="str">
        <x:f>IF($B482&lt;&gt;"",10,"")</x:f>
      </x:c>
      <x:c r="R482" s="83" t="str">
        <x:f>IF($B482&lt;&gt;"",Ayarlar!$B$10,"")</x:f>
      </x:c>
      <x:c r="S482" s="83" t="str">
        <x:f>IF($B482&lt;&gt;"",0,"")</x:f>
      </x:c>
      <x:c r="T482" s="83" t="n">
        <x:f>IFERROR(($K482+$O482)*XLOOKUP($G482,Ayarlar!$A$19:$A$28,Ayarlar!$C$19:$C$28,0)*(1+Ayarlar!$B$11),0)</x:f>
        <x:v>0</x:v>
      </x:c>
      <x:c r="U482" s="83" t="n">
        <x:f>IFERROR($N482/60*Ayarlar!$B$8,0)</x:f>
        <x:v>0</x:v>
      </x:c>
      <x:c r="V482" s="83" t="n">
        <x:f>IF($B482&lt;&gt;"",Ayarlar!$B$12+($Q482/60*Ayarlar!$B$9),0)</x:f>
        <x:v>0</x:v>
      </x:c>
      <x:c r="W482" s="83" t="n">
        <x:f>IF($B482&lt;&gt;"",SUM($T482:$V482,$R482:$S482),0)</x:f>
        <x:v>0</x:v>
      </x:c>
      <x:c r="X482" s="83" t="n">
        <x:f>IF($B482&lt;&gt;"",$W482*Ayarlar!$B$15,0)</x:f>
        <x:v>0</x:v>
      </x:c>
      <x:c r="Y482" s="83" t="n">
        <x:f>IF($B482&lt;&gt;"",($W482+$X482)*Ayarlar!$B$13,0)</x:f>
        <x:v>0</x:v>
      </x:c>
      <x:c r="Z482" s="83" t="n">
        <x:f>IF($B482&lt;&gt;"",($W482+$X482+$Y482)*Ayarlar!$B$14,0)</x:f>
        <x:v>0</x:v>
      </x:c>
      <x:c r="AA482" s="83" t="str">
        <x:f>IF($B482="","",IF(OR($K482="",$N482=""),"",CEILING($W482+$X482+$Y482+$Z482,Ayarlar!$B$16)))</x:f>
      </x:c>
      <x:c r="AB482" s="83" t="str">
        <x:f>IFERROR($AA482/$H482,"")</x:f>
      </x:c>
      <x:c r="AC482" s="75" t="str">
        <x:f>IF($B482="","",IF(OR($K482="",$N482=""),"Veri Eksik","Fiyat Hazır"))</x:f>
      </x:c>
      <x:c r="AD482" s="75" t="str">
        <x:f>IF($C482&lt;&gt;"","MW-"&amp;$C482,"")</x:f>
        <x:v>MW-80</x:v>
      </x:c>
      <x:c r="AE482" s="75" t="str">
        <x:f>IF($G482&lt;&gt;"","3D Baskı / "&amp;$G482,"3D Baskı")</x:f>
        <x:v>3D Baskı</x:v>
      </x:c>
      <x:c r="AF482" s="75" t="str">
        <x:f>IF($D482&lt;&gt;"",$D482&amp;" - "&amp;$G482,$AD482&amp;" - "&amp;$G482)</x:f>
        <x:v>MW-80 - </x:v>
      </x:c>
      <x:c r="AG482" s="75" t="str"/>
    </x:row>
    <x:row r="483">
      <x:c r="A483" s="75" t="str">
        <x:f>IF($B483&lt;&gt;"",ROW()-4,"")</x:f>
      </x:c>
      <x:c r="B483" s="75" t="str"/>
      <x:c r="C483" s="75" t="n">
        <x:f>IFERROR(LET(x,MID($B483,FIND("/models/",$B483)+8,80),y,LEFT(x,FIND("-",x&amp;"-")-1),LEFT(y,FIND("?",y&amp;"?")-1)),"")</x:f>
        <x:v>80</x:v>
      </x:c>
      <x:c r="D483" s="75" t="str">
        <x:f>IF($B483="","",IFERROR(XLOOKUP($C483,MakerWorld_Verileri!$A:$A,MakerWorld_Verileri!$B:$B,""),""))</x:f>
      </x:c>
      <x:c r="E483" s="75" t="str">
        <x:f>IF($B483="","",IFERROR(XLOOKUP($C483,MakerWorld_Verileri!$A:$A,MakerWorld_Verileri!$C:$C,""),""))</x:f>
      </x:c>
      <x:c r="F483" s="75" t="str"/>
      <x:c r="G483" s="75" t="str">
        <x:f>IF($B483&lt;&gt;"",Ayarlar!$B$7,"")</x:f>
      </x:c>
      <x:c r="H483" s="82" t="str">
        <x:f>IF($B483&lt;&gt;"",1,"")</x:f>
      </x:c>
      <x:c r="I483" s="82" t="str">
        <x:f>IF($B483="","",IFERROR(XLOOKUP($C483,MakerWorld_Verileri!$A:$A,MakerWorld_Verileri!$D:$D,""),""))</x:f>
      </x:c>
      <x:c r="J483" s="82" t="str"/>
      <x:c r="K483" s="82" t="str">
        <x:f>IF($I483&lt;&gt;"",$I483,$J483)</x:f>
      </x:c>
      <x:c r="L483" s="82" t="str">
        <x:f>IF($B483="","",IFERROR(XLOOKUP($C483,MakerWorld_Verileri!$A:$A,MakerWorld_Verileri!$E:$E,""),""))</x:f>
      </x:c>
      <x:c r="M483" s="82" t="str"/>
      <x:c r="N483" s="82" t="str">
        <x:f>IF($L483&lt;&gt;"",$L483,$M483)</x:f>
      </x:c>
      <x:c r="O483" s="82" t="str">
        <x:f>IF($B483&lt;&gt;"",0,"")</x:f>
      </x:c>
      <x:c r="P483" s="75" t="str">
        <x:f>IF($B483&lt;&gt;"","Orta","")</x:f>
      </x:c>
      <x:c r="Q483" s="82" t="str">
        <x:f>IF($B483&lt;&gt;"",10,"")</x:f>
      </x:c>
      <x:c r="R483" s="83" t="str">
        <x:f>IF($B483&lt;&gt;"",Ayarlar!$B$10,"")</x:f>
      </x:c>
      <x:c r="S483" s="83" t="str">
        <x:f>IF($B483&lt;&gt;"",0,"")</x:f>
      </x:c>
      <x:c r="T483" s="83" t="n">
        <x:f>IFERROR(($K483+$O483)*XLOOKUP($G483,Ayarlar!$A$19:$A$28,Ayarlar!$C$19:$C$28,0)*(1+Ayarlar!$B$11),0)</x:f>
        <x:v>0</x:v>
      </x:c>
      <x:c r="U483" s="83" t="n">
        <x:f>IFERROR($N483/60*Ayarlar!$B$8,0)</x:f>
        <x:v>0</x:v>
      </x:c>
      <x:c r="V483" s="83" t="n">
        <x:f>IF($B483&lt;&gt;"",Ayarlar!$B$12+($Q483/60*Ayarlar!$B$9),0)</x:f>
        <x:v>0</x:v>
      </x:c>
      <x:c r="W483" s="83" t="n">
        <x:f>IF($B483&lt;&gt;"",SUM($T483:$V483,$R483:$S483),0)</x:f>
        <x:v>0</x:v>
      </x:c>
      <x:c r="X483" s="83" t="n">
        <x:f>IF($B483&lt;&gt;"",$W483*Ayarlar!$B$15,0)</x:f>
        <x:v>0</x:v>
      </x:c>
      <x:c r="Y483" s="83" t="n">
        <x:f>IF($B483&lt;&gt;"",($W483+$X483)*Ayarlar!$B$13,0)</x:f>
        <x:v>0</x:v>
      </x:c>
      <x:c r="Z483" s="83" t="n">
        <x:f>IF($B483&lt;&gt;"",($W483+$X483+$Y483)*Ayarlar!$B$14,0)</x:f>
        <x:v>0</x:v>
      </x:c>
      <x:c r="AA483" s="83" t="str">
        <x:f>IF($B483="","",IF(OR($K483="",$N483=""),"",CEILING($W483+$X483+$Y483+$Z483,Ayarlar!$B$16)))</x:f>
      </x:c>
      <x:c r="AB483" s="83" t="str">
        <x:f>IFERROR($AA483/$H483,"")</x:f>
      </x:c>
      <x:c r="AC483" s="75" t="str">
        <x:f>IF($B483="","",IF(OR($K483="",$N483=""),"Veri Eksik","Fiyat Hazır"))</x:f>
      </x:c>
      <x:c r="AD483" s="75" t="str">
        <x:f>IF($C483&lt;&gt;"","MW-"&amp;$C483,"")</x:f>
        <x:v>MW-80</x:v>
      </x:c>
      <x:c r="AE483" s="75" t="str">
        <x:f>IF($G483&lt;&gt;"","3D Baskı / "&amp;$G483,"3D Baskı")</x:f>
        <x:v>3D Baskı</x:v>
      </x:c>
      <x:c r="AF483" s="75" t="str">
        <x:f>IF($D483&lt;&gt;"",$D483&amp;" - "&amp;$G483,$AD483&amp;" - "&amp;$G483)</x:f>
        <x:v>MW-80 - </x:v>
      </x:c>
      <x:c r="AG483" s="75" t="str"/>
    </x:row>
    <x:row r="484">
      <x:c r="A484" s="75" t="str">
        <x:f>IF($B484&lt;&gt;"",ROW()-4,"")</x:f>
      </x:c>
      <x:c r="B484" s="75" t="str"/>
      <x:c r="C484" s="75" t="n">
        <x:f>IFERROR(LET(x,MID($B484,FIND("/models/",$B484)+8,80),y,LEFT(x,FIND("-",x&amp;"-")-1),LEFT(y,FIND("?",y&amp;"?")-1)),"")</x:f>
        <x:v>80</x:v>
      </x:c>
      <x:c r="D484" s="75" t="str">
        <x:f>IF($B484="","",IFERROR(XLOOKUP($C484,MakerWorld_Verileri!$A:$A,MakerWorld_Verileri!$B:$B,""),""))</x:f>
      </x:c>
      <x:c r="E484" s="75" t="str">
        <x:f>IF($B484="","",IFERROR(XLOOKUP($C484,MakerWorld_Verileri!$A:$A,MakerWorld_Verileri!$C:$C,""),""))</x:f>
      </x:c>
      <x:c r="F484" s="75" t="str"/>
      <x:c r="G484" s="75" t="str">
        <x:f>IF($B484&lt;&gt;"",Ayarlar!$B$7,"")</x:f>
      </x:c>
      <x:c r="H484" s="82" t="str">
        <x:f>IF($B484&lt;&gt;"",1,"")</x:f>
      </x:c>
      <x:c r="I484" s="82" t="str">
        <x:f>IF($B484="","",IFERROR(XLOOKUP($C484,MakerWorld_Verileri!$A:$A,MakerWorld_Verileri!$D:$D,""),""))</x:f>
      </x:c>
      <x:c r="J484" s="82" t="str"/>
      <x:c r="K484" s="82" t="str">
        <x:f>IF($I484&lt;&gt;"",$I484,$J484)</x:f>
      </x:c>
      <x:c r="L484" s="82" t="str">
        <x:f>IF($B484="","",IFERROR(XLOOKUP($C484,MakerWorld_Verileri!$A:$A,MakerWorld_Verileri!$E:$E,""),""))</x:f>
      </x:c>
      <x:c r="M484" s="82" t="str"/>
      <x:c r="N484" s="82" t="str">
        <x:f>IF($L484&lt;&gt;"",$L484,$M484)</x:f>
      </x:c>
      <x:c r="O484" s="82" t="str">
        <x:f>IF($B484&lt;&gt;"",0,"")</x:f>
      </x:c>
      <x:c r="P484" s="75" t="str">
        <x:f>IF($B484&lt;&gt;"","Orta","")</x:f>
      </x:c>
      <x:c r="Q484" s="82" t="str">
        <x:f>IF($B484&lt;&gt;"",10,"")</x:f>
      </x:c>
      <x:c r="R484" s="83" t="str">
        <x:f>IF($B484&lt;&gt;"",Ayarlar!$B$10,"")</x:f>
      </x:c>
      <x:c r="S484" s="83" t="str">
        <x:f>IF($B484&lt;&gt;"",0,"")</x:f>
      </x:c>
      <x:c r="T484" s="83" t="n">
        <x:f>IFERROR(($K484+$O484)*XLOOKUP($G484,Ayarlar!$A$19:$A$28,Ayarlar!$C$19:$C$28,0)*(1+Ayarlar!$B$11),0)</x:f>
        <x:v>0</x:v>
      </x:c>
      <x:c r="U484" s="83" t="n">
        <x:f>IFERROR($N484/60*Ayarlar!$B$8,0)</x:f>
        <x:v>0</x:v>
      </x:c>
      <x:c r="V484" s="83" t="n">
        <x:f>IF($B484&lt;&gt;"",Ayarlar!$B$12+($Q484/60*Ayarlar!$B$9),0)</x:f>
        <x:v>0</x:v>
      </x:c>
      <x:c r="W484" s="83" t="n">
        <x:f>IF($B484&lt;&gt;"",SUM($T484:$V484,$R484:$S484),0)</x:f>
        <x:v>0</x:v>
      </x:c>
      <x:c r="X484" s="83" t="n">
        <x:f>IF($B484&lt;&gt;"",$W484*Ayarlar!$B$15,0)</x:f>
        <x:v>0</x:v>
      </x:c>
      <x:c r="Y484" s="83" t="n">
        <x:f>IF($B484&lt;&gt;"",($W484+$X484)*Ayarlar!$B$13,0)</x:f>
        <x:v>0</x:v>
      </x:c>
      <x:c r="Z484" s="83" t="n">
        <x:f>IF($B484&lt;&gt;"",($W484+$X484+$Y484)*Ayarlar!$B$14,0)</x:f>
        <x:v>0</x:v>
      </x:c>
      <x:c r="AA484" s="83" t="str">
        <x:f>IF($B484="","",IF(OR($K484="",$N484=""),"",CEILING($W484+$X484+$Y484+$Z484,Ayarlar!$B$16)))</x:f>
      </x:c>
      <x:c r="AB484" s="83" t="str">
        <x:f>IFERROR($AA484/$H484,"")</x:f>
      </x:c>
      <x:c r="AC484" s="75" t="str">
        <x:f>IF($B484="","",IF(OR($K484="",$N484=""),"Veri Eksik","Fiyat Hazır"))</x:f>
      </x:c>
      <x:c r="AD484" s="75" t="str">
        <x:f>IF($C484&lt;&gt;"","MW-"&amp;$C484,"")</x:f>
        <x:v>MW-80</x:v>
      </x:c>
      <x:c r="AE484" s="75" t="str">
        <x:f>IF($G484&lt;&gt;"","3D Baskı / "&amp;$G484,"3D Baskı")</x:f>
        <x:v>3D Baskı</x:v>
      </x:c>
      <x:c r="AF484" s="75" t="str">
        <x:f>IF($D484&lt;&gt;"",$D484&amp;" - "&amp;$G484,$AD484&amp;" - "&amp;$G484)</x:f>
        <x:v>MW-80 - </x:v>
      </x:c>
      <x:c r="AG484" s="75" t="str"/>
    </x:row>
    <x:row r="485">
      <x:c r="A485" s="75" t="str">
        <x:f>IF($B485&lt;&gt;"",ROW()-4,"")</x:f>
      </x:c>
      <x:c r="B485" s="75" t="str"/>
      <x:c r="C485" s="75" t="n">
        <x:f>IFERROR(LET(x,MID($B485,FIND("/models/",$B485)+8,80),y,LEFT(x,FIND("-",x&amp;"-")-1),LEFT(y,FIND("?",y&amp;"?")-1)),"")</x:f>
        <x:v>80</x:v>
      </x:c>
      <x:c r="D485" s="75" t="str">
        <x:f>IF($B485="","",IFERROR(XLOOKUP($C485,MakerWorld_Verileri!$A:$A,MakerWorld_Verileri!$B:$B,""),""))</x:f>
      </x:c>
      <x:c r="E485" s="75" t="str">
        <x:f>IF($B485="","",IFERROR(XLOOKUP($C485,MakerWorld_Verileri!$A:$A,MakerWorld_Verileri!$C:$C,""),""))</x:f>
      </x:c>
      <x:c r="F485" s="75" t="str"/>
      <x:c r="G485" s="75" t="str">
        <x:f>IF($B485&lt;&gt;"",Ayarlar!$B$7,"")</x:f>
      </x:c>
      <x:c r="H485" s="82" t="str">
        <x:f>IF($B485&lt;&gt;"",1,"")</x:f>
      </x:c>
      <x:c r="I485" s="82" t="str">
        <x:f>IF($B485="","",IFERROR(XLOOKUP($C485,MakerWorld_Verileri!$A:$A,MakerWorld_Verileri!$D:$D,""),""))</x:f>
      </x:c>
      <x:c r="J485" s="82" t="str"/>
      <x:c r="K485" s="82" t="str">
        <x:f>IF($I485&lt;&gt;"",$I485,$J485)</x:f>
      </x:c>
      <x:c r="L485" s="82" t="str">
        <x:f>IF($B485="","",IFERROR(XLOOKUP($C485,MakerWorld_Verileri!$A:$A,MakerWorld_Verileri!$E:$E,""),""))</x:f>
      </x:c>
      <x:c r="M485" s="82" t="str"/>
      <x:c r="N485" s="82" t="str">
        <x:f>IF($L485&lt;&gt;"",$L485,$M485)</x:f>
      </x:c>
      <x:c r="O485" s="82" t="str">
        <x:f>IF($B485&lt;&gt;"",0,"")</x:f>
      </x:c>
      <x:c r="P485" s="75" t="str">
        <x:f>IF($B485&lt;&gt;"","Orta","")</x:f>
      </x:c>
      <x:c r="Q485" s="82" t="str">
        <x:f>IF($B485&lt;&gt;"",10,"")</x:f>
      </x:c>
      <x:c r="R485" s="83" t="str">
        <x:f>IF($B485&lt;&gt;"",Ayarlar!$B$10,"")</x:f>
      </x:c>
      <x:c r="S485" s="83" t="str">
        <x:f>IF($B485&lt;&gt;"",0,"")</x:f>
      </x:c>
      <x:c r="T485" s="83" t="n">
        <x:f>IFERROR(($K485+$O485)*XLOOKUP($G485,Ayarlar!$A$19:$A$28,Ayarlar!$C$19:$C$28,0)*(1+Ayarlar!$B$11),0)</x:f>
        <x:v>0</x:v>
      </x:c>
      <x:c r="U485" s="83" t="n">
        <x:f>IFERROR($N485/60*Ayarlar!$B$8,0)</x:f>
        <x:v>0</x:v>
      </x:c>
      <x:c r="V485" s="83" t="n">
        <x:f>IF($B485&lt;&gt;"",Ayarlar!$B$12+($Q485/60*Ayarlar!$B$9),0)</x:f>
        <x:v>0</x:v>
      </x:c>
      <x:c r="W485" s="83" t="n">
        <x:f>IF($B485&lt;&gt;"",SUM($T485:$V485,$R485:$S485),0)</x:f>
        <x:v>0</x:v>
      </x:c>
      <x:c r="X485" s="83" t="n">
        <x:f>IF($B485&lt;&gt;"",$W485*Ayarlar!$B$15,0)</x:f>
        <x:v>0</x:v>
      </x:c>
      <x:c r="Y485" s="83" t="n">
        <x:f>IF($B485&lt;&gt;"",($W485+$X485)*Ayarlar!$B$13,0)</x:f>
        <x:v>0</x:v>
      </x:c>
      <x:c r="Z485" s="83" t="n">
        <x:f>IF($B485&lt;&gt;"",($W485+$X485+$Y485)*Ayarlar!$B$14,0)</x:f>
        <x:v>0</x:v>
      </x:c>
      <x:c r="AA485" s="83" t="str">
        <x:f>IF($B485="","",IF(OR($K485="",$N485=""),"",CEILING($W485+$X485+$Y485+$Z485,Ayarlar!$B$16)))</x:f>
      </x:c>
      <x:c r="AB485" s="83" t="str">
        <x:f>IFERROR($AA485/$H485,"")</x:f>
      </x:c>
      <x:c r="AC485" s="75" t="str">
        <x:f>IF($B485="","",IF(OR($K485="",$N485=""),"Veri Eksik","Fiyat Hazır"))</x:f>
      </x:c>
      <x:c r="AD485" s="75" t="str">
        <x:f>IF($C485&lt;&gt;"","MW-"&amp;$C485,"")</x:f>
        <x:v>MW-80</x:v>
      </x:c>
      <x:c r="AE485" s="75" t="str">
        <x:f>IF($G485&lt;&gt;"","3D Baskı / "&amp;$G485,"3D Baskı")</x:f>
        <x:v>3D Baskı</x:v>
      </x:c>
      <x:c r="AF485" s="75" t="str">
        <x:f>IF($D485&lt;&gt;"",$D485&amp;" - "&amp;$G485,$AD485&amp;" - "&amp;$G485)</x:f>
        <x:v>MW-80 - </x:v>
      </x:c>
      <x:c r="AG485" s="75" t="str"/>
    </x:row>
    <x:row r="486">
      <x:c r="A486" s="75" t="str">
        <x:f>IF($B486&lt;&gt;"",ROW()-4,"")</x:f>
      </x:c>
      <x:c r="B486" s="75" t="str"/>
      <x:c r="C486" s="75" t="n">
        <x:f>IFERROR(LET(x,MID($B486,FIND("/models/",$B486)+8,80),y,LEFT(x,FIND("-",x&amp;"-")-1),LEFT(y,FIND("?",y&amp;"?")-1)),"")</x:f>
        <x:v>80</x:v>
      </x:c>
      <x:c r="D486" s="75" t="str">
        <x:f>IF($B486="","",IFERROR(XLOOKUP($C486,MakerWorld_Verileri!$A:$A,MakerWorld_Verileri!$B:$B,""),""))</x:f>
      </x:c>
      <x:c r="E486" s="75" t="str">
        <x:f>IF($B486="","",IFERROR(XLOOKUP($C486,MakerWorld_Verileri!$A:$A,MakerWorld_Verileri!$C:$C,""),""))</x:f>
      </x:c>
      <x:c r="F486" s="75" t="str"/>
      <x:c r="G486" s="75" t="str">
        <x:f>IF($B486&lt;&gt;"",Ayarlar!$B$7,"")</x:f>
      </x:c>
      <x:c r="H486" s="82" t="str">
        <x:f>IF($B486&lt;&gt;"",1,"")</x:f>
      </x:c>
      <x:c r="I486" s="82" t="str">
        <x:f>IF($B486="","",IFERROR(XLOOKUP($C486,MakerWorld_Verileri!$A:$A,MakerWorld_Verileri!$D:$D,""),""))</x:f>
      </x:c>
      <x:c r="J486" s="82" t="str"/>
      <x:c r="K486" s="82" t="str">
        <x:f>IF($I486&lt;&gt;"",$I486,$J486)</x:f>
      </x:c>
      <x:c r="L486" s="82" t="str">
        <x:f>IF($B486="","",IFERROR(XLOOKUP($C486,MakerWorld_Verileri!$A:$A,MakerWorld_Verileri!$E:$E,""),""))</x:f>
      </x:c>
      <x:c r="M486" s="82" t="str"/>
      <x:c r="N486" s="82" t="str">
        <x:f>IF($L486&lt;&gt;"",$L486,$M486)</x:f>
      </x:c>
      <x:c r="O486" s="82" t="str">
        <x:f>IF($B486&lt;&gt;"",0,"")</x:f>
      </x:c>
      <x:c r="P486" s="75" t="str">
        <x:f>IF($B486&lt;&gt;"","Orta","")</x:f>
      </x:c>
      <x:c r="Q486" s="82" t="str">
        <x:f>IF($B486&lt;&gt;"",10,"")</x:f>
      </x:c>
      <x:c r="R486" s="83" t="str">
        <x:f>IF($B486&lt;&gt;"",Ayarlar!$B$10,"")</x:f>
      </x:c>
      <x:c r="S486" s="83" t="str">
        <x:f>IF($B486&lt;&gt;"",0,"")</x:f>
      </x:c>
      <x:c r="T486" s="83" t="n">
        <x:f>IFERROR(($K486+$O486)*XLOOKUP($G486,Ayarlar!$A$19:$A$28,Ayarlar!$C$19:$C$28,0)*(1+Ayarlar!$B$11),0)</x:f>
        <x:v>0</x:v>
      </x:c>
      <x:c r="U486" s="83" t="n">
        <x:f>IFERROR($N486/60*Ayarlar!$B$8,0)</x:f>
        <x:v>0</x:v>
      </x:c>
      <x:c r="V486" s="83" t="n">
        <x:f>IF($B486&lt;&gt;"",Ayarlar!$B$12+($Q486/60*Ayarlar!$B$9),0)</x:f>
        <x:v>0</x:v>
      </x:c>
      <x:c r="W486" s="83" t="n">
        <x:f>IF($B486&lt;&gt;"",SUM($T486:$V486,$R486:$S486),0)</x:f>
        <x:v>0</x:v>
      </x:c>
      <x:c r="X486" s="83" t="n">
        <x:f>IF($B486&lt;&gt;"",$W486*Ayarlar!$B$15,0)</x:f>
        <x:v>0</x:v>
      </x:c>
      <x:c r="Y486" s="83" t="n">
        <x:f>IF($B486&lt;&gt;"",($W486+$X486)*Ayarlar!$B$13,0)</x:f>
        <x:v>0</x:v>
      </x:c>
      <x:c r="Z486" s="83" t="n">
        <x:f>IF($B486&lt;&gt;"",($W486+$X486+$Y486)*Ayarlar!$B$14,0)</x:f>
        <x:v>0</x:v>
      </x:c>
      <x:c r="AA486" s="83" t="str">
        <x:f>IF($B486="","",IF(OR($K486="",$N486=""),"",CEILING($W486+$X486+$Y486+$Z486,Ayarlar!$B$16)))</x:f>
      </x:c>
      <x:c r="AB486" s="83" t="str">
        <x:f>IFERROR($AA486/$H486,"")</x:f>
      </x:c>
      <x:c r="AC486" s="75" t="str">
        <x:f>IF($B486="","",IF(OR($K486="",$N486=""),"Veri Eksik","Fiyat Hazır"))</x:f>
      </x:c>
      <x:c r="AD486" s="75" t="str">
        <x:f>IF($C486&lt;&gt;"","MW-"&amp;$C486,"")</x:f>
        <x:v>MW-80</x:v>
      </x:c>
      <x:c r="AE486" s="75" t="str">
        <x:f>IF($G486&lt;&gt;"","3D Baskı / "&amp;$G486,"3D Baskı")</x:f>
        <x:v>3D Baskı</x:v>
      </x:c>
      <x:c r="AF486" s="75" t="str">
        <x:f>IF($D486&lt;&gt;"",$D486&amp;" - "&amp;$G486,$AD486&amp;" - "&amp;$G486)</x:f>
        <x:v>MW-80 - </x:v>
      </x:c>
      <x:c r="AG486" s="75" t="str"/>
    </x:row>
    <x:row r="487">
      <x:c r="A487" s="75" t="str">
        <x:f>IF($B487&lt;&gt;"",ROW()-4,"")</x:f>
      </x:c>
      <x:c r="B487" s="75" t="str"/>
      <x:c r="C487" s="75" t="n">
        <x:f>IFERROR(LET(x,MID($B487,FIND("/models/",$B487)+8,80),y,LEFT(x,FIND("-",x&amp;"-")-1),LEFT(y,FIND("?",y&amp;"?")-1)),"")</x:f>
        <x:v>80</x:v>
      </x:c>
      <x:c r="D487" s="75" t="str">
        <x:f>IF($B487="","",IFERROR(XLOOKUP($C487,MakerWorld_Verileri!$A:$A,MakerWorld_Verileri!$B:$B,""),""))</x:f>
      </x:c>
      <x:c r="E487" s="75" t="str">
        <x:f>IF($B487="","",IFERROR(XLOOKUP($C487,MakerWorld_Verileri!$A:$A,MakerWorld_Verileri!$C:$C,""),""))</x:f>
      </x:c>
      <x:c r="F487" s="75" t="str"/>
      <x:c r="G487" s="75" t="str">
        <x:f>IF($B487&lt;&gt;"",Ayarlar!$B$7,"")</x:f>
      </x:c>
      <x:c r="H487" s="82" t="str">
        <x:f>IF($B487&lt;&gt;"",1,"")</x:f>
      </x:c>
      <x:c r="I487" s="82" t="str">
        <x:f>IF($B487="","",IFERROR(XLOOKUP($C487,MakerWorld_Verileri!$A:$A,MakerWorld_Verileri!$D:$D,""),""))</x:f>
      </x:c>
      <x:c r="J487" s="82" t="str"/>
      <x:c r="K487" s="82" t="str">
        <x:f>IF($I487&lt;&gt;"",$I487,$J487)</x:f>
      </x:c>
      <x:c r="L487" s="82" t="str">
        <x:f>IF($B487="","",IFERROR(XLOOKUP($C487,MakerWorld_Verileri!$A:$A,MakerWorld_Verileri!$E:$E,""),""))</x:f>
      </x:c>
      <x:c r="M487" s="82" t="str"/>
      <x:c r="N487" s="82" t="str">
        <x:f>IF($L487&lt;&gt;"",$L487,$M487)</x:f>
      </x:c>
      <x:c r="O487" s="82" t="str">
        <x:f>IF($B487&lt;&gt;"",0,"")</x:f>
      </x:c>
      <x:c r="P487" s="75" t="str">
        <x:f>IF($B487&lt;&gt;"","Orta","")</x:f>
      </x:c>
      <x:c r="Q487" s="82" t="str">
        <x:f>IF($B487&lt;&gt;"",10,"")</x:f>
      </x:c>
      <x:c r="R487" s="83" t="str">
        <x:f>IF($B487&lt;&gt;"",Ayarlar!$B$10,"")</x:f>
      </x:c>
      <x:c r="S487" s="83" t="str">
        <x:f>IF($B487&lt;&gt;"",0,"")</x:f>
      </x:c>
      <x:c r="T487" s="83" t="n">
        <x:f>IFERROR(($K487+$O487)*XLOOKUP($G487,Ayarlar!$A$19:$A$28,Ayarlar!$C$19:$C$28,0)*(1+Ayarlar!$B$11),0)</x:f>
        <x:v>0</x:v>
      </x:c>
      <x:c r="U487" s="83" t="n">
        <x:f>IFERROR($N487/60*Ayarlar!$B$8,0)</x:f>
        <x:v>0</x:v>
      </x:c>
      <x:c r="V487" s="83" t="n">
        <x:f>IF($B487&lt;&gt;"",Ayarlar!$B$12+($Q487/60*Ayarlar!$B$9),0)</x:f>
        <x:v>0</x:v>
      </x:c>
      <x:c r="W487" s="83" t="n">
        <x:f>IF($B487&lt;&gt;"",SUM($T487:$V487,$R487:$S487),0)</x:f>
        <x:v>0</x:v>
      </x:c>
      <x:c r="X487" s="83" t="n">
        <x:f>IF($B487&lt;&gt;"",$W487*Ayarlar!$B$15,0)</x:f>
        <x:v>0</x:v>
      </x:c>
      <x:c r="Y487" s="83" t="n">
        <x:f>IF($B487&lt;&gt;"",($W487+$X487)*Ayarlar!$B$13,0)</x:f>
        <x:v>0</x:v>
      </x:c>
      <x:c r="Z487" s="83" t="n">
        <x:f>IF($B487&lt;&gt;"",($W487+$X487+$Y487)*Ayarlar!$B$14,0)</x:f>
        <x:v>0</x:v>
      </x:c>
      <x:c r="AA487" s="83" t="str">
        <x:f>IF($B487="","",IF(OR($K487="",$N487=""),"",CEILING($W487+$X487+$Y487+$Z487,Ayarlar!$B$16)))</x:f>
      </x:c>
      <x:c r="AB487" s="83" t="str">
        <x:f>IFERROR($AA487/$H487,"")</x:f>
      </x:c>
      <x:c r="AC487" s="75" t="str">
        <x:f>IF($B487="","",IF(OR($K487="",$N487=""),"Veri Eksik","Fiyat Hazır"))</x:f>
      </x:c>
      <x:c r="AD487" s="75" t="str">
        <x:f>IF($C487&lt;&gt;"","MW-"&amp;$C487,"")</x:f>
        <x:v>MW-80</x:v>
      </x:c>
      <x:c r="AE487" s="75" t="str">
        <x:f>IF($G487&lt;&gt;"","3D Baskı / "&amp;$G487,"3D Baskı")</x:f>
        <x:v>3D Baskı</x:v>
      </x:c>
      <x:c r="AF487" s="75" t="str">
        <x:f>IF($D487&lt;&gt;"",$D487&amp;" - "&amp;$G487,$AD487&amp;" - "&amp;$G487)</x:f>
        <x:v>MW-80 - </x:v>
      </x:c>
      <x:c r="AG487" s="75" t="str"/>
    </x:row>
    <x:row r="488">
      <x:c r="A488" s="75" t="str">
        <x:f>IF($B488&lt;&gt;"",ROW()-4,"")</x:f>
      </x:c>
      <x:c r="B488" s="75" t="str"/>
      <x:c r="C488" s="75" t="n">
        <x:f>IFERROR(LET(x,MID($B488,FIND("/models/",$B488)+8,80),y,LEFT(x,FIND("-",x&amp;"-")-1),LEFT(y,FIND("?",y&amp;"?")-1)),"")</x:f>
        <x:v>80</x:v>
      </x:c>
      <x:c r="D488" s="75" t="str">
        <x:f>IF($B488="","",IFERROR(XLOOKUP($C488,MakerWorld_Verileri!$A:$A,MakerWorld_Verileri!$B:$B,""),""))</x:f>
      </x:c>
      <x:c r="E488" s="75" t="str">
        <x:f>IF($B488="","",IFERROR(XLOOKUP($C488,MakerWorld_Verileri!$A:$A,MakerWorld_Verileri!$C:$C,""),""))</x:f>
      </x:c>
      <x:c r="F488" s="75" t="str"/>
      <x:c r="G488" s="75" t="str">
        <x:f>IF($B488&lt;&gt;"",Ayarlar!$B$7,"")</x:f>
      </x:c>
      <x:c r="H488" s="82" t="str">
        <x:f>IF($B488&lt;&gt;"",1,"")</x:f>
      </x:c>
      <x:c r="I488" s="82" t="str">
        <x:f>IF($B488="","",IFERROR(XLOOKUP($C488,MakerWorld_Verileri!$A:$A,MakerWorld_Verileri!$D:$D,""),""))</x:f>
      </x:c>
      <x:c r="J488" s="82" t="str"/>
      <x:c r="K488" s="82" t="str">
        <x:f>IF($I488&lt;&gt;"",$I488,$J488)</x:f>
      </x:c>
      <x:c r="L488" s="82" t="str">
        <x:f>IF($B488="","",IFERROR(XLOOKUP($C488,MakerWorld_Verileri!$A:$A,MakerWorld_Verileri!$E:$E,""),""))</x:f>
      </x:c>
      <x:c r="M488" s="82" t="str"/>
      <x:c r="N488" s="82" t="str">
        <x:f>IF($L488&lt;&gt;"",$L488,$M488)</x:f>
      </x:c>
      <x:c r="O488" s="82" t="str">
        <x:f>IF($B488&lt;&gt;"",0,"")</x:f>
      </x:c>
      <x:c r="P488" s="75" t="str">
        <x:f>IF($B488&lt;&gt;"","Orta","")</x:f>
      </x:c>
      <x:c r="Q488" s="82" t="str">
        <x:f>IF($B488&lt;&gt;"",10,"")</x:f>
      </x:c>
      <x:c r="R488" s="83" t="str">
        <x:f>IF($B488&lt;&gt;"",Ayarlar!$B$10,"")</x:f>
      </x:c>
      <x:c r="S488" s="83" t="str">
        <x:f>IF($B488&lt;&gt;"",0,"")</x:f>
      </x:c>
      <x:c r="T488" s="83" t="n">
        <x:f>IFERROR(($K488+$O488)*XLOOKUP($G488,Ayarlar!$A$19:$A$28,Ayarlar!$C$19:$C$28,0)*(1+Ayarlar!$B$11),0)</x:f>
        <x:v>0</x:v>
      </x:c>
      <x:c r="U488" s="83" t="n">
        <x:f>IFERROR($N488/60*Ayarlar!$B$8,0)</x:f>
        <x:v>0</x:v>
      </x:c>
      <x:c r="V488" s="83" t="n">
        <x:f>IF($B488&lt;&gt;"",Ayarlar!$B$12+($Q488/60*Ayarlar!$B$9),0)</x:f>
        <x:v>0</x:v>
      </x:c>
      <x:c r="W488" s="83" t="n">
        <x:f>IF($B488&lt;&gt;"",SUM($T488:$V488,$R488:$S488),0)</x:f>
        <x:v>0</x:v>
      </x:c>
      <x:c r="X488" s="83" t="n">
        <x:f>IF($B488&lt;&gt;"",$W488*Ayarlar!$B$15,0)</x:f>
        <x:v>0</x:v>
      </x:c>
      <x:c r="Y488" s="83" t="n">
        <x:f>IF($B488&lt;&gt;"",($W488+$X488)*Ayarlar!$B$13,0)</x:f>
        <x:v>0</x:v>
      </x:c>
      <x:c r="Z488" s="83" t="n">
        <x:f>IF($B488&lt;&gt;"",($W488+$X488+$Y488)*Ayarlar!$B$14,0)</x:f>
        <x:v>0</x:v>
      </x:c>
      <x:c r="AA488" s="83" t="str">
        <x:f>IF($B488="","",IF(OR($K488="",$N488=""),"",CEILING($W488+$X488+$Y488+$Z488,Ayarlar!$B$16)))</x:f>
      </x:c>
      <x:c r="AB488" s="83" t="str">
        <x:f>IFERROR($AA488/$H488,"")</x:f>
      </x:c>
      <x:c r="AC488" s="75" t="str">
        <x:f>IF($B488="","",IF(OR($K488="",$N488=""),"Veri Eksik","Fiyat Hazır"))</x:f>
      </x:c>
      <x:c r="AD488" s="75" t="str">
        <x:f>IF($C488&lt;&gt;"","MW-"&amp;$C488,"")</x:f>
        <x:v>MW-80</x:v>
      </x:c>
      <x:c r="AE488" s="75" t="str">
        <x:f>IF($G488&lt;&gt;"","3D Baskı / "&amp;$G488,"3D Baskı")</x:f>
        <x:v>3D Baskı</x:v>
      </x:c>
      <x:c r="AF488" s="75" t="str">
        <x:f>IF($D488&lt;&gt;"",$D488&amp;" - "&amp;$G488,$AD488&amp;" - "&amp;$G488)</x:f>
        <x:v>MW-80 - </x:v>
      </x:c>
      <x:c r="AG488" s="75" t="str"/>
    </x:row>
    <x:row r="489">
      <x:c r="A489" s="75" t="str">
        <x:f>IF($B489&lt;&gt;"",ROW()-4,"")</x:f>
      </x:c>
      <x:c r="B489" s="75" t="str"/>
      <x:c r="C489" s="75" t="n">
        <x:f>IFERROR(LET(x,MID($B489,FIND("/models/",$B489)+8,80),y,LEFT(x,FIND("-",x&amp;"-")-1),LEFT(y,FIND("?",y&amp;"?")-1)),"")</x:f>
        <x:v>80</x:v>
      </x:c>
      <x:c r="D489" s="75" t="str">
        <x:f>IF($B489="","",IFERROR(XLOOKUP($C489,MakerWorld_Verileri!$A:$A,MakerWorld_Verileri!$B:$B,""),""))</x:f>
      </x:c>
      <x:c r="E489" s="75" t="str">
        <x:f>IF($B489="","",IFERROR(XLOOKUP($C489,MakerWorld_Verileri!$A:$A,MakerWorld_Verileri!$C:$C,""),""))</x:f>
      </x:c>
      <x:c r="F489" s="75" t="str"/>
      <x:c r="G489" s="75" t="str">
        <x:f>IF($B489&lt;&gt;"",Ayarlar!$B$7,"")</x:f>
      </x:c>
      <x:c r="H489" s="82" t="str">
        <x:f>IF($B489&lt;&gt;"",1,"")</x:f>
      </x:c>
      <x:c r="I489" s="82" t="str">
        <x:f>IF($B489="","",IFERROR(XLOOKUP($C489,MakerWorld_Verileri!$A:$A,MakerWorld_Verileri!$D:$D,""),""))</x:f>
      </x:c>
      <x:c r="J489" s="82" t="str"/>
      <x:c r="K489" s="82" t="str">
        <x:f>IF($I489&lt;&gt;"",$I489,$J489)</x:f>
      </x:c>
      <x:c r="L489" s="82" t="str">
        <x:f>IF($B489="","",IFERROR(XLOOKUP($C489,MakerWorld_Verileri!$A:$A,MakerWorld_Verileri!$E:$E,""),""))</x:f>
      </x:c>
      <x:c r="M489" s="82" t="str"/>
      <x:c r="N489" s="82" t="str">
        <x:f>IF($L489&lt;&gt;"",$L489,$M489)</x:f>
      </x:c>
      <x:c r="O489" s="82" t="str">
        <x:f>IF($B489&lt;&gt;"",0,"")</x:f>
      </x:c>
      <x:c r="P489" s="75" t="str">
        <x:f>IF($B489&lt;&gt;"","Orta","")</x:f>
      </x:c>
      <x:c r="Q489" s="82" t="str">
        <x:f>IF($B489&lt;&gt;"",10,"")</x:f>
      </x:c>
      <x:c r="R489" s="83" t="str">
        <x:f>IF($B489&lt;&gt;"",Ayarlar!$B$10,"")</x:f>
      </x:c>
      <x:c r="S489" s="83" t="str">
        <x:f>IF($B489&lt;&gt;"",0,"")</x:f>
      </x:c>
      <x:c r="T489" s="83" t="n">
        <x:f>IFERROR(($K489+$O489)*XLOOKUP($G489,Ayarlar!$A$19:$A$28,Ayarlar!$C$19:$C$28,0)*(1+Ayarlar!$B$11),0)</x:f>
        <x:v>0</x:v>
      </x:c>
      <x:c r="U489" s="83" t="n">
        <x:f>IFERROR($N489/60*Ayarlar!$B$8,0)</x:f>
        <x:v>0</x:v>
      </x:c>
      <x:c r="V489" s="83" t="n">
        <x:f>IF($B489&lt;&gt;"",Ayarlar!$B$12+($Q489/60*Ayarlar!$B$9),0)</x:f>
        <x:v>0</x:v>
      </x:c>
      <x:c r="W489" s="83" t="n">
        <x:f>IF($B489&lt;&gt;"",SUM($T489:$V489,$R489:$S489),0)</x:f>
        <x:v>0</x:v>
      </x:c>
      <x:c r="X489" s="83" t="n">
        <x:f>IF($B489&lt;&gt;"",$W489*Ayarlar!$B$15,0)</x:f>
        <x:v>0</x:v>
      </x:c>
      <x:c r="Y489" s="83" t="n">
        <x:f>IF($B489&lt;&gt;"",($W489+$X489)*Ayarlar!$B$13,0)</x:f>
        <x:v>0</x:v>
      </x:c>
      <x:c r="Z489" s="83" t="n">
        <x:f>IF($B489&lt;&gt;"",($W489+$X489+$Y489)*Ayarlar!$B$14,0)</x:f>
        <x:v>0</x:v>
      </x:c>
      <x:c r="AA489" s="83" t="str">
        <x:f>IF($B489="","",IF(OR($K489="",$N489=""),"",CEILING($W489+$X489+$Y489+$Z489,Ayarlar!$B$16)))</x:f>
      </x:c>
      <x:c r="AB489" s="83" t="str">
        <x:f>IFERROR($AA489/$H489,"")</x:f>
      </x:c>
      <x:c r="AC489" s="75" t="str">
        <x:f>IF($B489="","",IF(OR($K489="",$N489=""),"Veri Eksik","Fiyat Hazır"))</x:f>
      </x:c>
      <x:c r="AD489" s="75" t="str">
        <x:f>IF($C489&lt;&gt;"","MW-"&amp;$C489,"")</x:f>
        <x:v>MW-80</x:v>
      </x:c>
      <x:c r="AE489" s="75" t="str">
        <x:f>IF($G489&lt;&gt;"","3D Baskı / "&amp;$G489,"3D Baskı")</x:f>
        <x:v>3D Baskı</x:v>
      </x:c>
      <x:c r="AF489" s="75" t="str">
        <x:f>IF($D489&lt;&gt;"",$D489&amp;" - "&amp;$G489,$AD489&amp;" - "&amp;$G489)</x:f>
        <x:v>MW-80 - </x:v>
      </x:c>
      <x:c r="AG489" s="75" t="str"/>
    </x:row>
    <x:row r="490">
      <x:c r="A490" s="75" t="str">
        <x:f>IF($B490&lt;&gt;"",ROW()-4,"")</x:f>
      </x:c>
      <x:c r="B490" s="75" t="str"/>
      <x:c r="C490" s="75" t="n">
        <x:f>IFERROR(LET(x,MID($B490,FIND("/models/",$B490)+8,80),y,LEFT(x,FIND("-",x&amp;"-")-1),LEFT(y,FIND("?",y&amp;"?")-1)),"")</x:f>
        <x:v>80</x:v>
      </x:c>
      <x:c r="D490" s="75" t="str">
        <x:f>IF($B490="","",IFERROR(XLOOKUP($C490,MakerWorld_Verileri!$A:$A,MakerWorld_Verileri!$B:$B,""),""))</x:f>
      </x:c>
      <x:c r="E490" s="75" t="str">
        <x:f>IF($B490="","",IFERROR(XLOOKUP($C490,MakerWorld_Verileri!$A:$A,MakerWorld_Verileri!$C:$C,""),""))</x:f>
      </x:c>
      <x:c r="F490" s="75" t="str"/>
      <x:c r="G490" s="75" t="str">
        <x:f>IF($B490&lt;&gt;"",Ayarlar!$B$7,"")</x:f>
      </x:c>
      <x:c r="H490" s="82" t="str">
        <x:f>IF($B490&lt;&gt;"",1,"")</x:f>
      </x:c>
      <x:c r="I490" s="82" t="str">
        <x:f>IF($B490="","",IFERROR(XLOOKUP($C490,MakerWorld_Verileri!$A:$A,MakerWorld_Verileri!$D:$D,""),""))</x:f>
      </x:c>
      <x:c r="J490" s="82" t="str"/>
      <x:c r="K490" s="82" t="str">
        <x:f>IF($I490&lt;&gt;"",$I490,$J490)</x:f>
      </x:c>
      <x:c r="L490" s="82" t="str">
        <x:f>IF($B490="","",IFERROR(XLOOKUP($C490,MakerWorld_Verileri!$A:$A,MakerWorld_Verileri!$E:$E,""),""))</x:f>
      </x:c>
      <x:c r="M490" s="82" t="str"/>
      <x:c r="N490" s="82" t="str">
        <x:f>IF($L490&lt;&gt;"",$L490,$M490)</x:f>
      </x:c>
      <x:c r="O490" s="82" t="str">
        <x:f>IF($B490&lt;&gt;"",0,"")</x:f>
      </x:c>
      <x:c r="P490" s="75" t="str">
        <x:f>IF($B490&lt;&gt;"","Orta","")</x:f>
      </x:c>
      <x:c r="Q490" s="82" t="str">
        <x:f>IF($B490&lt;&gt;"",10,"")</x:f>
      </x:c>
      <x:c r="R490" s="83" t="str">
        <x:f>IF($B490&lt;&gt;"",Ayarlar!$B$10,"")</x:f>
      </x:c>
      <x:c r="S490" s="83" t="str">
        <x:f>IF($B490&lt;&gt;"",0,"")</x:f>
      </x:c>
      <x:c r="T490" s="83" t="n">
        <x:f>IFERROR(($K490+$O490)*XLOOKUP($G490,Ayarlar!$A$19:$A$28,Ayarlar!$C$19:$C$28,0)*(1+Ayarlar!$B$11),0)</x:f>
        <x:v>0</x:v>
      </x:c>
      <x:c r="U490" s="83" t="n">
        <x:f>IFERROR($N490/60*Ayarlar!$B$8,0)</x:f>
        <x:v>0</x:v>
      </x:c>
      <x:c r="V490" s="83" t="n">
        <x:f>IF($B490&lt;&gt;"",Ayarlar!$B$12+($Q490/60*Ayarlar!$B$9),0)</x:f>
        <x:v>0</x:v>
      </x:c>
      <x:c r="W490" s="83" t="n">
        <x:f>IF($B490&lt;&gt;"",SUM($T490:$V490,$R490:$S490),0)</x:f>
        <x:v>0</x:v>
      </x:c>
      <x:c r="X490" s="83" t="n">
        <x:f>IF($B490&lt;&gt;"",$W490*Ayarlar!$B$15,0)</x:f>
        <x:v>0</x:v>
      </x:c>
      <x:c r="Y490" s="83" t="n">
        <x:f>IF($B490&lt;&gt;"",($W490+$X490)*Ayarlar!$B$13,0)</x:f>
        <x:v>0</x:v>
      </x:c>
      <x:c r="Z490" s="83" t="n">
        <x:f>IF($B490&lt;&gt;"",($W490+$X490+$Y490)*Ayarlar!$B$14,0)</x:f>
        <x:v>0</x:v>
      </x:c>
      <x:c r="AA490" s="83" t="str">
        <x:f>IF($B490="","",IF(OR($K490="",$N490=""),"",CEILING($W490+$X490+$Y490+$Z490,Ayarlar!$B$16)))</x:f>
      </x:c>
      <x:c r="AB490" s="83" t="str">
        <x:f>IFERROR($AA490/$H490,"")</x:f>
      </x:c>
      <x:c r="AC490" s="75" t="str">
        <x:f>IF($B490="","",IF(OR($K490="",$N490=""),"Veri Eksik","Fiyat Hazır"))</x:f>
      </x:c>
      <x:c r="AD490" s="75" t="str">
        <x:f>IF($C490&lt;&gt;"","MW-"&amp;$C490,"")</x:f>
        <x:v>MW-80</x:v>
      </x:c>
      <x:c r="AE490" s="75" t="str">
        <x:f>IF($G490&lt;&gt;"","3D Baskı / "&amp;$G490,"3D Baskı")</x:f>
        <x:v>3D Baskı</x:v>
      </x:c>
      <x:c r="AF490" s="75" t="str">
        <x:f>IF($D490&lt;&gt;"",$D490&amp;" - "&amp;$G490,$AD490&amp;" - "&amp;$G490)</x:f>
        <x:v>MW-80 - </x:v>
      </x:c>
      <x:c r="AG490" s="75" t="str"/>
    </x:row>
    <x:row r="491">
      <x:c r="A491" s="75" t="str">
        <x:f>IF($B491&lt;&gt;"",ROW()-4,"")</x:f>
      </x:c>
      <x:c r="B491" s="75" t="str"/>
      <x:c r="C491" s="75" t="n">
        <x:f>IFERROR(LET(x,MID($B491,FIND("/models/",$B491)+8,80),y,LEFT(x,FIND("-",x&amp;"-")-1),LEFT(y,FIND("?",y&amp;"?")-1)),"")</x:f>
        <x:v>80</x:v>
      </x:c>
      <x:c r="D491" s="75" t="str">
        <x:f>IF($B491="","",IFERROR(XLOOKUP($C491,MakerWorld_Verileri!$A:$A,MakerWorld_Verileri!$B:$B,""),""))</x:f>
      </x:c>
      <x:c r="E491" s="75" t="str">
        <x:f>IF($B491="","",IFERROR(XLOOKUP($C491,MakerWorld_Verileri!$A:$A,MakerWorld_Verileri!$C:$C,""),""))</x:f>
      </x:c>
      <x:c r="F491" s="75" t="str"/>
      <x:c r="G491" s="75" t="str">
        <x:f>IF($B491&lt;&gt;"",Ayarlar!$B$7,"")</x:f>
      </x:c>
      <x:c r="H491" s="82" t="str">
        <x:f>IF($B491&lt;&gt;"",1,"")</x:f>
      </x:c>
      <x:c r="I491" s="82" t="str">
        <x:f>IF($B491="","",IFERROR(XLOOKUP($C491,MakerWorld_Verileri!$A:$A,MakerWorld_Verileri!$D:$D,""),""))</x:f>
      </x:c>
      <x:c r="J491" s="82" t="str"/>
      <x:c r="K491" s="82" t="str">
        <x:f>IF($I491&lt;&gt;"",$I491,$J491)</x:f>
      </x:c>
      <x:c r="L491" s="82" t="str">
        <x:f>IF($B491="","",IFERROR(XLOOKUP($C491,MakerWorld_Verileri!$A:$A,MakerWorld_Verileri!$E:$E,""),""))</x:f>
      </x:c>
      <x:c r="M491" s="82" t="str"/>
      <x:c r="N491" s="82" t="str">
        <x:f>IF($L491&lt;&gt;"",$L491,$M491)</x:f>
      </x:c>
      <x:c r="O491" s="82" t="str">
        <x:f>IF($B491&lt;&gt;"",0,"")</x:f>
      </x:c>
      <x:c r="P491" s="75" t="str">
        <x:f>IF($B491&lt;&gt;"","Orta","")</x:f>
      </x:c>
      <x:c r="Q491" s="82" t="str">
        <x:f>IF($B491&lt;&gt;"",10,"")</x:f>
      </x:c>
      <x:c r="R491" s="83" t="str">
        <x:f>IF($B491&lt;&gt;"",Ayarlar!$B$10,"")</x:f>
      </x:c>
      <x:c r="S491" s="83" t="str">
        <x:f>IF($B491&lt;&gt;"",0,"")</x:f>
      </x:c>
      <x:c r="T491" s="83" t="n">
        <x:f>IFERROR(($K491+$O491)*XLOOKUP($G491,Ayarlar!$A$19:$A$28,Ayarlar!$C$19:$C$28,0)*(1+Ayarlar!$B$11),0)</x:f>
        <x:v>0</x:v>
      </x:c>
      <x:c r="U491" s="83" t="n">
        <x:f>IFERROR($N491/60*Ayarlar!$B$8,0)</x:f>
        <x:v>0</x:v>
      </x:c>
      <x:c r="V491" s="83" t="n">
        <x:f>IF($B491&lt;&gt;"",Ayarlar!$B$12+($Q491/60*Ayarlar!$B$9),0)</x:f>
        <x:v>0</x:v>
      </x:c>
      <x:c r="W491" s="83" t="n">
        <x:f>IF($B491&lt;&gt;"",SUM($T491:$V491,$R491:$S491),0)</x:f>
        <x:v>0</x:v>
      </x:c>
      <x:c r="X491" s="83" t="n">
        <x:f>IF($B491&lt;&gt;"",$W491*Ayarlar!$B$15,0)</x:f>
        <x:v>0</x:v>
      </x:c>
      <x:c r="Y491" s="83" t="n">
        <x:f>IF($B491&lt;&gt;"",($W491+$X491)*Ayarlar!$B$13,0)</x:f>
        <x:v>0</x:v>
      </x:c>
      <x:c r="Z491" s="83" t="n">
        <x:f>IF($B491&lt;&gt;"",($W491+$X491+$Y491)*Ayarlar!$B$14,0)</x:f>
        <x:v>0</x:v>
      </x:c>
      <x:c r="AA491" s="83" t="str">
        <x:f>IF($B491="","",IF(OR($K491="",$N491=""),"",CEILING($W491+$X491+$Y491+$Z491,Ayarlar!$B$16)))</x:f>
      </x:c>
      <x:c r="AB491" s="83" t="str">
        <x:f>IFERROR($AA491/$H491,"")</x:f>
      </x:c>
      <x:c r="AC491" s="75" t="str">
        <x:f>IF($B491="","",IF(OR($K491="",$N491=""),"Veri Eksik","Fiyat Hazır"))</x:f>
      </x:c>
      <x:c r="AD491" s="75" t="str">
        <x:f>IF($C491&lt;&gt;"","MW-"&amp;$C491,"")</x:f>
        <x:v>MW-80</x:v>
      </x:c>
      <x:c r="AE491" s="75" t="str">
        <x:f>IF($G491&lt;&gt;"","3D Baskı / "&amp;$G491,"3D Baskı")</x:f>
        <x:v>3D Baskı</x:v>
      </x:c>
      <x:c r="AF491" s="75" t="str">
        <x:f>IF($D491&lt;&gt;"",$D491&amp;" - "&amp;$G491,$AD491&amp;" - "&amp;$G491)</x:f>
        <x:v>MW-80 - </x:v>
      </x:c>
      <x:c r="AG491" s="75" t="str"/>
    </x:row>
    <x:row r="492">
      <x:c r="A492" s="75" t="str">
        <x:f>IF($B492&lt;&gt;"",ROW()-4,"")</x:f>
      </x:c>
      <x:c r="B492" s="75" t="str"/>
      <x:c r="C492" s="75" t="n">
        <x:f>IFERROR(LET(x,MID($B492,FIND("/models/",$B492)+8,80),y,LEFT(x,FIND("-",x&amp;"-")-1),LEFT(y,FIND("?",y&amp;"?")-1)),"")</x:f>
        <x:v>80</x:v>
      </x:c>
      <x:c r="D492" s="75" t="str">
        <x:f>IF($B492="","",IFERROR(XLOOKUP($C492,MakerWorld_Verileri!$A:$A,MakerWorld_Verileri!$B:$B,""),""))</x:f>
      </x:c>
      <x:c r="E492" s="75" t="str">
        <x:f>IF($B492="","",IFERROR(XLOOKUP($C492,MakerWorld_Verileri!$A:$A,MakerWorld_Verileri!$C:$C,""),""))</x:f>
      </x:c>
      <x:c r="F492" s="75" t="str"/>
      <x:c r="G492" s="75" t="str">
        <x:f>IF($B492&lt;&gt;"",Ayarlar!$B$7,"")</x:f>
      </x:c>
      <x:c r="H492" s="82" t="str">
        <x:f>IF($B492&lt;&gt;"",1,"")</x:f>
      </x:c>
      <x:c r="I492" s="82" t="str">
        <x:f>IF($B492="","",IFERROR(XLOOKUP($C492,MakerWorld_Verileri!$A:$A,MakerWorld_Verileri!$D:$D,""),""))</x:f>
      </x:c>
      <x:c r="J492" s="82" t="str"/>
      <x:c r="K492" s="82" t="str">
        <x:f>IF($I492&lt;&gt;"",$I492,$J492)</x:f>
      </x:c>
      <x:c r="L492" s="82" t="str">
        <x:f>IF($B492="","",IFERROR(XLOOKUP($C492,MakerWorld_Verileri!$A:$A,MakerWorld_Verileri!$E:$E,""),""))</x:f>
      </x:c>
      <x:c r="M492" s="82" t="str"/>
      <x:c r="N492" s="82" t="str">
        <x:f>IF($L492&lt;&gt;"",$L492,$M492)</x:f>
      </x:c>
      <x:c r="O492" s="82" t="str">
        <x:f>IF($B492&lt;&gt;"",0,"")</x:f>
      </x:c>
      <x:c r="P492" s="75" t="str">
        <x:f>IF($B492&lt;&gt;"","Orta","")</x:f>
      </x:c>
      <x:c r="Q492" s="82" t="str">
        <x:f>IF($B492&lt;&gt;"",10,"")</x:f>
      </x:c>
      <x:c r="R492" s="83" t="str">
        <x:f>IF($B492&lt;&gt;"",Ayarlar!$B$10,"")</x:f>
      </x:c>
      <x:c r="S492" s="83" t="str">
        <x:f>IF($B492&lt;&gt;"",0,"")</x:f>
      </x:c>
      <x:c r="T492" s="83" t="n">
        <x:f>IFERROR(($K492+$O492)*XLOOKUP($G492,Ayarlar!$A$19:$A$28,Ayarlar!$C$19:$C$28,0)*(1+Ayarlar!$B$11),0)</x:f>
        <x:v>0</x:v>
      </x:c>
      <x:c r="U492" s="83" t="n">
        <x:f>IFERROR($N492/60*Ayarlar!$B$8,0)</x:f>
        <x:v>0</x:v>
      </x:c>
      <x:c r="V492" s="83" t="n">
        <x:f>IF($B492&lt;&gt;"",Ayarlar!$B$12+($Q492/60*Ayarlar!$B$9),0)</x:f>
        <x:v>0</x:v>
      </x:c>
      <x:c r="W492" s="83" t="n">
        <x:f>IF($B492&lt;&gt;"",SUM($T492:$V492,$R492:$S492),0)</x:f>
        <x:v>0</x:v>
      </x:c>
      <x:c r="X492" s="83" t="n">
        <x:f>IF($B492&lt;&gt;"",$W492*Ayarlar!$B$15,0)</x:f>
        <x:v>0</x:v>
      </x:c>
      <x:c r="Y492" s="83" t="n">
        <x:f>IF($B492&lt;&gt;"",($W492+$X492)*Ayarlar!$B$13,0)</x:f>
        <x:v>0</x:v>
      </x:c>
      <x:c r="Z492" s="83" t="n">
        <x:f>IF($B492&lt;&gt;"",($W492+$X492+$Y492)*Ayarlar!$B$14,0)</x:f>
        <x:v>0</x:v>
      </x:c>
      <x:c r="AA492" s="83" t="str">
        <x:f>IF($B492="","",IF(OR($K492="",$N492=""),"",CEILING($W492+$X492+$Y492+$Z492,Ayarlar!$B$16)))</x:f>
      </x:c>
      <x:c r="AB492" s="83" t="str">
        <x:f>IFERROR($AA492/$H492,"")</x:f>
      </x:c>
      <x:c r="AC492" s="75" t="str">
        <x:f>IF($B492="","",IF(OR($K492="",$N492=""),"Veri Eksik","Fiyat Hazır"))</x:f>
      </x:c>
      <x:c r="AD492" s="75" t="str">
        <x:f>IF($C492&lt;&gt;"","MW-"&amp;$C492,"")</x:f>
        <x:v>MW-80</x:v>
      </x:c>
      <x:c r="AE492" s="75" t="str">
        <x:f>IF($G492&lt;&gt;"","3D Baskı / "&amp;$G492,"3D Baskı")</x:f>
        <x:v>3D Baskı</x:v>
      </x:c>
      <x:c r="AF492" s="75" t="str">
        <x:f>IF($D492&lt;&gt;"",$D492&amp;" - "&amp;$G492,$AD492&amp;" - "&amp;$G492)</x:f>
        <x:v>MW-80 - </x:v>
      </x:c>
      <x:c r="AG492" s="75" t="str"/>
    </x:row>
    <x:row r="493">
      <x:c r="A493" s="75" t="str">
        <x:f>IF($B493&lt;&gt;"",ROW()-4,"")</x:f>
      </x:c>
      <x:c r="B493" s="75" t="str"/>
      <x:c r="C493" s="75" t="n">
        <x:f>IFERROR(LET(x,MID($B493,FIND("/models/",$B493)+8,80),y,LEFT(x,FIND("-",x&amp;"-")-1),LEFT(y,FIND("?",y&amp;"?")-1)),"")</x:f>
        <x:v>80</x:v>
      </x:c>
      <x:c r="D493" s="75" t="str">
        <x:f>IF($B493="","",IFERROR(XLOOKUP($C493,MakerWorld_Verileri!$A:$A,MakerWorld_Verileri!$B:$B,""),""))</x:f>
      </x:c>
      <x:c r="E493" s="75" t="str">
        <x:f>IF($B493="","",IFERROR(XLOOKUP($C493,MakerWorld_Verileri!$A:$A,MakerWorld_Verileri!$C:$C,""),""))</x:f>
      </x:c>
      <x:c r="F493" s="75" t="str"/>
      <x:c r="G493" s="75" t="str">
        <x:f>IF($B493&lt;&gt;"",Ayarlar!$B$7,"")</x:f>
      </x:c>
      <x:c r="H493" s="82" t="str">
        <x:f>IF($B493&lt;&gt;"",1,"")</x:f>
      </x:c>
      <x:c r="I493" s="82" t="str">
        <x:f>IF($B493="","",IFERROR(XLOOKUP($C493,MakerWorld_Verileri!$A:$A,MakerWorld_Verileri!$D:$D,""),""))</x:f>
      </x:c>
      <x:c r="J493" s="82" t="str"/>
      <x:c r="K493" s="82" t="str">
        <x:f>IF($I493&lt;&gt;"",$I493,$J493)</x:f>
      </x:c>
      <x:c r="L493" s="82" t="str">
        <x:f>IF($B493="","",IFERROR(XLOOKUP($C493,MakerWorld_Verileri!$A:$A,MakerWorld_Verileri!$E:$E,""),""))</x:f>
      </x:c>
      <x:c r="M493" s="82" t="str"/>
      <x:c r="N493" s="82" t="str">
        <x:f>IF($L493&lt;&gt;"",$L493,$M493)</x:f>
      </x:c>
      <x:c r="O493" s="82" t="str">
        <x:f>IF($B493&lt;&gt;"",0,"")</x:f>
      </x:c>
      <x:c r="P493" s="75" t="str">
        <x:f>IF($B493&lt;&gt;"","Orta","")</x:f>
      </x:c>
      <x:c r="Q493" s="82" t="str">
        <x:f>IF($B493&lt;&gt;"",10,"")</x:f>
      </x:c>
      <x:c r="R493" s="83" t="str">
        <x:f>IF($B493&lt;&gt;"",Ayarlar!$B$10,"")</x:f>
      </x:c>
      <x:c r="S493" s="83" t="str">
        <x:f>IF($B493&lt;&gt;"",0,"")</x:f>
      </x:c>
      <x:c r="T493" s="83" t="n">
        <x:f>IFERROR(($K493+$O493)*XLOOKUP($G493,Ayarlar!$A$19:$A$28,Ayarlar!$C$19:$C$28,0)*(1+Ayarlar!$B$11),0)</x:f>
        <x:v>0</x:v>
      </x:c>
      <x:c r="U493" s="83" t="n">
        <x:f>IFERROR($N493/60*Ayarlar!$B$8,0)</x:f>
        <x:v>0</x:v>
      </x:c>
      <x:c r="V493" s="83" t="n">
        <x:f>IF($B493&lt;&gt;"",Ayarlar!$B$12+($Q493/60*Ayarlar!$B$9),0)</x:f>
        <x:v>0</x:v>
      </x:c>
      <x:c r="W493" s="83" t="n">
        <x:f>IF($B493&lt;&gt;"",SUM($T493:$V493,$R493:$S493),0)</x:f>
        <x:v>0</x:v>
      </x:c>
      <x:c r="X493" s="83" t="n">
        <x:f>IF($B493&lt;&gt;"",$W493*Ayarlar!$B$15,0)</x:f>
        <x:v>0</x:v>
      </x:c>
      <x:c r="Y493" s="83" t="n">
        <x:f>IF($B493&lt;&gt;"",($W493+$X493)*Ayarlar!$B$13,0)</x:f>
        <x:v>0</x:v>
      </x:c>
      <x:c r="Z493" s="83" t="n">
        <x:f>IF($B493&lt;&gt;"",($W493+$X493+$Y493)*Ayarlar!$B$14,0)</x:f>
        <x:v>0</x:v>
      </x:c>
      <x:c r="AA493" s="83" t="str">
        <x:f>IF($B493="","",IF(OR($K493="",$N493=""),"",CEILING($W493+$X493+$Y493+$Z493,Ayarlar!$B$16)))</x:f>
      </x:c>
      <x:c r="AB493" s="83" t="str">
        <x:f>IFERROR($AA493/$H493,"")</x:f>
      </x:c>
      <x:c r="AC493" s="75" t="str">
        <x:f>IF($B493="","",IF(OR($K493="",$N493=""),"Veri Eksik","Fiyat Hazır"))</x:f>
      </x:c>
      <x:c r="AD493" s="75" t="str">
        <x:f>IF($C493&lt;&gt;"","MW-"&amp;$C493,"")</x:f>
        <x:v>MW-80</x:v>
      </x:c>
      <x:c r="AE493" s="75" t="str">
        <x:f>IF($G493&lt;&gt;"","3D Baskı / "&amp;$G493,"3D Baskı")</x:f>
        <x:v>3D Baskı</x:v>
      </x:c>
      <x:c r="AF493" s="75" t="str">
        <x:f>IF($D493&lt;&gt;"",$D493&amp;" - "&amp;$G493,$AD493&amp;" - "&amp;$G493)</x:f>
        <x:v>MW-80 - </x:v>
      </x:c>
      <x:c r="AG493" s="75" t="str"/>
    </x:row>
    <x:row r="494">
      <x:c r="A494" s="75" t="str">
        <x:f>IF($B494&lt;&gt;"",ROW()-4,"")</x:f>
      </x:c>
      <x:c r="B494" s="75" t="str"/>
      <x:c r="C494" s="75" t="n">
        <x:f>IFERROR(LET(x,MID($B494,FIND("/models/",$B494)+8,80),y,LEFT(x,FIND("-",x&amp;"-")-1),LEFT(y,FIND("?",y&amp;"?")-1)),"")</x:f>
        <x:v>80</x:v>
      </x:c>
      <x:c r="D494" s="75" t="str">
        <x:f>IF($B494="","",IFERROR(XLOOKUP($C494,MakerWorld_Verileri!$A:$A,MakerWorld_Verileri!$B:$B,""),""))</x:f>
      </x:c>
      <x:c r="E494" s="75" t="str">
        <x:f>IF($B494="","",IFERROR(XLOOKUP($C494,MakerWorld_Verileri!$A:$A,MakerWorld_Verileri!$C:$C,""),""))</x:f>
      </x:c>
      <x:c r="F494" s="75" t="str"/>
      <x:c r="G494" s="75" t="str">
        <x:f>IF($B494&lt;&gt;"",Ayarlar!$B$7,"")</x:f>
      </x:c>
      <x:c r="H494" s="82" t="str">
        <x:f>IF($B494&lt;&gt;"",1,"")</x:f>
      </x:c>
      <x:c r="I494" s="82" t="str">
        <x:f>IF($B494="","",IFERROR(XLOOKUP($C494,MakerWorld_Verileri!$A:$A,MakerWorld_Verileri!$D:$D,""),""))</x:f>
      </x:c>
      <x:c r="J494" s="82" t="str"/>
      <x:c r="K494" s="82" t="str">
        <x:f>IF($I494&lt;&gt;"",$I494,$J494)</x:f>
      </x:c>
      <x:c r="L494" s="82" t="str">
        <x:f>IF($B494="","",IFERROR(XLOOKUP($C494,MakerWorld_Verileri!$A:$A,MakerWorld_Verileri!$E:$E,""),""))</x:f>
      </x:c>
      <x:c r="M494" s="82" t="str"/>
      <x:c r="N494" s="82" t="str">
        <x:f>IF($L494&lt;&gt;"",$L494,$M494)</x:f>
      </x:c>
      <x:c r="O494" s="82" t="str">
        <x:f>IF($B494&lt;&gt;"",0,"")</x:f>
      </x:c>
      <x:c r="P494" s="75" t="str">
        <x:f>IF($B494&lt;&gt;"","Orta","")</x:f>
      </x:c>
      <x:c r="Q494" s="82" t="str">
        <x:f>IF($B494&lt;&gt;"",10,"")</x:f>
      </x:c>
      <x:c r="R494" s="83" t="str">
        <x:f>IF($B494&lt;&gt;"",Ayarlar!$B$10,"")</x:f>
      </x:c>
      <x:c r="S494" s="83" t="str">
        <x:f>IF($B494&lt;&gt;"",0,"")</x:f>
      </x:c>
      <x:c r="T494" s="83" t="n">
        <x:f>IFERROR(($K494+$O494)*XLOOKUP($G494,Ayarlar!$A$19:$A$28,Ayarlar!$C$19:$C$28,0)*(1+Ayarlar!$B$11),0)</x:f>
        <x:v>0</x:v>
      </x:c>
      <x:c r="U494" s="83" t="n">
        <x:f>IFERROR($N494/60*Ayarlar!$B$8,0)</x:f>
        <x:v>0</x:v>
      </x:c>
      <x:c r="V494" s="83" t="n">
        <x:f>IF($B494&lt;&gt;"",Ayarlar!$B$12+($Q494/60*Ayarlar!$B$9),0)</x:f>
        <x:v>0</x:v>
      </x:c>
      <x:c r="W494" s="83" t="n">
        <x:f>IF($B494&lt;&gt;"",SUM($T494:$V494,$R494:$S494),0)</x:f>
        <x:v>0</x:v>
      </x:c>
      <x:c r="X494" s="83" t="n">
        <x:f>IF($B494&lt;&gt;"",$W494*Ayarlar!$B$15,0)</x:f>
        <x:v>0</x:v>
      </x:c>
      <x:c r="Y494" s="83" t="n">
        <x:f>IF($B494&lt;&gt;"",($W494+$X494)*Ayarlar!$B$13,0)</x:f>
        <x:v>0</x:v>
      </x:c>
      <x:c r="Z494" s="83" t="n">
        <x:f>IF($B494&lt;&gt;"",($W494+$X494+$Y494)*Ayarlar!$B$14,0)</x:f>
        <x:v>0</x:v>
      </x:c>
      <x:c r="AA494" s="83" t="str">
        <x:f>IF($B494="","",IF(OR($K494="",$N494=""),"",CEILING($W494+$X494+$Y494+$Z494,Ayarlar!$B$16)))</x:f>
      </x:c>
      <x:c r="AB494" s="83" t="str">
        <x:f>IFERROR($AA494/$H494,"")</x:f>
      </x:c>
      <x:c r="AC494" s="75" t="str">
        <x:f>IF($B494="","",IF(OR($K494="",$N494=""),"Veri Eksik","Fiyat Hazır"))</x:f>
      </x:c>
      <x:c r="AD494" s="75" t="str">
        <x:f>IF($C494&lt;&gt;"","MW-"&amp;$C494,"")</x:f>
        <x:v>MW-80</x:v>
      </x:c>
      <x:c r="AE494" s="75" t="str">
        <x:f>IF($G494&lt;&gt;"","3D Baskı / "&amp;$G494,"3D Baskı")</x:f>
        <x:v>3D Baskı</x:v>
      </x:c>
      <x:c r="AF494" s="75" t="str">
        <x:f>IF($D494&lt;&gt;"",$D494&amp;" - "&amp;$G494,$AD494&amp;" - "&amp;$G494)</x:f>
        <x:v>MW-80 - </x:v>
      </x:c>
      <x:c r="AG494" s="75" t="str"/>
    </x:row>
    <x:row r="495">
      <x:c r="A495" s="75" t="str">
        <x:f>IF($B495&lt;&gt;"",ROW()-4,"")</x:f>
      </x:c>
      <x:c r="B495" s="75" t="str"/>
      <x:c r="C495" s="75" t="n">
        <x:f>IFERROR(LET(x,MID($B495,FIND("/models/",$B495)+8,80),y,LEFT(x,FIND("-",x&amp;"-")-1),LEFT(y,FIND("?",y&amp;"?")-1)),"")</x:f>
        <x:v>80</x:v>
      </x:c>
      <x:c r="D495" s="75" t="str">
        <x:f>IF($B495="","",IFERROR(XLOOKUP($C495,MakerWorld_Verileri!$A:$A,MakerWorld_Verileri!$B:$B,""),""))</x:f>
      </x:c>
      <x:c r="E495" s="75" t="str">
        <x:f>IF($B495="","",IFERROR(XLOOKUP($C495,MakerWorld_Verileri!$A:$A,MakerWorld_Verileri!$C:$C,""),""))</x:f>
      </x:c>
      <x:c r="F495" s="75" t="str"/>
      <x:c r="G495" s="75" t="str">
        <x:f>IF($B495&lt;&gt;"",Ayarlar!$B$7,"")</x:f>
      </x:c>
      <x:c r="H495" s="82" t="str">
        <x:f>IF($B495&lt;&gt;"",1,"")</x:f>
      </x:c>
      <x:c r="I495" s="82" t="str">
        <x:f>IF($B495="","",IFERROR(XLOOKUP($C495,MakerWorld_Verileri!$A:$A,MakerWorld_Verileri!$D:$D,""),""))</x:f>
      </x:c>
      <x:c r="J495" s="82" t="str"/>
      <x:c r="K495" s="82" t="str">
        <x:f>IF($I495&lt;&gt;"",$I495,$J495)</x:f>
      </x:c>
      <x:c r="L495" s="82" t="str">
        <x:f>IF($B495="","",IFERROR(XLOOKUP($C495,MakerWorld_Verileri!$A:$A,MakerWorld_Verileri!$E:$E,""),""))</x:f>
      </x:c>
      <x:c r="M495" s="82" t="str"/>
      <x:c r="N495" s="82" t="str">
        <x:f>IF($L495&lt;&gt;"",$L495,$M495)</x:f>
      </x:c>
      <x:c r="O495" s="82" t="str">
        <x:f>IF($B495&lt;&gt;"",0,"")</x:f>
      </x:c>
      <x:c r="P495" s="75" t="str">
        <x:f>IF($B495&lt;&gt;"","Orta","")</x:f>
      </x:c>
      <x:c r="Q495" s="82" t="str">
        <x:f>IF($B495&lt;&gt;"",10,"")</x:f>
      </x:c>
      <x:c r="R495" s="83" t="str">
        <x:f>IF($B495&lt;&gt;"",Ayarlar!$B$10,"")</x:f>
      </x:c>
      <x:c r="S495" s="83" t="str">
        <x:f>IF($B495&lt;&gt;"",0,"")</x:f>
      </x:c>
      <x:c r="T495" s="83" t="n">
        <x:f>IFERROR(($K495+$O495)*XLOOKUP($G495,Ayarlar!$A$19:$A$28,Ayarlar!$C$19:$C$28,0)*(1+Ayarlar!$B$11),0)</x:f>
        <x:v>0</x:v>
      </x:c>
      <x:c r="U495" s="83" t="n">
        <x:f>IFERROR($N495/60*Ayarlar!$B$8,0)</x:f>
        <x:v>0</x:v>
      </x:c>
      <x:c r="V495" s="83" t="n">
        <x:f>IF($B495&lt;&gt;"",Ayarlar!$B$12+($Q495/60*Ayarlar!$B$9),0)</x:f>
        <x:v>0</x:v>
      </x:c>
      <x:c r="W495" s="83" t="n">
        <x:f>IF($B495&lt;&gt;"",SUM($T495:$V495,$R495:$S495),0)</x:f>
        <x:v>0</x:v>
      </x:c>
      <x:c r="X495" s="83" t="n">
        <x:f>IF($B495&lt;&gt;"",$W495*Ayarlar!$B$15,0)</x:f>
        <x:v>0</x:v>
      </x:c>
      <x:c r="Y495" s="83" t="n">
        <x:f>IF($B495&lt;&gt;"",($W495+$X495)*Ayarlar!$B$13,0)</x:f>
        <x:v>0</x:v>
      </x:c>
      <x:c r="Z495" s="83" t="n">
        <x:f>IF($B495&lt;&gt;"",($W495+$X495+$Y495)*Ayarlar!$B$14,0)</x:f>
        <x:v>0</x:v>
      </x:c>
      <x:c r="AA495" s="83" t="str">
        <x:f>IF($B495="","",IF(OR($K495="",$N495=""),"",CEILING($W495+$X495+$Y495+$Z495,Ayarlar!$B$16)))</x:f>
      </x:c>
      <x:c r="AB495" s="83" t="str">
        <x:f>IFERROR($AA495/$H495,"")</x:f>
      </x:c>
      <x:c r="AC495" s="75" t="str">
        <x:f>IF($B495="","",IF(OR($K495="",$N495=""),"Veri Eksik","Fiyat Hazır"))</x:f>
      </x:c>
      <x:c r="AD495" s="75" t="str">
        <x:f>IF($C495&lt;&gt;"","MW-"&amp;$C495,"")</x:f>
        <x:v>MW-80</x:v>
      </x:c>
      <x:c r="AE495" s="75" t="str">
        <x:f>IF($G495&lt;&gt;"","3D Baskı / "&amp;$G495,"3D Baskı")</x:f>
        <x:v>3D Baskı</x:v>
      </x:c>
      <x:c r="AF495" s="75" t="str">
        <x:f>IF($D495&lt;&gt;"",$D495&amp;" - "&amp;$G495,$AD495&amp;" - "&amp;$G495)</x:f>
        <x:v>MW-80 - </x:v>
      </x:c>
      <x:c r="AG495" s="75" t="str"/>
    </x:row>
    <x:row r="496">
      <x:c r="A496" s="75" t="str">
        <x:f>IF($B496&lt;&gt;"",ROW()-4,"")</x:f>
      </x:c>
      <x:c r="B496" s="75" t="str"/>
      <x:c r="C496" s="75" t="n">
        <x:f>IFERROR(LET(x,MID($B496,FIND("/models/",$B496)+8,80),y,LEFT(x,FIND("-",x&amp;"-")-1),LEFT(y,FIND("?",y&amp;"?")-1)),"")</x:f>
        <x:v>80</x:v>
      </x:c>
      <x:c r="D496" s="75" t="str">
        <x:f>IF($B496="","",IFERROR(XLOOKUP($C496,MakerWorld_Verileri!$A:$A,MakerWorld_Verileri!$B:$B,""),""))</x:f>
      </x:c>
      <x:c r="E496" s="75" t="str">
        <x:f>IF($B496="","",IFERROR(XLOOKUP($C496,MakerWorld_Verileri!$A:$A,MakerWorld_Verileri!$C:$C,""),""))</x:f>
      </x:c>
      <x:c r="F496" s="75" t="str"/>
      <x:c r="G496" s="75" t="str">
        <x:f>IF($B496&lt;&gt;"",Ayarlar!$B$7,"")</x:f>
      </x:c>
      <x:c r="H496" s="82" t="str">
        <x:f>IF($B496&lt;&gt;"",1,"")</x:f>
      </x:c>
      <x:c r="I496" s="82" t="str">
        <x:f>IF($B496="","",IFERROR(XLOOKUP($C496,MakerWorld_Verileri!$A:$A,MakerWorld_Verileri!$D:$D,""),""))</x:f>
      </x:c>
      <x:c r="J496" s="82" t="str"/>
      <x:c r="K496" s="82" t="str">
        <x:f>IF($I496&lt;&gt;"",$I496,$J496)</x:f>
      </x:c>
      <x:c r="L496" s="82" t="str">
        <x:f>IF($B496="","",IFERROR(XLOOKUP($C496,MakerWorld_Verileri!$A:$A,MakerWorld_Verileri!$E:$E,""),""))</x:f>
      </x:c>
      <x:c r="M496" s="82" t="str"/>
      <x:c r="N496" s="82" t="str">
        <x:f>IF($L496&lt;&gt;"",$L496,$M496)</x:f>
      </x:c>
      <x:c r="O496" s="82" t="str">
        <x:f>IF($B496&lt;&gt;"",0,"")</x:f>
      </x:c>
      <x:c r="P496" s="75" t="str">
        <x:f>IF($B496&lt;&gt;"","Orta","")</x:f>
      </x:c>
      <x:c r="Q496" s="82" t="str">
        <x:f>IF($B496&lt;&gt;"",10,"")</x:f>
      </x:c>
      <x:c r="R496" s="83" t="str">
        <x:f>IF($B496&lt;&gt;"",Ayarlar!$B$10,"")</x:f>
      </x:c>
      <x:c r="S496" s="83" t="str">
        <x:f>IF($B496&lt;&gt;"",0,"")</x:f>
      </x:c>
      <x:c r="T496" s="83" t="n">
        <x:f>IFERROR(($K496+$O496)*XLOOKUP($G496,Ayarlar!$A$19:$A$28,Ayarlar!$C$19:$C$28,0)*(1+Ayarlar!$B$11),0)</x:f>
        <x:v>0</x:v>
      </x:c>
      <x:c r="U496" s="83" t="n">
        <x:f>IFERROR($N496/60*Ayarlar!$B$8,0)</x:f>
        <x:v>0</x:v>
      </x:c>
      <x:c r="V496" s="83" t="n">
        <x:f>IF($B496&lt;&gt;"",Ayarlar!$B$12+($Q496/60*Ayarlar!$B$9),0)</x:f>
        <x:v>0</x:v>
      </x:c>
      <x:c r="W496" s="83" t="n">
        <x:f>IF($B496&lt;&gt;"",SUM($T496:$V496,$R496:$S496),0)</x:f>
        <x:v>0</x:v>
      </x:c>
      <x:c r="X496" s="83" t="n">
        <x:f>IF($B496&lt;&gt;"",$W496*Ayarlar!$B$15,0)</x:f>
        <x:v>0</x:v>
      </x:c>
      <x:c r="Y496" s="83" t="n">
        <x:f>IF($B496&lt;&gt;"",($W496+$X496)*Ayarlar!$B$13,0)</x:f>
        <x:v>0</x:v>
      </x:c>
      <x:c r="Z496" s="83" t="n">
        <x:f>IF($B496&lt;&gt;"",($W496+$X496+$Y496)*Ayarlar!$B$14,0)</x:f>
        <x:v>0</x:v>
      </x:c>
      <x:c r="AA496" s="83" t="str">
        <x:f>IF($B496="","",IF(OR($K496="",$N496=""),"",CEILING($W496+$X496+$Y496+$Z496,Ayarlar!$B$16)))</x:f>
      </x:c>
      <x:c r="AB496" s="83" t="str">
        <x:f>IFERROR($AA496/$H496,"")</x:f>
      </x:c>
      <x:c r="AC496" s="75" t="str">
        <x:f>IF($B496="","",IF(OR($K496="",$N496=""),"Veri Eksik","Fiyat Hazır"))</x:f>
      </x:c>
      <x:c r="AD496" s="75" t="str">
        <x:f>IF($C496&lt;&gt;"","MW-"&amp;$C496,"")</x:f>
        <x:v>MW-80</x:v>
      </x:c>
      <x:c r="AE496" s="75" t="str">
        <x:f>IF($G496&lt;&gt;"","3D Baskı / "&amp;$G496,"3D Baskı")</x:f>
        <x:v>3D Baskı</x:v>
      </x:c>
      <x:c r="AF496" s="75" t="str">
        <x:f>IF($D496&lt;&gt;"",$D496&amp;" - "&amp;$G496,$AD496&amp;" - "&amp;$G496)</x:f>
        <x:v>MW-80 - </x:v>
      </x:c>
      <x:c r="AG496" s="75" t="str"/>
    </x:row>
    <x:row r="497">
      <x:c r="A497" s="75" t="str">
        <x:f>IF($B497&lt;&gt;"",ROW()-4,"")</x:f>
      </x:c>
      <x:c r="B497" s="75" t="str"/>
      <x:c r="C497" s="75" t="n">
        <x:f>IFERROR(LET(x,MID($B497,FIND("/models/",$B497)+8,80),y,LEFT(x,FIND("-",x&amp;"-")-1),LEFT(y,FIND("?",y&amp;"?")-1)),"")</x:f>
        <x:v>80</x:v>
      </x:c>
      <x:c r="D497" s="75" t="str">
        <x:f>IF($B497="","",IFERROR(XLOOKUP($C497,MakerWorld_Verileri!$A:$A,MakerWorld_Verileri!$B:$B,""),""))</x:f>
      </x:c>
      <x:c r="E497" s="75" t="str">
        <x:f>IF($B497="","",IFERROR(XLOOKUP($C497,MakerWorld_Verileri!$A:$A,MakerWorld_Verileri!$C:$C,""),""))</x:f>
      </x:c>
      <x:c r="F497" s="75" t="str"/>
      <x:c r="G497" s="75" t="str">
        <x:f>IF($B497&lt;&gt;"",Ayarlar!$B$7,"")</x:f>
      </x:c>
      <x:c r="H497" s="82" t="str">
        <x:f>IF($B497&lt;&gt;"",1,"")</x:f>
      </x:c>
      <x:c r="I497" s="82" t="str">
        <x:f>IF($B497="","",IFERROR(XLOOKUP($C497,MakerWorld_Verileri!$A:$A,MakerWorld_Verileri!$D:$D,""),""))</x:f>
      </x:c>
      <x:c r="J497" s="82" t="str"/>
      <x:c r="K497" s="82" t="str">
        <x:f>IF($I497&lt;&gt;"",$I497,$J497)</x:f>
      </x:c>
      <x:c r="L497" s="82" t="str">
        <x:f>IF($B497="","",IFERROR(XLOOKUP($C497,MakerWorld_Verileri!$A:$A,MakerWorld_Verileri!$E:$E,""),""))</x:f>
      </x:c>
      <x:c r="M497" s="82" t="str"/>
      <x:c r="N497" s="82" t="str">
        <x:f>IF($L497&lt;&gt;"",$L497,$M497)</x:f>
      </x:c>
      <x:c r="O497" s="82" t="str">
        <x:f>IF($B497&lt;&gt;"",0,"")</x:f>
      </x:c>
      <x:c r="P497" s="75" t="str">
        <x:f>IF($B497&lt;&gt;"","Orta","")</x:f>
      </x:c>
      <x:c r="Q497" s="82" t="str">
        <x:f>IF($B497&lt;&gt;"",10,"")</x:f>
      </x:c>
      <x:c r="R497" s="83" t="str">
        <x:f>IF($B497&lt;&gt;"",Ayarlar!$B$10,"")</x:f>
      </x:c>
      <x:c r="S497" s="83" t="str">
        <x:f>IF($B497&lt;&gt;"",0,"")</x:f>
      </x:c>
      <x:c r="T497" s="83" t="n">
        <x:f>IFERROR(($K497+$O497)*XLOOKUP($G497,Ayarlar!$A$19:$A$28,Ayarlar!$C$19:$C$28,0)*(1+Ayarlar!$B$11),0)</x:f>
        <x:v>0</x:v>
      </x:c>
      <x:c r="U497" s="83" t="n">
        <x:f>IFERROR($N497/60*Ayarlar!$B$8,0)</x:f>
        <x:v>0</x:v>
      </x:c>
      <x:c r="V497" s="83" t="n">
        <x:f>IF($B497&lt;&gt;"",Ayarlar!$B$12+($Q497/60*Ayarlar!$B$9),0)</x:f>
        <x:v>0</x:v>
      </x:c>
      <x:c r="W497" s="83" t="n">
        <x:f>IF($B497&lt;&gt;"",SUM($T497:$V497,$R497:$S497),0)</x:f>
        <x:v>0</x:v>
      </x:c>
      <x:c r="X497" s="83" t="n">
        <x:f>IF($B497&lt;&gt;"",$W497*Ayarlar!$B$15,0)</x:f>
        <x:v>0</x:v>
      </x:c>
      <x:c r="Y497" s="83" t="n">
        <x:f>IF($B497&lt;&gt;"",($W497+$X497)*Ayarlar!$B$13,0)</x:f>
        <x:v>0</x:v>
      </x:c>
      <x:c r="Z497" s="83" t="n">
        <x:f>IF($B497&lt;&gt;"",($W497+$X497+$Y497)*Ayarlar!$B$14,0)</x:f>
        <x:v>0</x:v>
      </x:c>
      <x:c r="AA497" s="83" t="str">
        <x:f>IF($B497="","",IF(OR($K497="",$N497=""),"",CEILING($W497+$X497+$Y497+$Z497,Ayarlar!$B$16)))</x:f>
      </x:c>
      <x:c r="AB497" s="83" t="str">
        <x:f>IFERROR($AA497/$H497,"")</x:f>
      </x:c>
      <x:c r="AC497" s="75" t="str">
        <x:f>IF($B497="","",IF(OR($K497="",$N497=""),"Veri Eksik","Fiyat Hazır"))</x:f>
      </x:c>
      <x:c r="AD497" s="75" t="str">
        <x:f>IF($C497&lt;&gt;"","MW-"&amp;$C497,"")</x:f>
        <x:v>MW-80</x:v>
      </x:c>
      <x:c r="AE497" s="75" t="str">
        <x:f>IF($G497&lt;&gt;"","3D Baskı / "&amp;$G497,"3D Baskı")</x:f>
        <x:v>3D Baskı</x:v>
      </x:c>
      <x:c r="AF497" s="75" t="str">
        <x:f>IF($D497&lt;&gt;"",$D497&amp;" - "&amp;$G497,$AD497&amp;" - "&amp;$G497)</x:f>
        <x:v>MW-80 - </x:v>
      </x:c>
      <x:c r="AG497" s="75" t="str"/>
    </x:row>
    <x:row r="498">
      <x:c r="A498" s="75" t="str">
        <x:f>IF($B498&lt;&gt;"",ROW()-4,"")</x:f>
      </x:c>
      <x:c r="B498" s="75" t="str"/>
      <x:c r="C498" s="75" t="n">
        <x:f>IFERROR(LET(x,MID($B498,FIND("/models/",$B498)+8,80),y,LEFT(x,FIND("-",x&amp;"-")-1),LEFT(y,FIND("?",y&amp;"?")-1)),"")</x:f>
        <x:v>80</x:v>
      </x:c>
      <x:c r="D498" s="75" t="str">
        <x:f>IF($B498="","",IFERROR(XLOOKUP($C498,MakerWorld_Verileri!$A:$A,MakerWorld_Verileri!$B:$B,""),""))</x:f>
      </x:c>
      <x:c r="E498" s="75" t="str">
        <x:f>IF($B498="","",IFERROR(XLOOKUP($C498,MakerWorld_Verileri!$A:$A,MakerWorld_Verileri!$C:$C,""),""))</x:f>
      </x:c>
      <x:c r="F498" s="75" t="str"/>
      <x:c r="G498" s="75" t="str">
        <x:f>IF($B498&lt;&gt;"",Ayarlar!$B$7,"")</x:f>
      </x:c>
      <x:c r="H498" s="82" t="str">
        <x:f>IF($B498&lt;&gt;"",1,"")</x:f>
      </x:c>
      <x:c r="I498" s="82" t="str">
        <x:f>IF($B498="","",IFERROR(XLOOKUP($C498,MakerWorld_Verileri!$A:$A,MakerWorld_Verileri!$D:$D,""),""))</x:f>
      </x:c>
      <x:c r="J498" s="82" t="str"/>
      <x:c r="K498" s="82" t="str">
        <x:f>IF($I498&lt;&gt;"",$I498,$J498)</x:f>
      </x:c>
      <x:c r="L498" s="82" t="str">
        <x:f>IF($B498="","",IFERROR(XLOOKUP($C498,MakerWorld_Verileri!$A:$A,MakerWorld_Verileri!$E:$E,""),""))</x:f>
      </x:c>
      <x:c r="M498" s="82" t="str"/>
      <x:c r="N498" s="82" t="str">
        <x:f>IF($L498&lt;&gt;"",$L498,$M498)</x:f>
      </x:c>
      <x:c r="O498" s="82" t="str">
        <x:f>IF($B498&lt;&gt;"",0,"")</x:f>
      </x:c>
      <x:c r="P498" s="75" t="str">
        <x:f>IF($B498&lt;&gt;"","Orta","")</x:f>
      </x:c>
      <x:c r="Q498" s="82" t="str">
        <x:f>IF($B498&lt;&gt;"",10,"")</x:f>
      </x:c>
      <x:c r="R498" s="83" t="str">
        <x:f>IF($B498&lt;&gt;"",Ayarlar!$B$10,"")</x:f>
      </x:c>
      <x:c r="S498" s="83" t="str">
        <x:f>IF($B498&lt;&gt;"",0,"")</x:f>
      </x:c>
      <x:c r="T498" s="83" t="n">
        <x:f>IFERROR(($K498+$O498)*XLOOKUP($G498,Ayarlar!$A$19:$A$28,Ayarlar!$C$19:$C$28,0)*(1+Ayarlar!$B$11),0)</x:f>
        <x:v>0</x:v>
      </x:c>
      <x:c r="U498" s="83" t="n">
        <x:f>IFERROR($N498/60*Ayarlar!$B$8,0)</x:f>
        <x:v>0</x:v>
      </x:c>
      <x:c r="V498" s="83" t="n">
        <x:f>IF($B498&lt;&gt;"",Ayarlar!$B$12+($Q498/60*Ayarlar!$B$9),0)</x:f>
        <x:v>0</x:v>
      </x:c>
      <x:c r="W498" s="83" t="n">
        <x:f>IF($B498&lt;&gt;"",SUM($T498:$V498,$R498:$S498),0)</x:f>
        <x:v>0</x:v>
      </x:c>
      <x:c r="X498" s="83" t="n">
        <x:f>IF($B498&lt;&gt;"",$W498*Ayarlar!$B$15,0)</x:f>
        <x:v>0</x:v>
      </x:c>
      <x:c r="Y498" s="83" t="n">
        <x:f>IF($B498&lt;&gt;"",($W498+$X498)*Ayarlar!$B$13,0)</x:f>
        <x:v>0</x:v>
      </x:c>
      <x:c r="Z498" s="83" t="n">
        <x:f>IF($B498&lt;&gt;"",($W498+$X498+$Y498)*Ayarlar!$B$14,0)</x:f>
        <x:v>0</x:v>
      </x:c>
      <x:c r="AA498" s="83" t="str">
        <x:f>IF($B498="","",IF(OR($K498="",$N498=""),"",CEILING($W498+$X498+$Y498+$Z498,Ayarlar!$B$16)))</x:f>
      </x:c>
      <x:c r="AB498" s="83" t="str">
        <x:f>IFERROR($AA498/$H498,"")</x:f>
      </x:c>
      <x:c r="AC498" s="75" t="str">
        <x:f>IF($B498="","",IF(OR($K498="",$N498=""),"Veri Eksik","Fiyat Hazır"))</x:f>
      </x:c>
      <x:c r="AD498" s="75" t="str">
        <x:f>IF($C498&lt;&gt;"","MW-"&amp;$C498,"")</x:f>
        <x:v>MW-80</x:v>
      </x:c>
      <x:c r="AE498" s="75" t="str">
        <x:f>IF($G498&lt;&gt;"","3D Baskı / "&amp;$G498,"3D Baskı")</x:f>
        <x:v>3D Baskı</x:v>
      </x:c>
      <x:c r="AF498" s="75" t="str">
        <x:f>IF($D498&lt;&gt;"",$D498&amp;" - "&amp;$G498,$AD498&amp;" - "&amp;$G498)</x:f>
        <x:v>MW-80 - </x:v>
      </x:c>
      <x:c r="AG498" s="75" t="str"/>
    </x:row>
    <x:row r="499">
      <x:c r="A499" s="75" t="str">
        <x:f>IF($B499&lt;&gt;"",ROW()-4,"")</x:f>
      </x:c>
      <x:c r="B499" s="75" t="str"/>
      <x:c r="C499" s="75" t="n">
        <x:f>IFERROR(LET(x,MID($B499,FIND("/models/",$B499)+8,80),y,LEFT(x,FIND("-",x&amp;"-")-1),LEFT(y,FIND("?",y&amp;"?")-1)),"")</x:f>
        <x:v>80</x:v>
      </x:c>
      <x:c r="D499" s="75" t="str">
        <x:f>IF($B499="","",IFERROR(XLOOKUP($C499,MakerWorld_Verileri!$A:$A,MakerWorld_Verileri!$B:$B,""),""))</x:f>
      </x:c>
      <x:c r="E499" s="75" t="str">
        <x:f>IF($B499="","",IFERROR(XLOOKUP($C499,MakerWorld_Verileri!$A:$A,MakerWorld_Verileri!$C:$C,""),""))</x:f>
      </x:c>
      <x:c r="F499" s="75" t="str"/>
      <x:c r="G499" s="75" t="str">
        <x:f>IF($B499&lt;&gt;"",Ayarlar!$B$7,"")</x:f>
      </x:c>
      <x:c r="H499" s="82" t="str">
        <x:f>IF($B499&lt;&gt;"",1,"")</x:f>
      </x:c>
      <x:c r="I499" s="82" t="str">
        <x:f>IF($B499="","",IFERROR(XLOOKUP($C499,MakerWorld_Verileri!$A:$A,MakerWorld_Verileri!$D:$D,""),""))</x:f>
      </x:c>
      <x:c r="J499" s="82" t="str"/>
      <x:c r="K499" s="82" t="str">
        <x:f>IF($I499&lt;&gt;"",$I499,$J499)</x:f>
      </x:c>
      <x:c r="L499" s="82" t="str">
        <x:f>IF($B499="","",IFERROR(XLOOKUP($C499,MakerWorld_Verileri!$A:$A,MakerWorld_Verileri!$E:$E,""),""))</x:f>
      </x:c>
      <x:c r="M499" s="82" t="str"/>
      <x:c r="N499" s="82" t="str">
        <x:f>IF($L499&lt;&gt;"",$L499,$M499)</x:f>
      </x:c>
      <x:c r="O499" s="82" t="str">
        <x:f>IF($B499&lt;&gt;"",0,"")</x:f>
      </x:c>
      <x:c r="P499" s="75" t="str">
        <x:f>IF($B499&lt;&gt;"","Orta","")</x:f>
      </x:c>
      <x:c r="Q499" s="82" t="str">
        <x:f>IF($B499&lt;&gt;"",10,"")</x:f>
      </x:c>
      <x:c r="R499" s="83" t="str">
        <x:f>IF($B499&lt;&gt;"",Ayarlar!$B$10,"")</x:f>
      </x:c>
      <x:c r="S499" s="83" t="str">
        <x:f>IF($B499&lt;&gt;"",0,"")</x:f>
      </x:c>
      <x:c r="T499" s="83" t="n">
        <x:f>IFERROR(($K499+$O499)*XLOOKUP($G499,Ayarlar!$A$19:$A$28,Ayarlar!$C$19:$C$28,0)*(1+Ayarlar!$B$11),0)</x:f>
        <x:v>0</x:v>
      </x:c>
      <x:c r="U499" s="83" t="n">
        <x:f>IFERROR($N499/60*Ayarlar!$B$8,0)</x:f>
        <x:v>0</x:v>
      </x:c>
      <x:c r="V499" s="83" t="n">
        <x:f>IF($B499&lt;&gt;"",Ayarlar!$B$12+($Q499/60*Ayarlar!$B$9),0)</x:f>
        <x:v>0</x:v>
      </x:c>
      <x:c r="W499" s="83" t="n">
        <x:f>IF($B499&lt;&gt;"",SUM($T499:$V499,$R499:$S499),0)</x:f>
        <x:v>0</x:v>
      </x:c>
      <x:c r="X499" s="83" t="n">
        <x:f>IF($B499&lt;&gt;"",$W499*Ayarlar!$B$15,0)</x:f>
        <x:v>0</x:v>
      </x:c>
      <x:c r="Y499" s="83" t="n">
        <x:f>IF($B499&lt;&gt;"",($W499+$X499)*Ayarlar!$B$13,0)</x:f>
        <x:v>0</x:v>
      </x:c>
      <x:c r="Z499" s="83" t="n">
        <x:f>IF($B499&lt;&gt;"",($W499+$X499+$Y499)*Ayarlar!$B$14,0)</x:f>
        <x:v>0</x:v>
      </x:c>
      <x:c r="AA499" s="83" t="str">
        <x:f>IF($B499="","",IF(OR($K499="",$N499=""),"",CEILING($W499+$X499+$Y499+$Z499,Ayarlar!$B$16)))</x:f>
      </x:c>
      <x:c r="AB499" s="83" t="str">
        <x:f>IFERROR($AA499/$H499,"")</x:f>
      </x:c>
      <x:c r="AC499" s="75" t="str">
        <x:f>IF($B499="","",IF(OR($K499="",$N499=""),"Veri Eksik","Fiyat Hazır"))</x:f>
      </x:c>
      <x:c r="AD499" s="75" t="str">
        <x:f>IF($C499&lt;&gt;"","MW-"&amp;$C499,"")</x:f>
        <x:v>MW-80</x:v>
      </x:c>
      <x:c r="AE499" s="75" t="str">
        <x:f>IF($G499&lt;&gt;"","3D Baskı / "&amp;$G499,"3D Baskı")</x:f>
        <x:v>3D Baskı</x:v>
      </x:c>
      <x:c r="AF499" s="75" t="str">
        <x:f>IF($D499&lt;&gt;"",$D499&amp;" - "&amp;$G499,$AD499&amp;" - "&amp;$G499)</x:f>
        <x:v>MW-80 - </x:v>
      </x:c>
      <x:c r="AG499" s="75" t="str"/>
    </x:row>
    <x:row r="500">
      <x:c r="A500" s="75" t="str">
        <x:f>IF($B500&lt;&gt;"",ROW()-4,"")</x:f>
      </x:c>
      <x:c r="B500" s="75" t="str"/>
      <x:c r="C500" s="75" t="n">
        <x:f>IFERROR(LET(x,MID($B500,FIND("/models/",$B500)+8,80),y,LEFT(x,FIND("-",x&amp;"-")-1),LEFT(y,FIND("?",y&amp;"?")-1)),"")</x:f>
        <x:v>80</x:v>
      </x:c>
      <x:c r="D500" s="75" t="str">
        <x:f>IF($B500="","",IFERROR(XLOOKUP($C500,MakerWorld_Verileri!$A:$A,MakerWorld_Verileri!$B:$B,""),""))</x:f>
      </x:c>
      <x:c r="E500" s="75" t="str">
        <x:f>IF($B500="","",IFERROR(XLOOKUP($C500,MakerWorld_Verileri!$A:$A,MakerWorld_Verileri!$C:$C,""),""))</x:f>
      </x:c>
      <x:c r="F500" s="75" t="str"/>
      <x:c r="G500" s="75" t="str">
        <x:f>IF($B500&lt;&gt;"",Ayarlar!$B$7,"")</x:f>
      </x:c>
      <x:c r="H500" s="82" t="str">
        <x:f>IF($B500&lt;&gt;"",1,"")</x:f>
      </x:c>
      <x:c r="I500" s="82" t="str">
        <x:f>IF($B500="","",IFERROR(XLOOKUP($C500,MakerWorld_Verileri!$A:$A,MakerWorld_Verileri!$D:$D,""),""))</x:f>
      </x:c>
      <x:c r="J500" s="82" t="str"/>
      <x:c r="K500" s="82" t="str">
        <x:f>IF($I500&lt;&gt;"",$I500,$J500)</x:f>
      </x:c>
      <x:c r="L500" s="82" t="str">
        <x:f>IF($B500="","",IFERROR(XLOOKUP($C500,MakerWorld_Verileri!$A:$A,MakerWorld_Verileri!$E:$E,""),""))</x:f>
      </x:c>
      <x:c r="M500" s="82" t="str"/>
      <x:c r="N500" s="82" t="str">
        <x:f>IF($L500&lt;&gt;"",$L500,$M500)</x:f>
      </x:c>
      <x:c r="O500" s="82" t="str">
        <x:f>IF($B500&lt;&gt;"",0,"")</x:f>
      </x:c>
      <x:c r="P500" s="75" t="str">
        <x:f>IF($B500&lt;&gt;"","Orta","")</x:f>
      </x:c>
      <x:c r="Q500" s="82" t="str">
        <x:f>IF($B500&lt;&gt;"",10,"")</x:f>
      </x:c>
      <x:c r="R500" s="83" t="str">
        <x:f>IF($B500&lt;&gt;"",Ayarlar!$B$10,"")</x:f>
      </x:c>
      <x:c r="S500" s="83" t="str">
        <x:f>IF($B500&lt;&gt;"",0,"")</x:f>
      </x:c>
      <x:c r="T500" s="83" t="n">
        <x:f>IFERROR(($K500+$O500)*XLOOKUP($G500,Ayarlar!$A$19:$A$28,Ayarlar!$C$19:$C$28,0)*(1+Ayarlar!$B$11),0)</x:f>
        <x:v>0</x:v>
      </x:c>
      <x:c r="U500" s="83" t="n">
        <x:f>IFERROR($N500/60*Ayarlar!$B$8,0)</x:f>
        <x:v>0</x:v>
      </x:c>
      <x:c r="V500" s="83" t="n">
        <x:f>IF($B500&lt;&gt;"",Ayarlar!$B$12+($Q500/60*Ayarlar!$B$9),0)</x:f>
        <x:v>0</x:v>
      </x:c>
      <x:c r="W500" s="83" t="n">
        <x:f>IF($B500&lt;&gt;"",SUM($T500:$V500,$R500:$S500),0)</x:f>
        <x:v>0</x:v>
      </x:c>
      <x:c r="X500" s="83" t="n">
        <x:f>IF($B500&lt;&gt;"",$W500*Ayarlar!$B$15,0)</x:f>
        <x:v>0</x:v>
      </x:c>
      <x:c r="Y500" s="83" t="n">
        <x:f>IF($B500&lt;&gt;"",($W500+$X500)*Ayarlar!$B$13,0)</x:f>
        <x:v>0</x:v>
      </x:c>
      <x:c r="Z500" s="83" t="n">
        <x:f>IF($B500&lt;&gt;"",($W500+$X500+$Y500)*Ayarlar!$B$14,0)</x:f>
        <x:v>0</x:v>
      </x:c>
      <x:c r="AA500" s="83" t="str">
        <x:f>IF($B500="","",IF(OR($K500="",$N500=""),"",CEILING($W500+$X500+$Y500+$Z500,Ayarlar!$B$16)))</x:f>
      </x:c>
      <x:c r="AB500" s="83" t="str">
        <x:f>IFERROR($AA500/$H500,"")</x:f>
      </x:c>
      <x:c r="AC500" s="75" t="str">
        <x:f>IF($B500="","",IF(OR($K500="",$N500=""),"Veri Eksik","Fiyat Hazır"))</x:f>
      </x:c>
      <x:c r="AD500" s="75" t="str">
        <x:f>IF($C500&lt;&gt;"","MW-"&amp;$C500,"")</x:f>
        <x:v>MW-80</x:v>
      </x:c>
      <x:c r="AE500" s="75" t="str">
        <x:f>IF($G500&lt;&gt;"","3D Baskı / "&amp;$G500,"3D Baskı")</x:f>
        <x:v>3D Baskı</x:v>
      </x:c>
      <x:c r="AF500" s="75" t="str">
        <x:f>IF($D500&lt;&gt;"",$D500&amp;" - "&amp;$G500,$AD500&amp;" - "&amp;$G500)</x:f>
        <x:v>MW-80 - </x:v>
      </x:c>
      <x:c r="AG500" s="75" t="str"/>
    </x:row>
    <x:row r="501">
      <x:c r="A501" s="75" t="str">
        <x:f>IF($B501&lt;&gt;"",ROW()-4,"")</x:f>
      </x:c>
      <x:c r="B501" s="75" t="str"/>
      <x:c r="C501" s="75" t="n">
        <x:f>IFERROR(LET(x,MID($B501,FIND("/models/",$B501)+8,80),y,LEFT(x,FIND("-",x&amp;"-")-1),LEFT(y,FIND("?",y&amp;"?")-1)),"")</x:f>
        <x:v>80</x:v>
      </x:c>
      <x:c r="D501" s="75" t="str">
        <x:f>IF($B501="","",IFERROR(XLOOKUP($C501,MakerWorld_Verileri!$A:$A,MakerWorld_Verileri!$B:$B,""),""))</x:f>
      </x:c>
      <x:c r="E501" s="75" t="str">
        <x:f>IF($B501="","",IFERROR(XLOOKUP($C501,MakerWorld_Verileri!$A:$A,MakerWorld_Verileri!$C:$C,""),""))</x:f>
      </x:c>
      <x:c r="F501" s="75" t="str"/>
      <x:c r="G501" s="75" t="str">
        <x:f>IF($B501&lt;&gt;"",Ayarlar!$B$7,"")</x:f>
      </x:c>
      <x:c r="H501" s="82" t="str">
        <x:f>IF($B501&lt;&gt;"",1,"")</x:f>
      </x:c>
      <x:c r="I501" s="82" t="str">
        <x:f>IF($B501="","",IFERROR(XLOOKUP($C501,MakerWorld_Verileri!$A:$A,MakerWorld_Verileri!$D:$D,""),""))</x:f>
      </x:c>
      <x:c r="J501" s="82" t="str"/>
      <x:c r="K501" s="82" t="str">
        <x:f>IF($I501&lt;&gt;"",$I501,$J501)</x:f>
      </x:c>
      <x:c r="L501" s="82" t="str">
        <x:f>IF($B501="","",IFERROR(XLOOKUP($C501,MakerWorld_Verileri!$A:$A,MakerWorld_Verileri!$E:$E,""),""))</x:f>
      </x:c>
      <x:c r="M501" s="82" t="str"/>
      <x:c r="N501" s="82" t="str">
        <x:f>IF($L501&lt;&gt;"",$L501,$M501)</x:f>
      </x:c>
      <x:c r="O501" s="82" t="str">
        <x:f>IF($B501&lt;&gt;"",0,"")</x:f>
      </x:c>
      <x:c r="P501" s="75" t="str">
        <x:f>IF($B501&lt;&gt;"","Orta","")</x:f>
      </x:c>
      <x:c r="Q501" s="82" t="str">
        <x:f>IF($B501&lt;&gt;"",10,"")</x:f>
      </x:c>
      <x:c r="R501" s="83" t="str">
        <x:f>IF($B501&lt;&gt;"",Ayarlar!$B$10,"")</x:f>
      </x:c>
      <x:c r="S501" s="83" t="str">
        <x:f>IF($B501&lt;&gt;"",0,"")</x:f>
      </x:c>
      <x:c r="T501" s="83" t="n">
        <x:f>IFERROR(($K501+$O501)*XLOOKUP($G501,Ayarlar!$A$19:$A$28,Ayarlar!$C$19:$C$28,0)*(1+Ayarlar!$B$11),0)</x:f>
        <x:v>0</x:v>
      </x:c>
      <x:c r="U501" s="83" t="n">
        <x:f>IFERROR($N501/60*Ayarlar!$B$8,0)</x:f>
        <x:v>0</x:v>
      </x:c>
      <x:c r="V501" s="83" t="n">
        <x:f>IF($B501&lt;&gt;"",Ayarlar!$B$12+($Q501/60*Ayarlar!$B$9),0)</x:f>
        <x:v>0</x:v>
      </x:c>
      <x:c r="W501" s="83" t="n">
        <x:f>IF($B501&lt;&gt;"",SUM($T501:$V501,$R501:$S501),0)</x:f>
        <x:v>0</x:v>
      </x:c>
      <x:c r="X501" s="83" t="n">
        <x:f>IF($B501&lt;&gt;"",$W501*Ayarlar!$B$15,0)</x:f>
        <x:v>0</x:v>
      </x:c>
      <x:c r="Y501" s="83" t="n">
        <x:f>IF($B501&lt;&gt;"",($W501+$X501)*Ayarlar!$B$13,0)</x:f>
        <x:v>0</x:v>
      </x:c>
      <x:c r="Z501" s="83" t="n">
        <x:f>IF($B501&lt;&gt;"",($W501+$X501+$Y501)*Ayarlar!$B$14,0)</x:f>
        <x:v>0</x:v>
      </x:c>
      <x:c r="AA501" s="83" t="str">
        <x:f>IF($B501="","",IF(OR($K501="",$N501=""),"",CEILING($W501+$X501+$Y501+$Z501,Ayarlar!$B$16)))</x:f>
      </x:c>
      <x:c r="AB501" s="83" t="str">
        <x:f>IFERROR($AA501/$H501,"")</x:f>
      </x:c>
      <x:c r="AC501" s="75" t="str">
        <x:f>IF($B501="","",IF(OR($K501="",$N501=""),"Veri Eksik","Fiyat Hazır"))</x:f>
      </x:c>
      <x:c r="AD501" s="75" t="str">
        <x:f>IF($C501&lt;&gt;"","MW-"&amp;$C501,"")</x:f>
        <x:v>MW-80</x:v>
      </x:c>
      <x:c r="AE501" s="75" t="str">
        <x:f>IF($G501&lt;&gt;"","3D Baskı / "&amp;$G501,"3D Baskı")</x:f>
        <x:v>3D Baskı</x:v>
      </x:c>
      <x:c r="AF501" s="75" t="str">
        <x:f>IF($D501&lt;&gt;"",$D501&amp;" - "&amp;$G501,$AD501&amp;" - "&amp;$G501)</x:f>
        <x:v>MW-80 - </x:v>
      </x:c>
      <x:c r="AG501" s="75" t="str"/>
    </x:row>
    <x:row r="502">
      <x:c r="A502" s="75" t="str">
        <x:f>IF($B502&lt;&gt;"",ROW()-4,"")</x:f>
      </x:c>
      <x:c r="B502" s="75" t="str"/>
      <x:c r="C502" s="75" t="n">
        <x:f>IFERROR(LET(x,MID($B502,FIND("/models/",$B502)+8,80),y,LEFT(x,FIND("-",x&amp;"-")-1),LEFT(y,FIND("?",y&amp;"?")-1)),"")</x:f>
        <x:v>80</x:v>
      </x:c>
      <x:c r="D502" s="75" t="str">
        <x:f>IF($B502="","",IFERROR(XLOOKUP($C502,MakerWorld_Verileri!$A:$A,MakerWorld_Verileri!$B:$B,""),""))</x:f>
      </x:c>
      <x:c r="E502" s="75" t="str">
        <x:f>IF($B502="","",IFERROR(XLOOKUP($C502,MakerWorld_Verileri!$A:$A,MakerWorld_Verileri!$C:$C,""),""))</x:f>
      </x:c>
      <x:c r="F502" s="75" t="str"/>
      <x:c r="G502" s="75" t="str">
        <x:f>IF($B502&lt;&gt;"",Ayarlar!$B$7,"")</x:f>
      </x:c>
      <x:c r="H502" s="82" t="str">
        <x:f>IF($B502&lt;&gt;"",1,"")</x:f>
      </x:c>
      <x:c r="I502" s="82" t="str">
        <x:f>IF($B502="","",IFERROR(XLOOKUP($C502,MakerWorld_Verileri!$A:$A,MakerWorld_Verileri!$D:$D,""),""))</x:f>
      </x:c>
      <x:c r="J502" s="82" t="str"/>
      <x:c r="K502" s="82" t="str">
        <x:f>IF($I502&lt;&gt;"",$I502,$J502)</x:f>
      </x:c>
      <x:c r="L502" s="82" t="str">
        <x:f>IF($B502="","",IFERROR(XLOOKUP($C502,MakerWorld_Verileri!$A:$A,MakerWorld_Verileri!$E:$E,""),""))</x:f>
      </x:c>
      <x:c r="M502" s="82" t="str"/>
      <x:c r="N502" s="82" t="str">
        <x:f>IF($L502&lt;&gt;"",$L502,$M502)</x:f>
      </x:c>
      <x:c r="O502" s="82" t="str">
        <x:f>IF($B502&lt;&gt;"",0,"")</x:f>
      </x:c>
      <x:c r="P502" s="75" t="str">
        <x:f>IF($B502&lt;&gt;"","Orta","")</x:f>
      </x:c>
      <x:c r="Q502" s="82" t="str">
        <x:f>IF($B502&lt;&gt;"",10,"")</x:f>
      </x:c>
      <x:c r="R502" s="83" t="str">
        <x:f>IF($B502&lt;&gt;"",Ayarlar!$B$10,"")</x:f>
      </x:c>
      <x:c r="S502" s="83" t="str">
        <x:f>IF($B502&lt;&gt;"",0,"")</x:f>
      </x:c>
      <x:c r="T502" s="83" t="n">
        <x:f>IFERROR(($K502+$O502)*XLOOKUP($G502,Ayarlar!$A$19:$A$28,Ayarlar!$C$19:$C$28,0)*(1+Ayarlar!$B$11),0)</x:f>
        <x:v>0</x:v>
      </x:c>
      <x:c r="U502" s="83" t="n">
        <x:f>IFERROR($N502/60*Ayarlar!$B$8,0)</x:f>
        <x:v>0</x:v>
      </x:c>
      <x:c r="V502" s="83" t="n">
        <x:f>IF($B502&lt;&gt;"",Ayarlar!$B$12+($Q502/60*Ayarlar!$B$9),0)</x:f>
        <x:v>0</x:v>
      </x:c>
      <x:c r="W502" s="83" t="n">
        <x:f>IF($B502&lt;&gt;"",SUM($T502:$V502,$R502:$S502),0)</x:f>
        <x:v>0</x:v>
      </x:c>
      <x:c r="X502" s="83" t="n">
        <x:f>IF($B502&lt;&gt;"",$W502*Ayarlar!$B$15,0)</x:f>
        <x:v>0</x:v>
      </x:c>
      <x:c r="Y502" s="83" t="n">
        <x:f>IF($B502&lt;&gt;"",($W502+$X502)*Ayarlar!$B$13,0)</x:f>
        <x:v>0</x:v>
      </x:c>
      <x:c r="Z502" s="83" t="n">
        <x:f>IF($B502&lt;&gt;"",($W502+$X502+$Y502)*Ayarlar!$B$14,0)</x:f>
        <x:v>0</x:v>
      </x:c>
      <x:c r="AA502" s="83" t="str">
        <x:f>IF($B502="","",IF(OR($K502="",$N502=""),"",CEILING($W502+$X502+$Y502+$Z502,Ayarlar!$B$16)))</x:f>
      </x:c>
      <x:c r="AB502" s="83" t="str">
        <x:f>IFERROR($AA502/$H502,"")</x:f>
      </x:c>
      <x:c r="AC502" s="75" t="str">
        <x:f>IF($B502="","",IF(OR($K502="",$N502=""),"Veri Eksik","Fiyat Hazır"))</x:f>
      </x:c>
      <x:c r="AD502" s="75" t="str">
        <x:f>IF($C502&lt;&gt;"","MW-"&amp;$C502,"")</x:f>
        <x:v>MW-80</x:v>
      </x:c>
      <x:c r="AE502" s="75" t="str">
        <x:f>IF($G502&lt;&gt;"","3D Baskı / "&amp;$G502,"3D Baskı")</x:f>
        <x:v>3D Baskı</x:v>
      </x:c>
      <x:c r="AF502" s="75" t="str">
        <x:f>IF($D502&lt;&gt;"",$D502&amp;" - "&amp;$G502,$AD502&amp;" - "&amp;$G502)</x:f>
        <x:v>MW-80 - </x:v>
      </x:c>
      <x:c r="AG502" s="75" t="str"/>
    </x:row>
    <x:row r="503">
      <x:c r="A503" s="75" t="str">
        <x:f>IF($B503&lt;&gt;"",ROW()-4,"")</x:f>
      </x:c>
      <x:c r="B503" s="75" t="str"/>
      <x:c r="C503" s="75" t="n">
        <x:f>IFERROR(LET(x,MID($B503,FIND("/models/",$B503)+8,80),y,LEFT(x,FIND("-",x&amp;"-")-1),LEFT(y,FIND("?",y&amp;"?")-1)),"")</x:f>
        <x:v>80</x:v>
      </x:c>
      <x:c r="D503" s="75" t="str">
        <x:f>IF($B503="","",IFERROR(XLOOKUP($C503,MakerWorld_Verileri!$A:$A,MakerWorld_Verileri!$B:$B,""),""))</x:f>
      </x:c>
      <x:c r="E503" s="75" t="str">
        <x:f>IF($B503="","",IFERROR(XLOOKUP($C503,MakerWorld_Verileri!$A:$A,MakerWorld_Verileri!$C:$C,""),""))</x:f>
      </x:c>
      <x:c r="F503" s="75" t="str"/>
      <x:c r="G503" s="75" t="str">
        <x:f>IF($B503&lt;&gt;"",Ayarlar!$B$7,"")</x:f>
      </x:c>
      <x:c r="H503" s="82" t="str">
        <x:f>IF($B503&lt;&gt;"",1,"")</x:f>
      </x:c>
      <x:c r="I503" s="82" t="str">
        <x:f>IF($B503="","",IFERROR(XLOOKUP($C503,MakerWorld_Verileri!$A:$A,MakerWorld_Verileri!$D:$D,""),""))</x:f>
      </x:c>
      <x:c r="J503" s="82" t="str"/>
      <x:c r="K503" s="82" t="str">
        <x:f>IF($I503&lt;&gt;"",$I503,$J503)</x:f>
      </x:c>
      <x:c r="L503" s="82" t="str">
        <x:f>IF($B503="","",IFERROR(XLOOKUP($C503,MakerWorld_Verileri!$A:$A,MakerWorld_Verileri!$E:$E,""),""))</x:f>
      </x:c>
      <x:c r="M503" s="82" t="str"/>
      <x:c r="N503" s="82" t="str">
        <x:f>IF($L503&lt;&gt;"",$L503,$M503)</x:f>
      </x:c>
      <x:c r="O503" s="82" t="str">
        <x:f>IF($B503&lt;&gt;"",0,"")</x:f>
      </x:c>
      <x:c r="P503" s="75" t="str">
        <x:f>IF($B503&lt;&gt;"","Orta","")</x:f>
      </x:c>
      <x:c r="Q503" s="82" t="str">
        <x:f>IF($B503&lt;&gt;"",10,"")</x:f>
      </x:c>
      <x:c r="R503" s="83" t="str">
        <x:f>IF($B503&lt;&gt;"",Ayarlar!$B$10,"")</x:f>
      </x:c>
      <x:c r="S503" s="83" t="str">
        <x:f>IF($B503&lt;&gt;"",0,"")</x:f>
      </x:c>
      <x:c r="T503" s="83" t="n">
        <x:f>IFERROR(($K503+$O503)*XLOOKUP($G503,Ayarlar!$A$19:$A$28,Ayarlar!$C$19:$C$28,0)*(1+Ayarlar!$B$11),0)</x:f>
        <x:v>0</x:v>
      </x:c>
      <x:c r="U503" s="83" t="n">
        <x:f>IFERROR($N503/60*Ayarlar!$B$8,0)</x:f>
        <x:v>0</x:v>
      </x:c>
      <x:c r="V503" s="83" t="n">
        <x:f>IF($B503&lt;&gt;"",Ayarlar!$B$12+($Q503/60*Ayarlar!$B$9),0)</x:f>
        <x:v>0</x:v>
      </x:c>
      <x:c r="W503" s="83" t="n">
        <x:f>IF($B503&lt;&gt;"",SUM($T503:$V503,$R503:$S503),0)</x:f>
        <x:v>0</x:v>
      </x:c>
      <x:c r="X503" s="83" t="n">
        <x:f>IF($B503&lt;&gt;"",$W503*Ayarlar!$B$15,0)</x:f>
        <x:v>0</x:v>
      </x:c>
      <x:c r="Y503" s="83" t="n">
        <x:f>IF($B503&lt;&gt;"",($W503+$X503)*Ayarlar!$B$13,0)</x:f>
        <x:v>0</x:v>
      </x:c>
      <x:c r="Z503" s="83" t="n">
        <x:f>IF($B503&lt;&gt;"",($W503+$X503+$Y503)*Ayarlar!$B$14,0)</x:f>
        <x:v>0</x:v>
      </x:c>
      <x:c r="AA503" s="83" t="str">
        <x:f>IF($B503="","",IF(OR($K503="",$N503=""),"",CEILING($W503+$X503+$Y503+$Z503,Ayarlar!$B$16)))</x:f>
      </x:c>
      <x:c r="AB503" s="83" t="str">
        <x:f>IFERROR($AA503/$H503,"")</x:f>
      </x:c>
      <x:c r="AC503" s="75" t="str">
        <x:f>IF($B503="","",IF(OR($K503="",$N503=""),"Veri Eksik","Fiyat Hazır"))</x:f>
      </x:c>
      <x:c r="AD503" s="75" t="str">
        <x:f>IF($C503&lt;&gt;"","MW-"&amp;$C503,"")</x:f>
        <x:v>MW-80</x:v>
      </x:c>
      <x:c r="AE503" s="75" t="str">
        <x:f>IF($G503&lt;&gt;"","3D Baskı / "&amp;$G503,"3D Baskı")</x:f>
        <x:v>3D Baskı</x:v>
      </x:c>
      <x:c r="AF503" s="75" t="str">
        <x:f>IF($D503&lt;&gt;"",$D503&amp;" - "&amp;$G503,$AD503&amp;" - "&amp;$G503)</x:f>
        <x:v>MW-80 - </x:v>
      </x:c>
      <x:c r="AG503" s="75" t="str"/>
    </x:row>
    <x:row r="504">
      <x:c r="A504" s="75" t="str">
        <x:f>IF($B504&lt;&gt;"",ROW()-4,"")</x:f>
      </x:c>
      <x:c r="B504" s="75" t="str"/>
      <x:c r="C504" s="75" t="n">
        <x:f>IFERROR(LET(x,MID($B504,FIND("/models/",$B504)+8,80),y,LEFT(x,FIND("-",x&amp;"-")-1),LEFT(y,FIND("?",y&amp;"?")-1)),"")</x:f>
        <x:v>80</x:v>
      </x:c>
      <x:c r="D504" s="75" t="str">
        <x:f>IF($B504="","",IFERROR(XLOOKUP($C504,MakerWorld_Verileri!$A:$A,MakerWorld_Verileri!$B:$B,""),""))</x:f>
      </x:c>
      <x:c r="E504" s="75" t="str">
        <x:f>IF($B504="","",IFERROR(XLOOKUP($C504,MakerWorld_Verileri!$A:$A,MakerWorld_Verileri!$C:$C,""),""))</x:f>
      </x:c>
      <x:c r="F504" s="75" t="str"/>
      <x:c r="G504" s="75" t="str">
        <x:f>IF($B504&lt;&gt;"",Ayarlar!$B$7,"")</x:f>
      </x:c>
      <x:c r="H504" s="82" t="str">
        <x:f>IF($B504&lt;&gt;"",1,"")</x:f>
      </x:c>
      <x:c r="I504" s="82" t="str">
        <x:f>IF($B504="","",IFERROR(XLOOKUP($C504,MakerWorld_Verileri!$A:$A,MakerWorld_Verileri!$D:$D,""),""))</x:f>
      </x:c>
      <x:c r="J504" s="82" t="str"/>
      <x:c r="K504" s="82" t="str">
        <x:f>IF($I504&lt;&gt;"",$I504,$J504)</x:f>
      </x:c>
      <x:c r="L504" s="82" t="str">
        <x:f>IF($B504="","",IFERROR(XLOOKUP($C504,MakerWorld_Verileri!$A:$A,MakerWorld_Verileri!$E:$E,""),""))</x:f>
      </x:c>
      <x:c r="M504" s="82" t="str"/>
      <x:c r="N504" s="82" t="str">
        <x:f>IF($L504&lt;&gt;"",$L504,$M504)</x:f>
      </x:c>
      <x:c r="O504" s="82" t="str">
        <x:f>IF($B504&lt;&gt;"",0,"")</x:f>
      </x:c>
      <x:c r="P504" s="75" t="str">
        <x:f>IF($B504&lt;&gt;"","Orta","")</x:f>
      </x:c>
      <x:c r="Q504" s="82" t="str">
        <x:f>IF($B504&lt;&gt;"",10,"")</x:f>
      </x:c>
      <x:c r="R504" s="83" t="str">
        <x:f>IF($B504&lt;&gt;"",Ayarlar!$B$10,"")</x:f>
      </x:c>
      <x:c r="S504" s="83" t="str">
        <x:f>IF($B504&lt;&gt;"",0,"")</x:f>
      </x:c>
      <x:c r="T504" s="83" t="n">
        <x:f>IFERROR(($K504+$O504)*XLOOKUP($G504,Ayarlar!$A$19:$A$28,Ayarlar!$C$19:$C$28,0)*(1+Ayarlar!$B$11),0)</x:f>
        <x:v>0</x:v>
      </x:c>
      <x:c r="U504" s="83" t="n">
        <x:f>IFERROR($N504/60*Ayarlar!$B$8,0)</x:f>
        <x:v>0</x:v>
      </x:c>
      <x:c r="V504" s="83" t="n">
        <x:f>IF($B504&lt;&gt;"",Ayarlar!$B$12+($Q504/60*Ayarlar!$B$9),0)</x:f>
        <x:v>0</x:v>
      </x:c>
      <x:c r="W504" s="83" t="n">
        <x:f>IF($B504&lt;&gt;"",SUM($T504:$V504,$R504:$S504),0)</x:f>
        <x:v>0</x:v>
      </x:c>
      <x:c r="X504" s="83" t="n">
        <x:f>IF($B504&lt;&gt;"",$W504*Ayarlar!$B$15,0)</x:f>
        <x:v>0</x:v>
      </x:c>
      <x:c r="Y504" s="83" t="n">
        <x:f>IF($B504&lt;&gt;"",($W504+$X504)*Ayarlar!$B$13,0)</x:f>
        <x:v>0</x:v>
      </x:c>
      <x:c r="Z504" s="83" t="n">
        <x:f>IF($B504&lt;&gt;"",($W504+$X504+$Y504)*Ayarlar!$B$14,0)</x:f>
        <x:v>0</x:v>
      </x:c>
      <x:c r="AA504" s="83" t="str">
        <x:f>IF($B504="","",IF(OR($K504="",$N504=""),"",CEILING($W504+$X504+$Y504+$Z504,Ayarlar!$B$16)))</x:f>
      </x:c>
      <x:c r="AB504" s="83" t="str">
        <x:f>IFERROR($AA504/$H504,"")</x:f>
      </x:c>
      <x:c r="AC504" s="75" t="str">
        <x:f>IF($B504="","",IF(OR($K504="",$N504=""),"Veri Eksik","Fiyat Hazır"))</x:f>
      </x:c>
      <x:c r="AD504" s="75" t="str">
        <x:f>IF($C504&lt;&gt;"","MW-"&amp;$C504,"")</x:f>
        <x:v>MW-80</x:v>
      </x:c>
      <x:c r="AE504" s="75" t="str">
        <x:f>IF($G504&lt;&gt;"","3D Baskı / "&amp;$G504,"3D Baskı")</x:f>
        <x:v>3D Baskı</x:v>
      </x:c>
      <x:c r="AF504" s="75" t="str">
        <x:f>IF($D504&lt;&gt;"",$D504&amp;" - "&amp;$G504,$AD504&amp;" - "&amp;$G504)</x:f>
        <x:v>MW-80 - </x:v>
      </x:c>
      <x:c r="AG504" s="75" t="str"/>
    </x:row>
  </x:sheetData>
  <x:mergeCells>
    <x:mergeCell ref="A1:AG1"/>
    <x:mergeCell ref="A2:AG2"/>
  </x:mergeCells>
  <x:conditionalFormatting sqref="AC5:AC504">
    <x:cfRule type="expression" dxfId="0" priority="1">
      <x:formula>$AC5="Fiyat Hazır"</x:formula>
    </x:cfRule>
    <x:cfRule type="expression" dxfId="1" priority="2">
      <x:formula>$AC5="Veri Eksik"</x:formula>
    </x:cfRule>
  </x:conditionalFormatting>
  <x:conditionalFormatting sqref="AA5:AA504">
    <x:cfRule type="dataBar" priority="3">
      <x:dataBar>
        <x:cfvo type="min"/>
        <x:cfvo type="max"/>
        <x:color rgb="6D28D9"/>
      </x:dataBar>
      <x:extLst>
        <x:ext xmlns:x14="http://schemas.microsoft.com/office/spreadsheetml/2009/9/main" uri="{B025F937-C7B1-47D3-B67F-A62EFF666E3E}">
          <x14:id>{DF442BED-C89F-F92F-11C2-A57E76FBFFEC}</x14:id>
        </x:ext>
      </x:extLst>
    </x:cfRule>
  </x:conditionalFormatting>
  <x:dataValidations count="3">
    <x:dataValidation type="list" sqref="G5:G504">
      <x:formula1>Veri_Listeleri!$A$5:$A$13</x:formula1>
    </x:dataValidation>
    <x:dataValidation type="list" sqref="P5:P504">
      <x:formula1>Veri_Listeleri!$B$5:$B$9</x:formula1>
    </x:dataValidation>
    <x:dataValidation type="list" sqref="AC5:AC504">
      <x:formula1>Veri_Listeleri!$C$5:$C$10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5ba35af52a42b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F442BED-C89F-F92F-11C2-A57E76FBFFEC}">
            <x14:dataBar gradient="1">
              <x14:cfvo type="min"/>
              <x14:cfvo type="max"/>
              <x14:fillColor rgb="6D28D9"/>
            </x14:dataBar>
          </x14:cfRule>
          <xm:sqref>AA5:AA504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72.80999755859375" hidden="0" customWidth="1"/>
    <x:col min="2" max="2" width="32" hidden="0" customWidth="1"/>
    <x:col min="3" max="3" width="12.380000114440918" hidden="0" customWidth="1"/>
    <x:col min="4" max="4" width="11.569999694824219" hidden="0" customWidth="1"/>
    <x:col min="5" max="5" width="13.1899995803833" hidden="0" customWidth="1"/>
    <x:col min="6" max="6" width="42" hidden="0" customWidth="1"/>
    <x:col min="7" max="7" width="12.649999618530273" hidden="0" customWidth="1"/>
    <x:col min="8" max="8" width="12.109999656677246" hidden="0" customWidth="1"/>
    <x:col min="9" max="9" width="40" hidden="0" customWidth="1"/>
  </x:cols>
  <x:sheetData>
    <x:row r="1" ht="30" customHeight="1">
      <x:c r="A1" s="5" t="str">
        <x:v>MakerWorld_Verileri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Power Query / Office Script çıktısı veya elle doğrulanmış gramaj-süre verileri burada tutulur.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Model ID</x:v>
      </x:c>
      <x:c r="B4" s="24" t="str">
        <x:v>Model Adı</x:v>
      </x:c>
      <x:c r="C4" s="24" t="str">
        <x:v>Print Profile</x:v>
      </x:c>
      <x:c r="D4" s="24" t="str">
        <x:v>Auto Gram</x:v>
      </x:c>
      <x:c r="E4" s="24" t="str">
        <x:v>Auto Süre dk</x:v>
      </x:c>
      <x:c r="F4" s="24" t="str">
        <x:v>Kaynak Link</x:v>
      </x:c>
      <x:c r="G4" s="24" t="str">
        <x:v>Veri Kaynağı</x:v>
      </x:c>
      <x:c r="H4" s="24" t="str">
        <x:v>Son Kontrol</x:v>
      </x:c>
      <x:c r="I4" s="24" t="str">
        <x:v>Not</x:v>
      </x:c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64" t="str"/>
      <x:c r="B5" s="64" t="str"/>
      <x:c r="C5" s="64" t="str"/>
      <x:c r="D5" s="66" t="str"/>
      <x:c r="E5" s="66" t="str"/>
      <x:c r="F5" s="64" t="str"/>
      <x:c r="G5" s="64" t="str"/>
      <x:c r="H5" s="86" t="str"/>
      <x:c r="I5" s="64" t="str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64" t="str"/>
      <x:c r="B6" s="64" t="str"/>
      <x:c r="C6" s="64" t="str"/>
      <x:c r="D6" s="66" t="str"/>
      <x:c r="E6" s="66" t="str"/>
      <x:c r="F6" s="64" t="str"/>
      <x:c r="G6" s="64" t="str"/>
      <x:c r="H6" s="86" t="str"/>
      <x:c r="I6" s="64" t="str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64" t="str"/>
      <x:c r="B7" s="64" t="str"/>
      <x:c r="C7" s="64" t="str"/>
      <x:c r="D7" s="66" t="str"/>
      <x:c r="E7" s="66" t="str"/>
      <x:c r="F7" s="64" t="str"/>
      <x:c r="G7" s="64" t="str"/>
      <x:c r="H7" s="86" t="str"/>
      <x:c r="I7" s="64" t="str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64" t="str"/>
      <x:c r="B8" s="64" t="str"/>
      <x:c r="C8" s="64" t="str"/>
      <x:c r="D8" s="66" t="str"/>
      <x:c r="E8" s="66" t="str"/>
      <x:c r="F8" s="64" t="str"/>
      <x:c r="G8" s="64" t="str"/>
      <x:c r="H8" s="86" t="str"/>
      <x:c r="I8" s="64" t="str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64" t="str"/>
      <x:c r="B9" s="64" t="str"/>
      <x:c r="C9" s="64" t="str"/>
      <x:c r="D9" s="66" t="str"/>
      <x:c r="E9" s="66" t="str"/>
      <x:c r="F9" s="64" t="str"/>
      <x:c r="G9" s="64" t="str"/>
      <x:c r="H9" s="86" t="str"/>
      <x:c r="I9" s="64" t="str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64" t="str"/>
      <x:c r="B10" s="64" t="str"/>
      <x:c r="C10" s="64" t="str"/>
      <x:c r="D10" s="66" t="str"/>
      <x:c r="E10" s="66" t="str"/>
      <x:c r="F10" s="64" t="str"/>
      <x:c r="G10" s="64" t="str"/>
      <x:c r="H10" s="86" t="str"/>
      <x:c r="I10" s="64" t="str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64" t="str"/>
      <x:c r="B11" s="64" t="str"/>
      <x:c r="C11" s="64" t="str"/>
      <x:c r="D11" s="66" t="str"/>
      <x:c r="E11" s="66" t="str"/>
      <x:c r="F11" s="64" t="str"/>
      <x:c r="G11" s="64" t="str"/>
      <x:c r="H11" s="86" t="str"/>
      <x:c r="I11" s="64" t="str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64" t="str"/>
      <x:c r="B12" s="64" t="str"/>
      <x:c r="C12" s="64" t="str"/>
      <x:c r="D12" s="66" t="str"/>
      <x:c r="E12" s="66" t="str"/>
      <x:c r="F12" s="64" t="str"/>
      <x:c r="G12" s="64" t="str"/>
      <x:c r="H12" s="86" t="str"/>
      <x:c r="I12" s="64" t="str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64" t="str"/>
      <x:c r="B13" s="64" t="str"/>
      <x:c r="C13" s="64" t="str"/>
      <x:c r="D13" s="66" t="str"/>
      <x:c r="E13" s="66" t="str"/>
      <x:c r="F13" s="64" t="str"/>
      <x:c r="G13" s="64" t="str"/>
      <x:c r="H13" s="86" t="str"/>
      <x:c r="I13" s="64" t="str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64" t="str"/>
      <x:c r="B14" s="64" t="str"/>
      <x:c r="C14" s="64" t="str"/>
      <x:c r="D14" s="66" t="str"/>
      <x:c r="E14" s="66" t="str"/>
      <x:c r="F14" s="64" t="str"/>
      <x:c r="G14" s="64" t="str"/>
      <x:c r="H14" s="86" t="str"/>
      <x:c r="I14" s="64" t="str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64" t="str"/>
      <x:c r="B15" s="64" t="str"/>
      <x:c r="C15" s="64" t="str"/>
      <x:c r="D15" s="66" t="str"/>
      <x:c r="E15" s="66" t="str"/>
      <x:c r="F15" s="64" t="str"/>
      <x:c r="G15" s="64" t="str"/>
      <x:c r="H15" s="86" t="str"/>
      <x:c r="I15" s="64" t="str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64" t="str"/>
      <x:c r="B16" s="64" t="str"/>
      <x:c r="C16" s="64" t="str"/>
      <x:c r="D16" s="66" t="str"/>
      <x:c r="E16" s="66" t="str"/>
      <x:c r="F16" s="64" t="str"/>
      <x:c r="G16" s="64" t="str"/>
      <x:c r="H16" s="86" t="str"/>
      <x:c r="I16" s="64" t="str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64" t="str"/>
      <x:c r="B17" s="64" t="str"/>
      <x:c r="C17" s="64" t="str"/>
      <x:c r="D17" s="66" t="str"/>
      <x:c r="E17" s="66" t="str"/>
      <x:c r="F17" s="64" t="str"/>
      <x:c r="G17" s="64" t="str"/>
      <x:c r="H17" s="86" t="str"/>
      <x:c r="I17" s="64" t="str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64" t="str"/>
      <x:c r="B18" s="64" t="str"/>
      <x:c r="C18" s="64" t="str"/>
      <x:c r="D18" s="66" t="str"/>
      <x:c r="E18" s="66" t="str"/>
      <x:c r="F18" s="64" t="str"/>
      <x:c r="G18" s="64" t="str"/>
      <x:c r="H18" s="86" t="str"/>
      <x:c r="I18" s="64" t="str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64" t="str"/>
      <x:c r="B19" s="64" t="str"/>
      <x:c r="C19" s="64" t="str"/>
      <x:c r="D19" s="66" t="str"/>
      <x:c r="E19" s="66" t="str"/>
      <x:c r="F19" s="64" t="str"/>
      <x:c r="G19" s="64" t="str"/>
      <x:c r="H19" s="86" t="str"/>
      <x:c r="I19" s="64" t="str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64" t="str"/>
      <x:c r="B20" s="64" t="str"/>
      <x:c r="C20" s="64" t="str"/>
      <x:c r="D20" s="66" t="str"/>
      <x:c r="E20" s="66" t="str"/>
      <x:c r="F20" s="64" t="str"/>
      <x:c r="G20" s="64" t="str"/>
      <x:c r="H20" s="86" t="str"/>
      <x:c r="I20" s="64" t="str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64" t="str"/>
      <x:c r="B21" s="64" t="str"/>
      <x:c r="C21" s="64" t="str"/>
      <x:c r="D21" s="66" t="str"/>
      <x:c r="E21" s="66" t="str"/>
      <x:c r="F21" s="64" t="str"/>
      <x:c r="G21" s="64" t="str"/>
      <x:c r="H21" s="86" t="str"/>
      <x:c r="I21" s="64" t="str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64" t="str"/>
      <x:c r="B22" s="64" t="str"/>
      <x:c r="C22" s="64" t="str"/>
      <x:c r="D22" s="66" t="str"/>
      <x:c r="E22" s="66" t="str"/>
      <x:c r="F22" s="64" t="str"/>
      <x:c r="G22" s="64" t="str"/>
      <x:c r="H22" s="86" t="str"/>
      <x:c r="I22" s="64" t="str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64" t="str"/>
      <x:c r="B23" s="64" t="str"/>
      <x:c r="C23" s="64" t="str"/>
      <x:c r="D23" s="66" t="str"/>
      <x:c r="E23" s="66" t="str"/>
      <x:c r="F23" s="64" t="str"/>
      <x:c r="G23" s="64" t="str"/>
      <x:c r="H23" s="86" t="str"/>
      <x:c r="I23" s="64" t="str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64" t="str"/>
      <x:c r="B24" s="64" t="str"/>
      <x:c r="C24" s="64" t="str"/>
      <x:c r="D24" s="66" t="str"/>
      <x:c r="E24" s="66" t="str"/>
      <x:c r="F24" s="64" t="str"/>
      <x:c r="G24" s="64" t="str"/>
      <x:c r="H24" s="86" t="str"/>
      <x:c r="I24" s="64" t="str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64" t="str"/>
      <x:c r="B25" s="64" t="str"/>
      <x:c r="C25" s="64" t="str"/>
      <x:c r="D25" s="66" t="str"/>
      <x:c r="E25" s="66" t="str"/>
      <x:c r="F25" s="64" t="str"/>
      <x:c r="G25" s="64" t="str"/>
      <x:c r="H25" s="86" t="str"/>
      <x:c r="I25" s="64" t="str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64" t="str"/>
      <x:c r="B26" s="64" t="str"/>
      <x:c r="C26" s="64" t="str"/>
      <x:c r="D26" s="66" t="str"/>
      <x:c r="E26" s="66" t="str"/>
      <x:c r="F26" s="64" t="str"/>
      <x:c r="G26" s="64" t="str"/>
      <x:c r="H26" s="86" t="str"/>
      <x:c r="I26" s="64" t="str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64" t="str"/>
      <x:c r="B27" s="64" t="str"/>
      <x:c r="C27" s="64" t="str"/>
      <x:c r="D27" s="66" t="str"/>
      <x:c r="E27" s="66" t="str"/>
      <x:c r="F27" s="64" t="str"/>
      <x:c r="G27" s="64" t="str"/>
      <x:c r="H27" s="86" t="str"/>
      <x:c r="I27" s="64" t="str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64" t="str"/>
      <x:c r="B28" s="64" t="str"/>
      <x:c r="C28" s="64" t="str"/>
      <x:c r="D28" s="66" t="str"/>
      <x:c r="E28" s="66" t="str"/>
      <x:c r="F28" s="64" t="str"/>
      <x:c r="G28" s="64" t="str"/>
      <x:c r="H28" s="86" t="str"/>
      <x:c r="I28" s="64" t="str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64" t="str"/>
      <x:c r="B29" s="64" t="str"/>
      <x:c r="C29" s="64" t="str"/>
      <x:c r="D29" s="66" t="str"/>
      <x:c r="E29" s="66" t="str"/>
      <x:c r="F29" s="64" t="str"/>
      <x:c r="G29" s="64" t="str"/>
      <x:c r="H29" s="86" t="str"/>
      <x:c r="I29" s="64" t="str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64" t="str"/>
      <x:c r="B30" s="64" t="str"/>
      <x:c r="C30" s="64" t="str"/>
      <x:c r="D30" s="66" t="str"/>
      <x:c r="E30" s="66" t="str"/>
      <x:c r="F30" s="64" t="str"/>
      <x:c r="G30" s="64" t="str"/>
      <x:c r="H30" s="86" t="str"/>
      <x:c r="I30" s="64" t="str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64" t="str"/>
      <x:c r="B31" s="64" t="str"/>
      <x:c r="C31" s="64" t="str"/>
      <x:c r="D31" s="66" t="str"/>
      <x:c r="E31" s="66" t="str"/>
      <x:c r="F31" s="64" t="str"/>
      <x:c r="G31" s="64" t="str"/>
      <x:c r="H31" s="86" t="str"/>
      <x:c r="I31" s="64" t="str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64" t="str"/>
      <x:c r="B32" s="64" t="str"/>
      <x:c r="C32" s="64" t="str"/>
      <x:c r="D32" s="66" t="str"/>
      <x:c r="E32" s="66" t="str"/>
      <x:c r="F32" s="64" t="str"/>
      <x:c r="G32" s="64" t="str"/>
      <x:c r="H32" s="86" t="str"/>
      <x:c r="I32" s="64" t="str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64" t="str"/>
      <x:c r="B33" s="64" t="str"/>
      <x:c r="C33" s="64" t="str"/>
      <x:c r="D33" s="66" t="str"/>
      <x:c r="E33" s="66" t="str"/>
      <x:c r="F33" s="64" t="str"/>
      <x:c r="G33" s="64" t="str"/>
      <x:c r="H33" s="86" t="str"/>
      <x:c r="I33" s="64" t="str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64" t="str"/>
      <x:c r="B34" s="64" t="str"/>
      <x:c r="C34" s="64" t="str"/>
      <x:c r="D34" s="66" t="str"/>
      <x:c r="E34" s="66" t="str"/>
      <x:c r="F34" s="64" t="str"/>
      <x:c r="G34" s="64" t="str"/>
      <x:c r="H34" s="86" t="str"/>
      <x:c r="I34" s="64" t="str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64" t="str"/>
      <x:c r="B35" s="64" t="str"/>
      <x:c r="C35" s="64" t="str"/>
      <x:c r="D35" s="66" t="str"/>
      <x:c r="E35" s="66" t="str"/>
      <x:c r="F35" s="64" t="str"/>
      <x:c r="G35" s="64" t="str"/>
      <x:c r="H35" s="86" t="str"/>
      <x:c r="I35" s="64" t="str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64" t="str"/>
      <x:c r="B36" s="64" t="str"/>
      <x:c r="C36" s="64" t="str"/>
      <x:c r="D36" s="66" t="str"/>
      <x:c r="E36" s="66" t="str"/>
      <x:c r="F36" s="64" t="str"/>
      <x:c r="G36" s="64" t="str"/>
      <x:c r="H36" s="86" t="str"/>
      <x:c r="I36" s="64" t="str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64" t="str"/>
      <x:c r="B37" s="64" t="str"/>
      <x:c r="C37" s="64" t="str"/>
      <x:c r="D37" s="66" t="str"/>
      <x:c r="E37" s="66" t="str"/>
      <x:c r="F37" s="64" t="str"/>
      <x:c r="G37" s="64" t="str"/>
      <x:c r="H37" s="86" t="str"/>
      <x:c r="I37" s="64" t="str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64" t="str"/>
      <x:c r="B38" s="64" t="str"/>
      <x:c r="C38" s="64" t="str"/>
      <x:c r="D38" s="66" t="str"/>
      <x:c r="E38" s="66" t="str"/>
      <x:c r="F38" s="64" t="str"/>
      <x:c r="G38" s="64" t="str"/>
      <x:c r="H38" s="86" t="str"/>
      <x:c r="I38" s="64" t="str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64" t="str"/>
      <x:c r="B39" s="64" t="str"/>
      <x:c r="C39" s="64" t="str"/>
      <x:c r="D39" s="66" t="str"/>
      <x:c r="E39" s="66" t="str"/>
      <x:c r="F39" s="64" t="str"/>
      <x:c r="G39" s="64" t="str"/>
      <x:c r="H39" s="86" t="str"/>
      <x:c r="I39" s="64" t="str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64" t="str"/>
      <x:c r="B40" s="64" t="str"/>
      <x:c r="C40" s="64" t="str"/>
      <x:c r="D40" s="66" t="str"/>
      <x:c r="E40" s="66" t="str"/>
      <x:c r="F40" s="64" t="str"/>
      <x:c r="G40" s="64" t="str"/>
      <x:c r="H40" s="86" t="str"/>
      <x:c r="I40" s="64" t="str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64" t="str"/>
      <x:c r="B41" s="64" t="str"/>
      <x:c r="C41" s="64" t="str"/>
      <x:c r="D41" s="66" t="str"/>
      <x:c r="E41" s="66" t="str"/>
      <x:c r="F41" s="64" t="str"/>
      <x:c r="G41" s="64" t="str"/>
      <x:c r="H41" s="86" t="str"/>
      <x:c r="I41" s="64" t="str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64" t="str"/>
      <x:c r="B42" s="64" t="str"/>
      <x:c r="C42" s="64" t="str"/>
      <x:c r="D42" s="66" t="str"/>
      <x:c r="E42" s="66" t="str"/>
      <x:c r="F42" s="64" t="str"/>
      <x:c r="G42" s="64" t="str"/>
      <x:c r="H42" s="86" t="str"/>
      <x:c r="I42" s="64" t="str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64" t="str"/>
      <x:c r="B43" s="64" t="str"/>
      <x:c r="C43" s="64" t="str"/>
      <x:c r="D43" s="66" t="str"/>
      <x:c r="E43" s="66" t="str"/>
      <x:c r="F43" s="64" t="str"/>
      <x:c r="G43" s="64" t="str"/>
      <x:c r="H43" s="86" t="str"/>
      <x:c r="I43" s="64" t="str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64" t="str"/>
      <x:c r="B44" s="64" t="str"/>
      <x:c r="C44" s="64" t="str"/>
      <x:c r="D44" s="66" t="str"/>
      <x:c r="E44" s="66" t="str"/>
      <x:c r="F44" s="64" t="str"/>
      <x:c r="G44" s="64" t="str"/>
      <x:c r="H44" s="86" t="str"/>
      <x:c r="I44" s="64" t="str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64" t="str"/>
      <x:c r="B45" s="64" t="str"/>
      <x:c r="C45" s="64" t="str"/>
      <x:c r="D45" s="66" t="str"/>
      <x:c r="E45" s="66" t="str"/>
      <x:c r="F45" s="64" t="str"/>
      <x:c r="G45" s="64" t="str"/>
      <x:c r="H45" s="86" t="str"/>
      <x:c r="I45" s="64" t="str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64" t="str"/>
      <x:c r="B46" s="64" t="str"/>
      <x:c r="C46" s="64" t="str"/>
      <x:c r="D46" s="66" t="str"/>
      <x:c r="E46" s="66" t="str"/>
      <x:c r="F46" s="64" t="str"/>
      <x:c r="G46" s="64" t="str"/>
      <x:c r="H46" s="86" t="str"/>
      <x:c r="I46" s="64" t="str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64" t="str"/>
      <x:c r="B47" s="64" t="str"/>
      <x:c r="C47" s="64" t="str"/>
      <x:c r="D47" s="66" t="str"/>
      <x:c r="E47" s="66" t="str"/>
      <x:c r="F47" s="64" t="str"/>
      <x:c r="G47" s="64" t="str"/>
      <x:c r="H47" s="86" t="str"/>
      <x:c r="I47" s="64" t="str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64" t="str"/>
      <x:c r="B48" s="64" t="str"/>
      <x:c r="C48" s="64" t="str"/>
      <x:c r="D48" s="66" t="str"/>
      <x:c r="E48" s="66" t="str"/>
      <x:c r="F48" s="64" t="str"/>
      <x:c r="G48" s="64" t="str"/>
      <x:c r="H48" s="86" t="str"/>
      <x:c r="I48" s="64" t="str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64" t="str"/>
      <x:c r="B49" s="64" t="str"/>
      <x:c r="C49" s="64" t="str"/>
      <x:c r="D49" s="66" t="str"/>
      <x:c r="E49" s="66" t="str"/>
      <x:c r="F49" s="64" t="str"/>
      <x:c r="G49" s="64" t="str"/>
      <x:c r="H49" s="86" t="str"/>
      <x:c r="I49" s="64" t="str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64" t="str"/>
      <x:c r="B50" s="64" t="str"/>
      <x:c r="C50" s="64" t="str"/>
      <x:c r="D50" s="66" t="str"/>
      <x:c r="E50" s="66" t="str"/>
      <x:c r="F50" s="64" t="str"/>
      <x:c r="G50" s="64" t="str"/>
      <x:c r="H50" s="86" t="str"/>
      <x:c r="I50" s="64" t="str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64" t="str"/>
      <x:c r="B51" s="64" t="str"/>
      <x:c r="C51" s="64" t="str"/>
      <x:c r="D51" s="66" t="str"/>
      <x:c r="E51" s="66" t="str"/>
      <x:c r="F51" s="64" t="str"/>
      <x:c r="G51" s="64" t="str"/>
      <x:c r="H51" s="86" t="str"/>
      <x:c r="I51" s="64" t="str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64" t="str"/>
      <x:c r="B52" s="64" t="str"/>
      <x:c r="C52" s="64" t="str"/>
      <x:c r="D52" s="66" t="str"/>
      <x:c r="E52" s="66" t="str"/>
      <x:c r="F52" s="64" t="str"/>
      <x:c r="G52" s="64" t="str"/>
      <x:c r="H52" s="86" t="str"/>
      <x:c r="I52" s="64" t="str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64" t="str"/>
      <x:c r="B53" s="64" t="str"/>
      <x:c r="C53" s="64" t="str"/>
      <x:c r="D53" s="66" t="str"/>
      <x:c r="E53" s="66" t="str"/>
      <x:c r="F53" s="64" t="str"/>
      <x:c r="G53" s="64" t="str"/>
      <x:c r="H53" s="86" t="str"/>
      <x:c r="I53" s="64" t="str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64" t="str"/>
      <x:c r="B54" s="64" t="str"/>
      <x:c r="C54" s="64" t="str"/>
      <x:c r="D54" s="66" t="str"/>
      <x:c r="E54" s="66" t="str"/>
      <x:c r="F54" s="64" t="str"/>
      <x:c r="G54" s="64" t="str"/>
      <x:c r="H54" s="86" t="str"/>
      <x:c r="I54" s="64" t="str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64" t="str"/>
      <x:c r="B55" s="64" t="str"/>
      <x:c r="C55" s="64" t="str"/>
      <x:c r="D55" s="66" t="str"/>
      <x:c r="E55" s="66" t="str"/>
      <x:c r="F55" s="64" t="str"/>
      <x:c r="G55" s="64" t="str"/>
      <x:c r="H55" s="86" t="str"/>
      <x:c r="I55" s="64" t="str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64" t="str"/>
      <x:c r="B56" s="64" t="str"/>
      <x:c r="C56" s="64" t="str"/>
      <x:c r="D56" s="66" t="str"/>
      <x:c r="E56" s="66" t="str"/>
      <x:c r="F56" s="64" t="str"/>
      <x:c r="G56" s="64" t="str"/>
      <x:c r="H56" s="86" t="str"/>
      <x:c r="I56" s="64" t="str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64" t="str"/>
      <x:c r="B57" s="64" t="str"/>
      <x:c r="C57" s="64" t="str"/>
      <x:c r="D57" s="66" t="str"/>
      <x:c r="E57" s="66" t="str"/>
      <x:c r="F57" s="64" t="str"/>
      <x:c r="G57" s="64" t="str"/>
      <x:c r="H57" s="86" t="str"/>
      <x:c r="I57" s="64" t="str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64" t="str"/>
      <x:c r="B58" s="64" t="str"/>
      <x:c r="C58" s="64" t="str"/>
      <x:c r="D58" s="66" t="str"/>
      <x:c r="E58" s="66" t="str"/>
      <x:c r="F58" s="64" t="str"/>
      <x:c r="G58" s="64" t="str"/>
      <x:c r="H58" s="86" t="str"/>
      <x:c r="I58" s="64" t="str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64" t="str"/>
      <x:c r="B59" s="64" t="str"/>
      <x:c r="C59" s="64" t="str"/>
      <x:c r="D59" s="66" t="str"/>
      <x:c r="E59" s="66" t="str"/>
      <x:c r="F59" s="64" t="str"/>
      <x:c r="G59" s="64" t="str"/>
      <x:c r="H59" s="86" t="str"/>
      <x:c r="I59" s="64" t="str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64" t="str"/>
      <x:c r="B60" s="64" t="str"/>
      <x:c r="C60" s="64" t="str"/>
      <x:c r="D60" s="66" t="str"/>
      <x:c r="E60" s="66" t="str"/>
      <x:c r="F60" s="64" t="str"/>
      <x:c r="G60" s="64" t="str"/>
      <x:c r="H60" s="86" t="str"/>
      <x:c r="I60" s="64" t="str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64" t="str"/>
      <x:c r="B61" s="64" t="str"/>
      <x:c r="C61" s="64" t="str"/>
      <x:c r="D61" s="66" t="str"/>
      <x:c r="E61" s="66" t="str"/>
      <x:c r="F61" s="64" t="str"/>
      <x:c r="G61" s="64" t="str"/>
      <x:c r="H61" s="86" t="str"/>
      <x:c r="I61" s="64" t="str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64" t="str"/>
      <x:c r="B62" s="64" t="str"/>
      <x:c r="C62" s="64" t="str"/>
      <x:c r="D62" s="66" t="str"/>
      <x:c r="E62" s="66" t="str"/>
      <x:c r="F62" s="64" t="str"/>
      <x:c r="G62" s="64" t="str"/>
      <x:c r="H62" s="86" t="str"/>
      <x:c r="I62" s="64" t="str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64" t="str"/>
      <x:c r="B63" s="64" t="str"/>
      <x:c r="C63" s="64" t="str"/>
      <x:c r="D63" s="66" t="str"/>
      <x:c r="E63" s="66" t="str"/>
      <x:c r="F63" s="64" t="str"/>
      <x:c r="G63" s="64" t="str"/>
      <x:c r="H63" s="86" t="str"/>
      <x:c r="I63" s="64" t="str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64" t="str"/>
      <x:c r="B64" s="64" t="str"/>
      <x:c r="C64" s="64" t="str"/>
      <x:c r="D64" s="66" t="str"/>
      <x:c r="E64" s="66" t="str"/>
      <x:c r="F64" s="64" t="str"/>
      <x:c r="G64" s="64" t="str"/>
      <x:c r="H64" s="86" t="str"/>
      <x:c r="I64" s="64" t="str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64" t="str"/>
      <x:c r="B65" s="64" t="str"/>
      <x:c r="C65" s="64" t="str"/>
      <x:c r="D65" s="66" t="str"/>
      <x:c r="E65" s="66" t="str"/>
      <x:c r="F65" s="64" t="str"/>
      <x:c r="G65" s="64" t="str"/>
      <x:c r="H65" s="86" t="str"/>
      <x:c r="I65" s="64" t="str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64" t="str"/>
      <x:c r="B66" s="64" t="str"/>
      <x:c r="C66" s="64" t="str"/>
      <x:c r="D66" s="66" t="str"/>
      <x:c r="E66" s="66" t="str"/>
      <x:c r="F66" s="64" t="str"/>
      <x:c r="G66" s="64" t="str"/>
      <x:c r="H66" s="86" t="str"/>
      <x:c r="I66" s="64" t="str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64" t="str"/>
      <x:c r="B67" s="64" t="str"/>
      <x:c r="C67" s="64" t="str"/>
      <x:c r="D67" s="66" t="str"/>
      <x:c r="E67" s="66" t="str"/>
      <x:c r="F67" s="64" t="str"/>
      <x:c r="G67" s="64" t="str"/>
      <x:c r="H67" s="86" t="str"/>
      <x:c r="I67" s="64" t="str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64" t="str"/>
      <x:c r="B68" s="64" t="str"/>
      <x:c r="C68" s="64" t="str"/>
      <x:c r="D68" s="66" t="str"/>
      <x:c r="E68" s="66" t="str"/>
      <x:c r="F68" s="64" t="str"/>
      <x:c r="G68" s="64" t="str"/>
      <x:c r="H68" s="86" t="str"/>
      <x:c r="I68" s="64" t="str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64" t="str"/>
      <x:c r="B69" s="64" t="str"/>
      <x:c r="C69" s="64" t="str"/>
      <x:c r="D69" s="66" t="str"/>
      <x:c r="E69" s="66" t="str"/>
      <x:c r="F69" s="64" t="str"/>
      <x:c r="G69" s="64" t="str"/>
      <x:c r="H69" s="86" t="str"/>
      <x:c r="I69" s="64" t="str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64" t="str"/>
      <x:c r="B70" s="64" t="str"/>
      <x:c r="C70" s="64" t="str"/>
      <x:c r="D70" s="66" t="str"/>
      <x:c r="E70" s="66" t="str"/>
      <x:c r="F70" s="64" t="str"/>
      <x:c r="G70" s="64" t="str"/>
      <x:c r="H70" s="86" t="str"/>
      <x:c r="I70" s="64" t="str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64" t="str"/>
      <x:c r="B71" s="64" t="str"/>
      <x:c r="C71" s="64" t="str"/>
      <x:c r="D71" s="66" t="str"/>
      <x:c r="E71" s="66" t="str"/>
      <x:c r="F71" s="64" t="str"/>
      <x:c r="G71" s="64" t="str"/>
      <x:c r="H71" s="86" t="str"/>
      <x:c r="I71" s="64" t="str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64" t="str"/>
      <x:c r="B72" s="64" t="str"/>
      <x:c r="C72" s="64" t="str"/>
      <x:c r="D72" s="66" t="str"/>
      <x:c r="E72" s="66" t="str"/>
      <x:c r="F72" s="64" t="str"/>
      <x:c r="G72" s="64" t="str"/>
      <x:c r="H72" s="86" t="str"/>
      <x:c r="I72" s="64" t="str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64" t="str"/>
      <x:c r="B73" s="64" t="str"/>
      <x:c r="C73" s="64" t="str"/>
      <x:c r="D73" s="66" t="str"/>
      <x:c r="E73" s="66" t="str"/>
      <x:c r="F73" s="64" t="str"/>
      <x:c r="G73" s="64" t="str"/>
      <x:c r="H73" s="86" t="str"/>
      <x:c r="I73" s="64" t="str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64" t="str"/>
      <x:c r="B74" s="64" t="str"/>
      <x:c r="C74" s="64" t="str"/>
      <x:c r="D74" s="66" t="str"/>
      <x:c r="E74" s="66" t="str"/>
      <x:c r="F74" s="64" t="str"/>
      <x:c r="G74" s="64" t="str"/>
      <x:c r="H74" s="86" t="str"/>
      <x:c r="I74" s="64" t="str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64" t="str"/>
      <x:c r="B75" s="64" t="str"/>
      <x:c r="C75" s="64" t="str"/>
      <x:c r="D75" s="66" t="str"/>
      <x:c r="E75" s="66" t="str"/>
      <x:c r="F75" s="64" t="str"/>
      <x:c r="G75" s="64" t="str"/>
      <x:c r="H75" s="86" t="str"/>
      <x:c r="I75" s="64" t="str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64" t="str"/>
      <x:c r="B76" s="64" t="str"/>
      <x:c r="C76" s="64" t="str"/>
      <x:c r="D76" s="66" t="str"/>
      <x:c r="E76" s="66" t="str"/>
      <x:c r="F76" s="64" t="str"/>
      <x:c r="G76" s="64" t="str"/>
      <x:c r="H76" s="86" t="str"/>
      <x:c r="I76" s="64" t="str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64" t="str"/>
      <x:c r="B77" s="64" t="str"/>
      <x:c r="C77" s="64" t="str"/>
      <x:c r="D77" s="66" t="str"/>
      <x:c r="E77" s="66" t="str"/>
      <x:c r="F77" s="64" t="str"/>
      <x:c r="G77" s="64" t="str"/>
      <x:c r="H77" s="86" t="str"/>
      <x:c r="I77" s="64" t="str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64" t="str"/>
      <x:c r="B78" s="64" t="str"/>
      <x:c r="C78" s="64" t="str"/>
      <x:c r="D78" s="66" t="str"/>
      <x:c r="E78" s="66" t="str"/>
      <x:c r="F78" s="64" t="str"/>
      <x:c r="G78" s="64" t="str"/>
      <x:c r="H78" s="86" t="str"/>
      <x:c r="I78" s="64" t="str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64" t="str"/>
      <x:c r="B79" s="64" t="str"/>
      <x:c r="C79" s="64" t="str"/>
      <x:c r="D79" s="66" t="str"/>
      <x:c r="E79" s="66" t="str"/>
      <x:c r="F79" s="64" t="str"/>
      <x:c r="G79" s="64" t="str"/>
      <x:c r="H79" s="86" t="str"/>
      <x:c r="I79" s="64" t="str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64" t="str"/>
      <x:c r="B80" s="64" t="str"/>
      <x:c r="C80" s="64" t="str"/>
      <x:c r="D80" s="66" t="str"/>
      <x:c r="E80" s="66" t="str"/>
      <x:c r="F80" s="64" t="str"/>
      <x:c r="G80" s="64" t="str"/>
      <x:c r="H80" s="86" t="str"/>
      <x:c r="I80" s="64" t="str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64" t="str"/>
      <x:c r="B81" s="64" t="str"/>
      <x:c r="C81" s="64" t="str"/>
      <x:c r="D81" s="66" t="str"/>
      <x:c r="E81" s="66" t="str"/>
      <x:c r="F81" s="64" t="str"/>
      <x:c r="G81" s="64" t="str"/>
      <x:c r="H81" s="86" t="str"/>
      <x:c r="I81" s="64" t="str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64" t="str"/>
      <x:c r="B82" s="64" t="str"/>
      <x:c r="C82" s="64" t="str"/>
      <x:c r="D82" s="66" t="str"/>
      <x:c r="E82" s="66" t="str"/>
      <x:c r="F82" s="64" t="str"/>
      <x:c r="G82" s="64" t="str"/>
      <x:c r="H82" s="86" t="str"/>
      <x:c r="I82" s="64" t="str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64" t="str"/>
      <x:c r="B83" s="64" t="str"/>
      <x:c r="C83" s="64" t="str"/>
      <x:c r="D83" s="66" t="str"/>
      <x:c r="E83" s="66" t="str"/>
      <x:c r="F83" s="64" t="str"/>
      <x:c r="G83" s="64" t="str"/>
      <x:c r="H83" s="86" t="str"/>
      <x:c r="I83" s="64" t="str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64" t="str"/>
      <x:c r="B84" s="64" t="str"/>
      <x:c r="C84" s="64" t="str"/>
      <x:c r="D84" s="66" t="str"/>
      <x:c r="E84" s="66" t="str"/>
      <x:c r="F84" s="64" t="str"/>
      <x:c r="G84" s="64" t="str"/>
      <x:c r="H84" s="86" t="str"/>
      <x:c r="I84" s="64" t="str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64" t="str"/>
      <x:c r="B85" s="64" t="str"/>
      <x:c r="C85" s="64" t="str"/>
      <x:c r="D85" s="66" t="str"/>
      <x:c r="E85" s="66" t="str"/>
      <x:c r="F85" s="64" t="str"/>
      <x:c r="G85" s="64" t="str"/>
      <x:c r="H85" s="86" t="str"/>
      <x:c r="I85" s="64" t="str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64" t="str"/>
      <x:c r="B86" s="64" t="str"/>
      <x:c r="C86" s="64" t="str"/>
      <x:c r="D86" s="66" t="str"/>
      <x:c r="E86" s="66" t="str"/>
      <x:c r="F86" s="64" t="str"/>
      <x:c r="G86" s="64" t="str"/>
      <x:c r="H86" s="86" t="str"/>
      <x:c r="I86" s="64" t="str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64" t="str"/>
      <x:c r="B87" s="64" t="str"/>
      <x:c r="C87" s="64" t="str"/>
      <x:c r="D87" s="66" t="str"/>
      <x:c r="E87" s="66" t="str"/>
      <x:c r="F87" s="64" t="str"/>
      <x:c r="G87" s="64" t="str"/>
      <x:c r="H87" s="86" t="str"/>
      <x:c r="I87" s="64" t="str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64" t="str"/>
      <x:c r="B88" s="64" t="str"/>
      <x:c r="C88" s="64" t="str"/>
      <x:c r="D88" s="66" t="str"/>
      <x:c r="E88" s="66" t="str"/>
      <x:c r="F88" s="64" t="str"/>
      <x:c r="G88" s="64" t="str"/>
      <x:c r="H88" s="86" t="str"/>
      <x:c r="I88" s="64" t="str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64" t="str"/>
      <x:c r="B89" s="64" t="str"/>
      <x:c r="C89" s="64" t="str"/>
      <x:c r="D89" s="66" t="str"/>
      <x:c r="E89" s="66" t="str"/>
      <x:c r="F89" s="64" t="str"/>
      <x:c r="G89" s="64" t="str"/>
      <x:c r="H89" s="86" t="str"/>
      <x:c r="I89" s="64" t="str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64" t="str"/>
      <x:c r="B90" s="64" t="str"/>
      <x:c r="C90" s="64" t="str"/>
      <x:c r="D90" s="66" t="str"/>
      <x:c r="E90" s="66" t="str"/>
      <x:c r="F90" s="64" t="str"/>
      <x:c r="G90" s="64" t="str"/>
      <x:c r="H90" s="86" t="str"/>
      <x:c r="I90" s="64" t="str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64" t="str"/>
      <x:c r="B91" s="64" t="str"/>
      <x:c r="C91" s="64" t="str"/>
      <x:c r="D91" s="66" t="str"/>
      <x:c r="E91" s="66" t="str"/>
      <x:c r="F91" s="64" t="str"/>
      <x:c r="G91" s="64" t="str"/>
      <x:c r="H91" s="86" t="str"/>
      <x:c r="I91" s="64" t="str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64" t="str"/>
      <x:c r="B92" s="64" t="str"/>
      <x:c r="C92" s="64" t="str"/>
      <x:c r="D92" s="66" t="str"/>
      <x:c r="E92" s="66" t="str"/>
      <x:c r="F92" s="64" t="str"/>
      <x:c r="G92" s="64" t="str"/>
      <x:c r="H92" s="86" t="str"/>
      <x:c r="I92" s="64" t="str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64" t="str"/>
      <x:c r="B93" s="64" t="str"/>
      <x:c r="C93" s="64" t="str"/>
      <x:c r="D93" s="66" t="str"/>
      <x:c r="E93" s="66" t="str"/>
      <x:c r="F93" s="64" t="str"/>
      <x:c r="G93" s="64" t="str"/>
      <x:c r="H93" s="86" t="str"/>
      <x:c r="I93" s="64" t="str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64" t="str"/>
      <x:c r="B94" s="64" t="str"/>
      <x:c r="C94" s="64" t="str"/>
      <x:c r="D94" s="66" t="str"/>
      <x:c r="E94" s="66" t="str"/>
      <x:c r="F94" s="64" t="str"/>
      <x:c r="G94" s="64" t="str"/>
      <x:c r="H94" s="86" t="str"/>
      <x:c r="I94" s="64" t="str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64" t="str"/>
      <x:c r="B95" s="64" t="str"/>
      <x:c r="C95" s="64" t="str"/>
      <x:c r="D95" s="66" t="str"/>
      <x:c r="E95" s="66" t="str"/>
      <x:c r="F95" s="64" t="str"/>
      <x:c r="G95" s="64" t="str"/>
      <x:c r="H95" s="86" t="str"/>
      <x:c r="I95" s="64" t="str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64" t="str"/>
      <x:c r="B96" s="64" t="str"/>
      <x:c r="C96" s="64" t="str"/>
      <x:c r="D96" s="66" t="str"/>
      <x:c r="E96" s="66" t="str"/>
      <x:c r="F96" s="64" t="str"/>
      <x:c r="G96" s="64" t="str"/>
      <x:c r="H96" s="86" t="str"/>
      <x:c r="I96" s="64" t="str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64" t="str"/>
      <x:c r="B97" s="64" t="str"/>
      <x:c r="C97" s="64" t="str"/>
      <x:c r="D97" s="66" t="str"/>
      <x:c r="E97" s="66" t="str"/>
      <x:c r="F97" s="64" t="str"/>
      <x:c r="G97" s="64" t="str"/>
      <x:c r="H97" s="86" t="str"/>
      <x:c r="I97" s="64" t="str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64" t="str"/>
      <x:c r="B98" s="64" t="str"/>
      <x:c r="C98" s="64" t="str"/>
      <x:c r="D98" s="66" t="str"/>
      <x:c r="E98" s="66" t="str"/>
      <x:c r="F98" s="64" t="str"/>
      <x:c r="G98" s="64" t="str"/>
      <x:c r="H98" s="86" t="str"/>
      <x:c r="I98" s="64" t="str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64" t="str"/>
      <x:c r="B99" s="64" t="str"/>
      <x:c r="C99" s="64" t="str"/>
      <x:c r="D99" s="66" t="str"/>
      <x:c r="E99" s="66" t="str"/>
      <x:c r="F99" s="64" t="str"/>
      <x:c r="G99" s="64" t="str"/>
      <x:c r="H99" s="86" t="str"/>
      <x:c r="I99" s="64" t="str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64" t="str"/>
      <x:c r="B100" s="64" t="str"/>
      <x:c r="C100" s="64" t="str"/>
      <x:c r="D100" s="66" t="str"/>
      <x:c r="E100" s="66" t="str"/>
      <x:c r="F100" s="64" t="str"/>
      <x:c r="G100" s="64" t="str"/>
      <x:c r="H100" s="86" t="str"/>
      <x:c r="I100" s="64" t="str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64" t="str"/>
      <x:c r="B101" s="64" t="str"/>
      <x:c r="C101" s="64" t="str"/>
      <x:c r="D101" s="66" t="str"/>
      <x:c r="E101" s="66" t="str"/>
      <x:c r="F101" s="64" t="str"/>
      <x:c r="G101" s="64" t="str"/>
      <x:c r="H101" s="86" t="str"/>
      <x:c r="I101" s="64" t="str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64" t="str"/>
      <x:c r="B102" s="64" t="str"/>
      <x:c r="C102" s="64" t="str"/>
      <x:c r="D102" s="66" t="str"/>
      <x:c r="E102" s="66" t="str"/>
      <x:c r="F102" s="64" t="str"/>
      <x:c r="G102" s="64" t="str"/>
      <x:c r="H102" s="86" t="str"/>
      <x:c r="I102" s="64" t="str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64" t="str"/>
      <x:c r="B103" s="64" t="str"/>
      <x:c r="C103" s="64" t="str"/>
      <x:c r="D103" s="66" t="str"/>
      <x:c r="E103" s="66" t="str"/>
      <x:c r="F103" s="64" t="str"/>
      <x:c r="G103" s="64" t="str"/>
      <x:c r="H103" s="86" t="str"/>
      <x:c r="I103" s="64" t="str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64" t="str"/>
      <x:c r="B104" s="64" t="str"/>
      <x:c r="C104" s="64" t="str"/>
      <x:c r="D104" s="66" t="str"/>
      <x:c r="E104" s="66" t="str"/>
      <x:c r="F104" s="64" t="str"/>
      <x:c r="G104" s="64" t="str"/>
      <x:c r="H104" s="86" t="str"/>
      <x:c r="I104" s="64" t="str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64" t="str"/>
      <x:c r="B105" s="64" t="str"/>
      <x:c r="C105" s="64" t="str"/>
      <x:c r="D105" s="66" t="str"/>
      <x:c r="E105" s="66" t="str"/>
      <x:c r="F105" s="64" t="str"/>
      <x:c r="G105" s="64" t="str"/>
      <x:c r="H105" s="86" t="str"/>
      <x:c r="I105" s="64" t="str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64" t="str"/>
      <x:c r="B106" s="64" t="str"/>
      <x:c r="C106" s="64" t="str"/>
      <x:c r="D106" s="66" t="str"/>
      <x:c r="E106" s="66" t="str"/>
      <x:c r="F106" s="64" t="str"/>
      <x:c r="G106" s="64" t="str"/>
      <x:c r="H106" s="86" t="str"/>
      <x:c r="I106" s="64" t="str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64" t="str"/>
      <x:c r="B107" s="64" t="str"/>
      <x:c r="C107" s="64" t="str"/>
      <x:c r="D107" s="66" t="str"/>
      <x:c r="E107" s="66" t="str"/>
      <x:c r="F107" s="64" t="str"/>
      <x:c r="G107" s="64" t="str"/>
      <x:c r="H107" s="86" t="str"/>
      <x:c r="I107" s="64" t="str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64" t="str"/>
      <x:c r="B108" s="64" t="str"/>
      <x:c r="C108" s="64" t="str"/>
      <x:c r="D108" s="66" t="str"/>
      <x:c r="E108" s="66" t="str"/>
      <x:c r="F108" s="64" t="str"/>
      <x:c r="G108" s="64" t="str"/>
      <x:c r="H108" s="86" t="str"/>
      <x:c r="I108" s="64" t="str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64" t="str"/>
      <x:c r="B109" s="64" t="str"/>
      <x:c r="C109" s="64" t="str"/>
      <x:c r="D109" s="66" t="str"/>
      <x:c r="E109" s="66" t="str"/>
      <x:c r="F109" s="64" t="str"/>
      <x:c r="G109" s="64" t="str"/>
      <x:c r="H109" s="86" t="str"/>
      <x:c r="I109" s="64" t="str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64" t="str"/>
      <x:c r="B110" s="64" t="str"/>
      <x:c r="C110" s="64" t="str"/>
      <x:c r="D110" s="66" t="str"/>
      <x:c r="E110" s="66" t="str"/>
      <x:c r="F110" s="64" t="str"/>
      <x:c r="G110" s="64" t="str"/>
      <x:c r="H110" s="86" t="str"/>
      <x:c r="I110" s="64" t="str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64" t="str"/>
      <x:c r="B111" s="64" t="str"/>
      <x:c r="C111" s="64" t="str"/>
      <x:c r="D111" s="66" t="str"/>
      <x:c r="E111" s="66" t="str"/>
      <x:c r="F111" s="64" t="str"/>
      <x:c r="G111" s="64" t="str"/>
      <x:c r="H111" s="86" t="str"/>
      <x:c r="I111" s="64" t="str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64" t="str"/>
      <x:c r="B112" s="64" t="str"/>
      <x:c r="C112" s="64" t="str"/>
      <x:c r="D112" s="66" t="str"/>
      <x:c r="E112" s="66" t="str"/>
      <x:c r="F112" s="64" t="str"/>
      <x:c r="G112" s="64" t="str"/>
      <x:c r="H112" s="86" t="str"/>
      <x:c r="I112" s="64" t="str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64" t="str"/>
      <x:c r="B113" s="64" t="str"/>
      <x:c r="C113" s="64" t="str"/>
      <x:c r="D113" s="66" t="str"/>
      <x:c r="E113" s="66" t="str"/>
      <x:c r="F113" s="64" t="str"/>
      <x:c r="G113" s="64" t="str"/>
      <x:c r="H113" s="86" t="str"/>
      <x:c r="I113" s="64" t="str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64" t="str"/>
      <x:c r="B114" s="64" t="str"/>
      <x:c r="C114" s="64" t="str"/>
      <x:c r="D114" s="66" t="str"/>
      <x:c r="E114" s="66" t="str"/>
      <x:c r="F114" s="64" t="str"/>
      <x:c r="G114" s="64" t="str"/>
      <x:c r="H114" s="86" t="str"/>
      <x:c r="I114" s="64" t="str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64" t="str"/>
      <x:c r="B115" s="64" t="str"/>
      <x:c r="C115" s="64" t="str"/>
      <x:c r="D115" s="66" t="str"/>
      <x:c r="E115" s="66" t="str"/>
      <x:c r="F115" s="64" t="str"/>
      <x:c r="G115" s="64" t="str"/>
      <x:c r="H115" s="86" t="str"/>
      <x:c r="I115" s="64" t="str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64" t="str"/>
      <x:c r="B116" s="64" t="str"/>
      <x:c r="C116" s="64" t="str"/>
      <x:c r="D116" s="66" t="str"/>
      <x:c r="E116" s="66" t="str"/>
      <x:c r="F116" s="64" t="str"/>
      <x:c r="G116" s="64" t="str"/>
      <x:c r="H116" s="86" t="str"/>
      <x:c r="I116" s="64" t="str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64" t="str"/>
      <x:c r="B117" s="64" t="str"/>
      <x:c r="C117" s="64" t="str"/>
      <x:c r="D117" s="66" t="str"/>
      <x:c r="E117" s="66" t="str"/>
      <x:c r="F117" s="64" t="str"/>
      <x:c r="G117" s="64" t="str"/>
      <x:c r="H117" s="86" t="str"/>
      <x:c r="I117" s="64" t="str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64" t="str"/>
      <x:c r="B118" s="64" t="str"/>
      <x:c r="C118" s="64" t="str"/>
      <x:c r="D118" s="66" t="str"/>
      <x:c r="E118" s="66" t="str"/>
      <x:c r="F118" s="64" t="str"/>
      <x:c r="G118" s="64" t="str"/>
      <x:c r="H118" s="86" t="str"/>
      <x:c r="I118" s="64" t="str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64" t="str"/>
      <x:c r="B119" s="64" t="str"/>
      <x:c r="C119" s="64" t="str"/>
      <x:c r="D119" s="66" t="str"/>
      <x:c r="E119" s="66" t="str"/>
      <x:c r="F119" s="64" t="str"/>
      <x:c r="G119" s="64" t="str"/>
      <x:c r="H119" s="86" t="str"/>
      <x:c r="I119" s="64" t="str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64" t="str"/>
      <x:c r="B120" s="64" t="str"/>
      <x:c r="C120" s="64" t="str"/>
      <x:c r="D120" s="66" t="str"/>
      <x:c r="E120" s="66" t="str"/>
      <x:c r="F120" s="64" t="str"/>
      <x:c r="G120" s="64" t="str"/>
      <x:c r="H120" s="86" t="str"/>
      <x:c r="I120" s="64" t="str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64" t="str"/>
      <x:c r="B121" s="64" t="str"/>
      <x:c r="C121" s="64" t="str"/>
      <x:c r="D121" s="66" t="str"/>
      <x:c r="E121" s="66" t="str"/>
      <x:c r="F121" s="64" t="str"/>
      <x:c r="G121" s="64" t="str"/>
      <x:c r="H121" s="86" t="str"/>
      <x:c r="I121" s="64" t="str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64" t="str"/>
      <x:c r="B122" s="64" t="str"/>
      <x:c r="C122" s="64" t="str"/>
      <x:c r="D122" s="66" t="str"/>
      <x:c r="E122" s="66" t="str"/>
      <x:c r="F122" s="64" t="str"/>
      <x:c r="G122" s="64" t="str"/>
      <x:c r="H122" s="86" t="str"/>
      <x:c r="I122" s="64" t="str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64" t="str"/>
      <x:c r="B123" s="64" t="str"/>
      <x:c r="C123" s="64" t="str"/>
      <x:c r="D123" s="66" t="str"/>
      <x:c r="E123" s="66" t="str"/>
      <x:c r="F123" s="64" t="str"/>
      <x:c r="G123" s="64" t="str"/>
      <x:c r="H123" s="86" t="str"/>
      <x:c r="I123" s="64" t="str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64" t="str"/>
      <x:c r="B124" s="64" t="str"/>
      <x:c r="C124" s="64" t="str"/>
      <x:c r="D124" s="66" t="str"/>
      <x:c r="E124" s="66" t="str"/>
      <x:c r="F124" s="64" t="str"/>
      <x:c r="G124" s="64" t="str"/>
      <x:c r="H124" s="86" t="str"/>
      <x:c r="I124" s="64" t="str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64" t="str"/>
      <x:c r="B125" s="64" t="str"/>
      <x:c r="C125" s="64" t="str"/>
      <x:c r="D125" s="66" t="str"/>
      <x:c r="E125" s="66" t="str"/>
      <x:c r="F125" s="64" t="str"/>
      <x:c r="G125" s="64" t="str"/>
      <x:c r="H125" s="86" t="str"/>
      <x:c r="I125" s="64" t="str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64" t="str"/>
      <x:c r="B126" s="64" t="str"/>
      <x:c r="C126" s="64" t="str"/>
      <x:c r="D126" s="66" t="str"/>
      <x:c r="E126" s="66" t="str"/>
      <x:c r="F126" s="64" t="str"/>
      <x:c r="G126" s="64" t="str"/>
      <x:c r="H126" s="86" t="str"/>
      <x:c r="I126" s="64" t="str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64" t="str"/>
      <x:c r="B127" s="64" t="str"/>
      <x:c r="C127" s="64" t="str"/>
      <x:c r="D127" s="66" t="str"/>
      <x:c r="E127" s="66" t="str"/>
      <x:c r="F127" s="64" t="str"/>
      <x:c r="G127" s="64" t="str"/>
      <x:c r="H127" s="86" t="str"/>
      <x:c r="I127" s="64" t="str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64" t="str"/>
      <x:c r="B128" s="64" t="str"/>
      <x:c r="C128" s="64" t="str"/>
      <x:c r="D128" s="66" t="str"/>
      <x:c r="E128" s="66" t="str"/>
      <x:c r="F128" s="64" t="str"/>
      <x:c r="G128" s="64" t="str"/>
      <x:c r="H128" s="86" t="str"/>
      <x:c r="I128" s="64" t="str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64" t="str"/>
      <x:c r="B129" s="64" t="str"/>
      <x:c r="C129" s="64" t="str"/>
      <x:c r="D129" s="66" t="str"/>
      <x:c r="E129" s="66" t="str"/>
      <x:c r="F129" s="64" t="str"/>
      <x:c r="G129" s="64" t="str"/>
      <x:c r="H129" s="86" t="str"/>
      <x:c r="I129" s="64" t="str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64" t="str"/>
      <x:c r="B130" s="64" t="str"/>
      <x:c r="C130" s="64" t="str"/>
      <x:c r="D130" s="66" t="str"/>
      <x:c r="E130" s="66" t="str"/>
      <x:c r="F130" s="64" t="str"/>
      <x:c r="G130" s="64" t="str"/>
      <x:c r="H130" s="86" t="str"/>
      <x:c r="I130" s="64" t="str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64" t="str"/>
      <x:c r="B131" s="64" t="str"/>
      <x:c r="C131" s="64" t="str"/>
      <x:c r="D131" s="66" t="str"/>
      <x:c r="E131" s="66" t="str"/>
      <x:c r="F131" s="64" t="str"/>
      <x:c r="G131" s="64" t="str"/>
      <x:c r="H131" s="86" t="str"/>
      <x:c r="I131" s="64" t="str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64" t="str"/>
      <x:c r="B132" s="64" t="str"/>
      <x:c r="C132" s="64" t="str"/>
      <x:c r="D132" s="66" t="str"/>
      <x:c r="E132" s="66" t="str"/>
      <x:c r="F132" s="64" t="str"/>
      <x:c r="G132" s="64" t="str"/>
      <x:c r="H132" s="86" t="str"/>
      <x:c r="I132" s="64" t="str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64" t="str"/>
      <x:c r="B133" s="64" t="str"/>
      <x:c r="C133" s="64" t="str"/>
      <x:c r="D133" s="66" t="str"/>
      <x:c r="E133" s="66" t="str"/>
      <x:c r="F133" s="64" t="str"/>
      <x:c r="G133" s="64" t="str"/>
      <x:c r="H133" s="86" t="str"/>
      <x:c r="I133" s="64" t="str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64" t="str"/>
      <x:c r="B134" s="64" t="str"/>
      <x:c r="C134" s="64" t="str"/>
      <x:c r="D134" s="66" t="str"/>
      <x:c r="E134" s="66" t="str"/>
      <x:c r="F134" s="64" t="str"/>
      <x:c r="G134" s="64" t="str"/>
      <x:c r="H134" s="86" t="str"/>
      <x:c r="I134" s="64" t="str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64" t="str"/>
      <x:c r="B135" s="64" t="str"/>
      <x:c r="C135" s="64" t="str"/>
      <x:c r="D135" s="66" t="str"/>
      <x:c r="E135" s="66" t="str"/>
      <x:c r="F135" s="64" t="str"/>
      <x:c r="G135" s="64" t="str"/>
      <x:c r="H135" s="86" t="str"/>
      <x:c r="I135" s="64" t="str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64" t="str"/>
      <x:c r="B136" s="64" t="str"/>
      <x:c r="C136" s="64" t="str"/>
      <x:c r="D136" s="66" t="str"/>
      <x:c r="E136" s="66" t="str"/>
      <x:c r="F136" s="64" t="str"/>
      <x:c r="G136" s="64" t="str"/>
      <x:c r="H136" s="86" t="str"/>
      <x:c r="I136" s="64" t="str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64" t="str"/>
      <x:c r="B137" s="64" t="str"/>
      <x:c r="C137" s="64" t="str"/>
      <x:c r="D137" s="66" t="str"/>
      <x:c r="E137" s="66" t="str"/>
      <x:c r="F137" s="64" t="str"/>
      <x:c r="G137" s="64" t="str"/>
      <x:c r="H137" s="86" t="str"/>
      <x:c r="I137" s="64" t="str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64" t="str"/>
      <x:c r="B138" s="64" t="str"/>
      <x:c r="C138" s="64" t="str"/>
      <x:c r="D138" s="66" t="str"/>
      <x:c r="E138" s="66" t="str"/>
      <x:c r="F138" s="64" t="str"/>
      <x:c r="G138" s="64" t="str"/>
      <x:c r="H138" s="86" t="str"/>
      <x:c r="I138" s="64" t="str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64" t="str"/>
      <x:c r="B139" s="64" t="str"/>
      <x:c r="C139" s="64" t="str"/>
      <x:c r="D139" s="66" t="str"/>
      <x:c r="E139" s="66" t="str"/>
      <x:c r="F139" s="64" t="str"/>
      <x:c r="G139" s="64" t="str"/>
      <x:c r="H139" s="86" t="str"/>
      <x:c r="I139" s="64" t="str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64" t="str"/>
      <x:c r="B140" s="64" t="str"/>
      <x:c r="C140" s="64" t="str"/>
      <x:c r="D140" s="66" t="str"/>
      <x:c r="E140" s="66" t="str"/>
      <x:c r="F140" s="64" t="str"/>
      <x:c r="G140" s="64" t="str"/>
      <x:c r="H140" s="86" t="str"/>
      <x:c r="I140" s="64" t="str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64" t="str"/>
      <x:c r="B141" s="64" t="str"/>
      <x:c r="C141" s="64" t="str"/>
      <x:c r="D141" s="66" t="str"/>
      <x:c r="E141" s="66" t="str"/>
      <x:c r="F141" s="64" t="str"/>
      <x:c r="G141" s="64" t="str"/>
      <x:c r="H141" s="86" t="str"/>
      <x:c r="I141" s="64" t="str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64" t="str"/>
      <x:c r="B142" s="64" t="str"/>
      <x:c r="C142" s="64" t="str"/>
      <x:c r="D142" s="66" t="str"/>
      <x:c r="E142" s="66" t="str"/>
      <x:c r="F142" s="64" t="str"/>
      <x:c r="G142" s="64" t="str"/>
      <x:c r="H142" s="86" t="str"/>
      <x:c r="I142" s="64" t="str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64" t="str"/>
      <x:c r="B143" s="64" t="str"/>
      <x:c r="C143" s="64" t="str"/>
      <x:c r="D143" s="66" t="str"/>
      <x:c r="E143" s="66" t="str"/>
      <x:c r="F143" s="64" t="str"/>
      <x:c r="G143" s="64" t="str"/>
      <x:c r="H143" s="86" t="str"/>
      <x:c r="I143" s="64" t="str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64" t="str"/>
      <x:c r="B144" s="64" t="str"/>
      <x:c r="C144" s="64" t="str"/>
      <x:c r="D144" s="66" t="str"/>
      <x:c r="E144" s="66" t="str"/>
      <x:c r="F144" s="64" t="str"/>
      <x:c r="G144" s="64" t="str"/>
      <x:c r="H144" s="86" t="str"/>
      <x:c r="I144" s="64" t="str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64" t="str"/>
      <x:c r="B145" s="64" t="str"/>
      <x:c r="C145" s="64" t="str"/>
      <x:c r="D145" s="66" t="str"/>
      <x:c r="E145" s="66" t="str"/>
      <x:c r="F145" s="64" t="str"/>
      <x:c r="G145" s="64" t="str"/>
      <x:c r="H145" s="86" t="str"/>
      <x:c r="I145" s="64" t="str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64" t="str"/>
      <x:c r="B146" s="64" t="str"/>
      <x:c r="C146" s="64" t="str"/>
      <x:c r="D146" s="66" t="str"/>
      <x:c r="E146" s="66" t="str"/>
      <x:c r="F146" s="64" t="str"/>
      <x:c r="G146" s="64" t="str"/>
      <x:c r="H146" s="86" t="str"/>
      <x:c r="I146" s="64" t="str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64" t="str"/>
      <x:c r="B147" s="64" t="str"/>
      <x:c r="C147" s="64" t="str"/>
      <x:c r="D147" s="66" t="str"/>
      <x:c r="E147" s="66" t="str"/>
      <x:c r="F147" s="64" t="str"/>
      <x:c r="G147" s="64" t="str"/>
      <x:c r="H147" s="86" t="str"/>
      <x:c r="I147" s="64" t="str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64" t="str"/>
      <x:c r="B148" s="64" t="str"/>
      <x:c r="C148" s="64" t="str"/>
      <x:c r="D148" s="66" t="str"/>
      <x:c r="E148" s="66" t="str"/>
      <x:c r="F148" s="64" t="str"/>
      <x:c r="G148" s="64" t="str"/>
      <x:c r="H148" s="86" t="str"/>
      <x:c r="I148" s="64" t="str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64" t="str"/>
      <x:c r="B149" s="64" t="str"/>
      <x:c r="C149" s="64" t="str"/>
      <x:c r="D149" s="66" t="str"/>
      <x:c r="E149" s="66" t="str"/>
      <x:c r="F149" s="64" t="str"/>
      <x:c r="G149" s="64" t="str"/>
      <x:c r="H149" s="86" t="str"/>
      <x:c r="I149" s="64" t="str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64" t="str"/>
      <x:c r="B150" s="64" t="str"/>
      <x:c r="C150" s="64" t="str"/>
      <x:c r="D150" s="66" t="str"/>
      <x:c r="E150" s="66" t="str"/>
      <x:c r="F150" s="64" t="str"/>
      <x:c r="G150" s="64" t="str"/>
      <x:c r="H150" s="86" t="str"/>
      <x:c r="I150" s="64" t="str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64" t="str"/>
      <x:c r="B151" s="64" t="str"/>
      <x:c r="C151" s="64" t="str"/>
      <x:c r="D151" s="66" t="str"/>
      <x:c r="E151" s="66" t="str"/>
      <x:c r="F151" s="64" t="str"/>
      <x:c r="G151" s="64" t="str"/>
      <x:c r="H151" s="86" t="str"/>
      <x:c r="I151" s="64" t="str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64" t="str"/>
      <x:c r="B152" s="64" t="str"/>
      <x:c r="C152" s="64" t="str"/>
      <x:c r="D152" s="66" t="str"/>
      <x:c r="E152" s="66" t="str"/>
      <x:c r="F152" s="64" t="str"/>
      <x:c r="G152" s="64" t="str"/>
      <x:c r="H152" s="86" t="str"/>
      <x:c r="I152" s="64" t="str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64" t="str"/>
      <x:c r="B153" s="64" t="str"/>
      <x:c r="C153" s="64" t="str"/>
      <x:c r="D153" s="66" t="str"/>
      <x:c r="E153" s="66" t="str"/>
      <x:c r="F153" s="64" t="str"/>
      <x:c r="G153" s="64" t="str"/>
      <x:c r="H153" s="86" t="str"/>
      <x:c r="I153" s="64" t="str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64" t="str"/>
      <x:c r="B154" s="64" t="str"/>
      <x:c r="C154" s="64" t="str"/>
      <x:c r="D154" s="66" t="str"/>
      <x:c r="E154" s="66" t="str"/>
      <x:c r="F154" s="64" t="str"/>
      <x:c r="G154" s="64" t="str"/>
      <x:c r="H154" s="86" t="str"/>
      <x:c r="I154" s="64" t="str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64" t="str"/>
      <x:c r="B155" s="64" t="str"/>
      <x:c r="C155" s="64" t="str"/>
      <x:c r="D155" s="66" t="str"/>
      <x:c r="E155" s="66" t="str"/>
      <x:c r="F155" s="64" t="str"/>
      <x:c r="G155" s="64" t="str"/>
      <x:c r="H155" s="86" t="str"/>
      <x:c r="I155" s="64" t="str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64" t="str"/>
      <x:c r="B156" s="64" t="str"/>
      <x:c r="C156" s="64" t="str"/>
      <x:c r="D156" s="66" t="str"/>
      <x:c r="E156" s="66" t="str"/>
      <x:c r="F156" s="64" t="str"/>
      <x:c r="G156" s="64" t="str"/>
      <x:c r="H156" s="86" t="str"/>
      <x:c r="I156" s="64" t="str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64" t="str"/>
      <x:c r="B157" s="64" t="str"/>
      <x:c r="C157" s="64" t="str"/>
      <x:c r="D157" s="66" t="str"/>
      <x:c r="E157" s="66" t="str"/>
      <x:c r="F157" s="64" t="str"/>
      <x:c r="G157" s="64" t="str"/>
      <x:c r="H157" s="86" t="str"/>
      <x:c r="I157" s="64" t="str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64" t="str"/>
      <x:c r="B158" s="64" t="str"/>
      <x:c r="C158" s="64" t="str"/>
      <x:c r="D158" s="66" t="str"/>
      <x:c r="E158" s="66" t="str"/>
      <x:c r="F158" s="64" t="str"/>
      <x:c r="G158" s="64" t="str"/>
      <x:c r="H158" s="86" t="str"/>
      <x:c r="I158" s="64" t="str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64" t="str"/>
      <x:c r="B159" s="64" t="str"/>
      <x:c r="C159" s="64" t="str"/>
      <x:c r="D159" s="66" t="str"/>
      <x:c r="E159" s="66" t="str"/>
      <x:c r="F159" s="64" t="str"/>
      <x:c r="G159" s="64" t="str"/>
      <x:c r="H159" s="86" t="str"/>
      <x:c r="I159" s="64" t="str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64" t="str"/>
      <x:c r="B160" s="64" t="str"/>
      <x:c r="C160" s="64" t="str"/>
      <x:c r="D160" s="66" t="str"/>
      <x:c r="E160" s="66" t="str"/>
      <x:c r="F160" s="64" t="str"/>
      <x:c r="G160" s="64" t="str"/>
      <x:c r="H160" s="86" t="str"/>
      <x:c r="I160" s="64" t="str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64" t="str"/>
      <x:c r="B161" s="64" t="str"/>
      <x:c r="C161" s="64" t="str"/>
      <x:c r="D161" s="66" t="str"/>
      <x:c r="E161" s="66" t="str"/>
      <x:c r="F161" s="64" t="str"/>
      <x:c r="G161" s="64" t="str"/>
      <x:c r="H161" s="86" t="str"/>
      <x:c r="I161" s="64" t="str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64" t="str"/>
      <x:c r="B162" s="64" t="str"/>
      <x:c r="C162" s="64" t="str"/>
      <x:c r="D162" s="66" t="str"/>
      <x:c r="E162" s="66" t="str"/>
      <x:c r="F162" s="64" t="str"/>
      <x:c r="G162" s="64" t="str"/>
      <x:c r="H162" s="86" t="str"/>
      <x:c r="I162" s="64" t="str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64" t="str"/>
      <x:c r="B163" s="64" t="str"/>
      <x:c r="C163" s="64" t="str"/>
      <x:c r="D163" s="66" t="str"/>
      <x:c r="E163" s="66" t="str"/>
      <x:c r="F163" s="64" t="str"/>
      <x:c r="G163" s="64" t="str"/>
      <x:c r="H163" s="86" t="str"/>
      <x:c r="I163" s="64" t="str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64" t="str"/>
      <x:c r="B164" s="64" t="str"/>
      <x:c r="C164" s="64" t="str"/>
      <x:c r="D164" s="66" t="str"/>
      <x:c r="E164" s="66" t="str"/>
      <x:c r="F164" s="64" t="str"/>
      <x:c r="G164" s="64" t="str"/>
      <x:c r="H164" s="86" t="str"/>
      <x:c r="I164" s="64" t="str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64" t="str"/>
      <x:c r="B165" s="64" t="str"/>
      <x:c r="C165" s="64" t="str"/>
      <x:c r="D165" s="66" t="str"/>
      <x:c r="E165" s="66" t="str"/>
      <x:c r="F165" s="64" t="str"/>
      <x:c r="G165" s="64" t="str"/>
      <x:c r="H165" s="86" t="str"/>
      <x:c r="I165" s="64" t="str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64" t="str"/>
      <x:c r="B166" s="64" t="str"/>
      <x:c r="C166" s="64" t="str"/>
      <x:c r="D166" s="66" t="str"/>
      <x:c r="E166" s="66" t="str"/>
      <x:c r="F166" s="64" t="str"/>
      <x:c r="G166" s="64" t="str"/>
      <x:c r="H166" s="86" t="str"/>
      <x:c r="I166" s="64" t="str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64" t="str"/>
      <x:c r="B167" s="64" t="str"/>
      <x:c r="C167" s="64" t="str"/>
      <x:c r="D167" s="66" t="str"/>
      <x:c r="E167" s="66" t="str"/>
      <x:c r="F167" s="64" t="str"/>
      <x:c r="G167" s="64" t="str"/>
      <x:c r="H167" s="86" t="str"/>
      <x:c r="I167" s="64" t="str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64" t="str"/>
      <x:c r="B168" s="64" t="str"/>
      <x:c r="C168" s="64" t="str"/>
      <x:c r="D168" s="66" t="str"/>
      <x:c r="E168" s="66" t="str"/>
      <x:c r="F168" s="64" t="str"/>
      <x:c r="G168" s="64" t="str"/>
      <x:c r="H168" s="86" t="str"/>
      <x:c r="I168" s="64" t="str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64" t="str"/>
      <x:c r="B169" s="64" t="str"/>
      <x:c r="C169" s="64" t="str"/>
      <x:c r="D169" s="66" t="str"/>
      <x:c r="E169" s="66" t="str"/>
      <x:c r="F169" s="64" t="str"/>
      <x:c r="G169" s="64" t="str"/>
      <x:c r="H169" s="86" t="str"/>
      <x:c r="I169" s="64" t="str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64" t="str"/>
      <x:c r="B170" s="64" t="str"/>
      <x:c r="C170" s="64" t="str"/>
      <x:c r="D170" s="66" t="str"/>
      <x:c r="E170" s="66" t="str"/>
      <x:c r="F170" s="64" t="str"/>
      <x:c r="G170" s="64" t="str"/>
      <x:c r="H170" s="86" t="str"/>
      <x:c r="I170" s="64" t="str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64" t="str"/>
      <x:c r="B171" s="64" t="str"/>
      <x:c r="C171" s="64" t="str"/>
      <x:c r="D171" s="66" t="str"/>
      <x:c r="E171" s="66" t="str"/>
      <x:c r="F171" s="64" t="str"/>
      <x:c r="G171" s="64" t="str"/>
      <x:c r="H171" s="86" t="str"/>
      <x:c r="I171" s="64" t="str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64" t="str"/>
      <x:c r="B172" s="64" t="str"/>
      <x:c r="C172" s="64" t="str"/>
      <x:c r="D172" s="66" t="str"/>
      <x:c r="E172" s="66" t="str"/>
      <x:c r="F172" s="64" t="str"/>
      <x:c r="G172" s="64" t="str"/>
      <x:c r="H172" s="86" t="str"/>
      <x:c r="I172" s="64" t="str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64" t="str"/>
      <x:c r="B173" s="64" t="str"/>
      <x:c r="C173" s="64" t="str"/>
      <x:c r="D173" s="66" t="str"/>
      <x:c r="E173" s="66" t="str"/>
      <x:c r="F173" s="64" t="str"/>
      <x:c r="G173" s="64" t="str"/>
      <x:c r="H173" s="86" t="str"/>
      <x:c r="I173" s="64" t="str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64" t="str"/>
      <x:c r="B174" s="64" t="str"/>
      <x:c r="C174" s="64" t="str"/>
      <x:c r="D174" s="66" t="str"/>
      <x:c r="E174" s="66" t="str"/>
      <x:c r="F174" s="64" t="str"/>
      <x:c r="G174" s="64" t="str"/>
      <x:c r="H174" s="86" t="str"/>
      <x:c r="I174" s="64" t="str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64" t="str"/>
      <x:c r="B175" s="64" t="str"/>
      <x:c r="C175" s="64" t="str"/>
      <x:c r="D175" s="66" t="str"/>
      <x:c r="E175" s="66" t="str"/>
      <x:c r="F175" s="64" t="str"/>
      <x:c r="G175" s="64" t="str"/>
      <x:c r="H175" s="86" t="str"/>
      <x:c r="I175" s="64" t="str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64" t="str"/>
      <x:c r="B176" s="64" t="str"/>
      <x:c r="C176" s="64" t="str"/>
      <x:c r="D176" s="66" t="str"/>
      <x:c r="E176" s="66" t="str"/>
      <x:c r="F176" s="64" t="str"/>
      <x:c r="G176" s="64" t="str"/>
      <x:c r="H176" s="86" t="str"/>
      <x:c r="I176" s="64" t="str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64" t="str"/>
      <x:c r="B177" s="64" t="str"/>
      <x:c r="C177" s="64" t="str"/>
      <x:c r="D177" s="66" t="str"/>
      <x:c r="E177" s="66" t="str"/>
      <x:c r="F177" s="64" t="str"/>
      <x:c r="G177" s="64" t="str"/>
      <x:c r="H177" s="86" t="str"/>
      <x:c r="I177" s="64" t="str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64" t="str"/>
      <x:c r="B178" s="64" t="str"/>
      <x:c r="C178" s="64" t="str"/>
      <x:c r="D178" s="66" t="str"/>
      <x:c r="E178" s="66" t="str"/>
      <x:c r="F178" s="64" t="str"/>
      <x:c r="G178" s="64" t="str"/>
      <x:c r="H178" s="86" t="str"/>
      <x:c r="I178" s="64" t="str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64" t="str"/>
      <x:c r="B179" s="64" t="str"/>
      <x:c r="C179" s="64" t="str"/>
      <x:c r="D179" s="66" t="str"/>
      <x:c r="E179" s="66" t="str"/>
      <x:c r="F179" s="64" t="str"/>
      <x:c r="G179" s="64" t="str"/>
      <x:c r="H179" s="86" t="str"/>
      <x:c r="I179" s="64" t="str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64" t="str"/>
      <x:c r="B180" s="64" t="str"/>
      <x:c r="C180" s="64" t="str"/>
      <x:c r="D180" s="66" t="str"/>
      <x:c r="E180" s="66" t="str"/>
      <x:c r="F180" s="64" t="str"/>
      <x:c r="G180" s="64" t="str"/>
      <x:c r="H180" s="86" t="str"/>
      <x:c r="I180" s="64" t="str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64" t="str"/>
      <x:c r="B181" s="64" t="str"/>
      <x:c r="C181" s="64" t="str"/>
      <x:c r="D181" s="66" t="str"/>
      <x:c r="E181" s="66" t="str"/>
      <x:c r="F181" s="64" t="str"/>
      <x:c r="G181" s="64" t="str"/>
      <x:c r="H181" s="86" t="str"/>
      <x:c r="I181" s="64" t="str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64" t="str"/>
      <x:c r="B182" s="64" t="str"/>
      <x:c r="C182" s="64" t="str"/>
      <x:c r="D182" s="66" t="str"/>
      <x:c r="E182" s="66" t="str"/>
      <x:c r="F182" s="64" t="str"/>
      <x:c r="G182" s="64" t="str"/>
      <x:c r="H182" s="86" t="str"/>
      <x:c r="I182" s="64" t="str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64" t="str"/>
      <x:c r="B183" s="64" t="str"/>
      <x:c r="C183" s="64" t="str"/>
      <x:c r="D183" s="66" t="str"/>
      <x:c r="E183" s="66" t="str"/>
      <x:c r="F183" s="64" t="str"/>
      <x:c r="G183" s="64" t="str"/>
      <x:c r="H183" s="86" t="str"/>
      <x:c r="I183" s="64" t="str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64" t="str"/>
      <x:c r="B184" s="64" t="str"/>
      <x:c r="C184" s="64" t="str"/>
      <x:c r="D184" s="66" t="str"/>
      <x:c r="E184" s="66" t="str"/>
      <x:c r="F184" s="64" t="str"/>
      <x:c r="G184" s="64" t="str"/>
      <x:c r="H184" s="86" t="str"/>
      <x:c r="I184" s="64" t="str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64" t="str"/>
      <x:c r="B185" s="64" t="str"/>
      <x:c r="C185" s="64" t="str"/>
      <x:c r="D185" s="66" t="str"/>
      <x:c r="E185" s="66" t="str"/>
      <x:c r="F185" s="64" t="str"/>
      <x:c r="G185" s="64" t="str"/>
      <x:c r="H185" s="86" t="str"/>
      <x:c r="I185" s="64" t="str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64" t="str"/>
      <x:c r="B186" s="64" t="str"/>
      <x:c r="C186" s="64" t="str"/>
      <x:c r="D186" s="66" t="str"/>
      <x:c r="E186" s="66" t="str"/>
      <x:c r="F186" s="64" t="str"/>
      <x:c r="G186" s="64" t="str"/>
      <x:c r="H186" s="86" t="str"/>
      <x:c r="I186" s="64" t="str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64" t="str"/>
      <x:c r="B187" s="64" t="str"/>
      <x:c r="C187" s="64" t="str"/>
      <x:c r="D187" s="66" t="str"/>
      <x:c r="E187" s="66" t="str"/>
      <x:c r="F187" s="64" t="str"/>
      <x:c r="G187" s="64" t="str"/>
      <x:c r="H187" s="86" t="str"/>
      <x:c r="I187" s="64" t="str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64" t="str"/>
      <x:c r="B188" s="64" t="str"/>
      <x:c r="C188" s="64" t="str"/>
      <x:c r="D188" s="66" t="str"/>
      <x:c r="E188" s="66" t="str"/>
      <x:c r="F188" s="64" t="str"/>
      <x:c r="G188" s="64" t="str"/>
      <x:c r="H188" s="86" t="str"/>
      <x:c r="I188" s="64" t="str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64" t="str"/>
      <x:c r="B189" s="64" t="str"/>
      <x:c r="C189" s="64" t="str"/>
      <x:c r="D189" s="66" t="str"/>
      <x:c r="E189" s="66" t="str"/>
      <x:c r="F189" s="64" t="str"/>
      <x:c r="G189" s="64" t="str"/>
      <x:c r="H189" s="86" t="str"/>
      <x:c r="I189" s="64" t="str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64" t="str"/>
      <x:c r="B190" s="64" t="str"/>
      <x:c r="C190" s="64" t="str"/>
      <x:c r="D190" s="66" t="str"/>
      <x:c r="E190" s="66" t="str"/>
      <x:c r="F190" s="64" t="str"/>
      <x:c r="G190" s="64" t="str"/>
      <x:c r="H190" s="86" t="str"/>
      <x:c r="I190" s="64" t="str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64" t="str"/>
      <x:c r="B191" s="64" t="str"/>
      <x:c r="C191" s="64" t="str"/>
      <x:c r="D191" s="66" t="str"/>
      <x:c r="E191" s="66" t="str"/>
      <x:c r="F191" s="64" t="str"/>
      <x:c r="G191" s="64" t="str"/>
      <x:c r="H191" s="86" t="str"/>
      <x:c r="I191" s="64" t="str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64" t="str"/>
      <x:c r="B192" s="64" t="str"/>
      <x:c r="C192" s="64" t="str"/>
      <x:c r="D192" s="66" t="str"/>
      <x:c r="E192" s="66" t="str"/>
      <x:c r="F192" s="64" t="str"/>
      <x:c r="G192" s="64" t="str"/>
      <x:c r="H192" s="86" t="str"/>
      <x:c r="I192" s="64" t="str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64" t="str"/>
      <x:c r="B193" s="64" t="str"/>
      <x:c r="C193" s="64" t="str"/>
      <x:c r="D193" s="66" t="str"/>
      <x:c r="E193" s="66" t="str"/>
      <x:c r="F193" s="64" t="str"/>
      <x:c r="G193" s="64" t="str"/>
      <x:c r="H193" s="86" t="str"/>
      <x:c r="I193" s="64" t="str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64" t="str"/>
      <x:c r="B194" s="64" t="str"/>
      <x:c r="C194" s="64" t="str"/>
      <x:c r="D194" s="66" t="str"/>
      <x:c r="E194" s="66" t="str"/>
      <x:c r="F194" s="64" t="str"/>
      <x:c r="G194" s="64" t="str"/>
      <x:c r="H194" s="86" t="str"/>
      <x:c r="I194" s="64" t="str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64" t="str"/>
      <x:c r="B195" s="64" t="str"/>
      <x:c r="C195" s="64" t="str"/>
      <x:c r="D195" s="66" t="str"/>
      <x:c r="E195" s="66" t="str"/>
      <x:c r="F195" s="64" t="str"/>
      <x:c r="G195" s="64" t="str"/>
      <x:c r="H195" s="86" t="str"/>
      <x:c r="I195" s="64" t="str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64" t="str"/>
      <x:c r="B196" s="64" t="str"/>
      <x:c r="C196" s="64" t="str"/>
      <x:c r="D196" s="66" t="str"/>
      <x:c r="E196" s="66" t="str"/>
      <x:c r="F196" s="64" t="str"/>
      <x:c r="G196" s="64" t="str"/>
      <x:c r="H196" s="86" t="str"/>
      <x:c r="I196" s="64" t="str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64" t="str"/>
      <x:c r="B197" s="64" t="str"/>
      <x:c r="C197" s="64" t="str"/>
      <x:c r="D197" s="66" t="str"/>
      <x:c r="E197" s="66" t="str"/>
      <x:c r="F197" s="64" t="str"/>
      <x:c r="G197" s="64" t="str"/>
      <x:c r="H197" s="86" t="str"/>
      <x:c r="I197" s="64" t="str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64" t="str"/>
      <x:c r="B198" s="64" t="str"/>
      <x:c r="C198" s="64" t="str"/>
      <x:c r="D198" s="66" t="str"/>
      <x:c r="E198" s="66" t="str"/>
      <x:c r="F198" s="64" t="str"/>
      <x:c r="G198" s="64" t="str"/>
      <x:c r="H198" s="86" t="str"/>
      <x:c r="I198" s="64" t="str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64" t="str"/>
      <x:c r="B199" s="64" t="str"/>
      <x:c r="C199" s="64" t="str"/>
      <x:c r="D199" s="66" t="str"/>
      <x:c r="E199" s="66" t="str"/>
      <x:c r="F199" s="64" t="str"/>
      <x:c r="G199" s="64" t="str"/>
      <x:c r="H199" s="86" t="str"/>
      <x:c r="I199" s="64" t="str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64" t="str"/>
      <x:c r="B200" s="64" t="str"/>
      <x:c r="C200" s="64" t="str"/>
      <x:c r="D200" s="66" t="str"/>
      <x:c r="E200" s="66" t="str"/>
      <x:c r="F200" s="64" t="str"/>
      <x:c r="G200" s="64" t="str"/>
      <x:c r="H200" s="86" t="str"/>
      <x:c r="I200" s="64" t="str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64" t="str"/>
      <x:c r="B201" s="64" t="str"/>
      <x:c r="C201" s="64" t="str"/>
      <x:c r="D201" s="66" t="str"/>
      <x:c r="E201" s="66" t="str"/>
      <x:c r="F201" s="64" t="str"/>
      <x:c r="G201" s="64" t="str"/>
      <x:c r="H201" s="86" t="str"/>
      <x:c r="I201" s="64" t="str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64" t="str"/>
      <x:c r="B202" s="64" t="str"/>
      <x:c r="C202" s="64" t="str"/>
      <x:c r="D202" s="66" t="str"/>
      <x:c r="E202" s="66" t="str"/>
      <x:c r="F202" s="64" t="str"/>
      <x:c r="G202" s="64" t="str"/>
      <x:c r="H202" s="86" t="str"/>
      <x:c r="I202" s="64" t="str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64" t="str"/>
      <x:c r="B203" s="64" t="str"/>
      <x:c r="C203" s="64" t="str"/>
      <x:c r="D203" s="66" t="str"/>
      <x:c r="E203" s="66" t="str"/>
      <x:c r="F203" s="64" t="str"/>
      <x:c r="G203" s="64" t="str"/>
      <x:c r="H203" s="86" t="str"/>
      <x:c r="I203" s="64" t="str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64" t="str"/>
      <x:c r="B204" s="64" t="str"/>
      <x:c r="C204" s="64" t="str"/>
      <x:c r="D204" s="66" t="str"/>
      <x:c r="E204" s="66" t="str"/>
      <x:c r="F204" s="64" t="str"/>
      <x:c r="G204" s="64" t="str"/>
      <x:c r="H204" s="86" t="str"/>
      <x:c r="I204" s="64" t="str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64" t="str"/>
      <x:c r="B205" s="64" t="str"/>
      <x:c r="C205" s="64" t="str"/>
      <x:c r="D205" s="66" t="str"/>
      <x:c r="E205" s="66" t="str"/>
      <x:c r="F205" s="64" t="str"/>
      <x:c r="G205" s="64" t="str"/>
      <x:c r="H205" s="86" t="str"/>
      <x:c r="I205" s="64" t="str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64" t="str"/>
      <x:c r="B206" s="64" t="str"/>
      <x:c r="C206" s="64" t="str"/>
      <x:c r="D206" s="66" t="str"/>
      <x:c r="E206" s="66" t="str"/>
      <x:c r="F206" s="64" t="str"/>
      <x:c r="G206" s="64" t="str"/>
      <x:c r="H206" s="86" t="str"/>
      <x:c r="I206" s="64" t="str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64" t="str"/>
      <x:c r="B207" s="64" t="str"/>
      <x:c r="C207" s="64" t="str"/>
      <x:c r="D207" s="66" t="str"/>
      <x:c r="E207" s="66" t="str"/>
      <x:c r="F207" s="64" t="str"/>
      <x:c r="G207" s="64" t="str"/>
      <x:c r="H207" s="86" t="str"/>
      <x:c r="I207" s="64" t="str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64" t="str"/>
      <x:c r="B208" s="64" t="str"/>
      <x:c r="C208" s="64" t="str"/>
      <x:c r="D208" s="66" t="str"/>
      <x:c r="E208" s="66" t="str"/>
      <x:c r="F208" s="64" t="str"/>
      <x:c r="G208" s="64" t="str"/>
      <x:c r="H208" s="86" t="str"/>
      <x:c r="I208" s="64" t="str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64" t="str"/>
      <x:c r="B209" s="64" t="str"/>
      <x:c r="C209" s="64" t="str"/>
      <x:c r="D209" s="66" t="str"/>
      <x:c r="E209" s="66" t="str"/>
      <x:c r="F209" s="64" t="str"/>
      <x:c r="G209" s="64" t="str"/>
      <x:c r="H209" s="86" t="str"/>
      <x:c r="I209" s="64" t="str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64" t="str"/>
      <x:c r="B210" s="64" t="str"/>
      <x:c r="C210" s="64" t="str"/>
      <x:c r="D210" s="66" t="str"/>
      <x:c r="E210" s="66" t="str"/>
      <x:c r="F210" s="64" t="str"/>
      <x:c r="G210" s="64" t="str"/>
      <x:c r="H210" s="86" t="str"/>
      <x:c r="I210" s="64" t="str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64" t="str"/>
      <x:c r="B211" s="64" t="str"/>
      <x:c r="C211" s="64" t="str"/>
      <x:c r="D211" s="66" t="str"/>
      <x:c r="E211" s="66" t="str"/>
      <x:c r="F211" s="64" t="str"/>
      <x:c r="G211" s="64" t="str"/>
      <x:c r="H211" s="86" t="str"/>
      <x:c r="I211" s="64" t="str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64" t="str"/>
      <x:c r="B212" s="64" t="str"/>
      <x:c r="C212" s="64" t="str"/>
      <x:c r="D212" s="66" t="str"/>
      <x:c r="E212" s="66" t="str"/>
      <x:c r="F212" s="64" t="str"/>
      <x:c r="G212" s="64" t="str"/>
      <x:c r="H212" s="86" t="str"/>
      <x:c r="I212" s="64" t="str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64" t="str"/>
      <x:c r="B213" s="64" t="str"/>
      <x:c r="C213" s="64" t="str"/>
      <x:c r="D213" s="66" t="str"/>
      <x:c r="E213" s="66" t="str"/>
      <x:c r="F213" s="64" t="str"/>
      <x:c r="G213" s="64" t="str"/>
      <x:c r="H213" s="86" t="str"/>
      <x:c r="I213" s="64" t="str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64" t="str"/>
      <x:c r="B214" s="64" t="str"/>
      <x:c r="C214" s="64" t="str"/>
      <x:c r="D214" s="66" t="str"/>
      <x:c r="E214" s="66" t="str"/>
      <x:c r="F214" s="64" t="str"/>
      <x:c r="G214" s="64" t="str"/>
      <x:c r="H214" s="86" t="str"/>
      <x:c r="I214" s="64" t="str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64" t="str"/>
      <x:c r="B215" s="64" t="str"/>
      <x:c r="C215" s="64" t="str"/>
      <x:c r="D215" s="66" t="str"/>
      <x:c r="E215" s="66" t="str"/>
      <x:c r="F215" s="64" t="str"/>
      <x:c r="G215" s="64" t="str"/>
      <x:c r="H215" s="86" t="str"/>
      <x:c r="I215" s="64" t="str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64" t="str"/>
      <x:c r="B216" s="64" t="str"/>
      <x:c r="C216" s="64" t="str"/>
      <x:c r="D216" s="66" t="str"/>
      <x:c r="E216" s="66" t="str"/>
      <x:c r="F216" s="64" t="str"/>
      <x:c r="G216" s="64" t="str"/>
      <x:c r="H216" s="86" t="str"/>
      <x:c r="I216" s="64" t="str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64" t="str"/>
      <x:c r="B217" s="64" t="str"/>
      <x:c r="C217" s="64" t="str"/>
      <x:c r="D217" s="66" t="str"/>
      <x:c r="E217" s="66" t="str"/>
      <x:c r="F217" s="64" t="str"/>
      <x:c r="G217" s="64" t="str"/>
      <x:c r="H217" s="86" t="str"/>
      <x:c r="I217" s="64" t="str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64" t="str"/>
      <x:c r="B218" s="64" t="str"/>
      <x:c r="C218" s="64" t="str"/>
      <x:c r="D218" s="66" t="str"/>
      <x:c r="E218" s="66" t="str"/>
      <x:c r="F218" s="64" t="str"/>
      <x:c r="G218" s="64" t="str"/>
      <x:c r="H218" s="86" t="str"/>
      <x:c r="I218" s="64" t="str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64" t="str"/>
      <x:c r="B219" s="64" t="str"/>
      <x:c r="C219" s="64" t="str"/>
      <x:c r="D219" s="66" t="str"/>
      <x:c r="E219" s="66" t="str"/>
      <x:c r="F219" s="64" t="str"/>
      <x:c r="G219" s="64" t="str"/>
      <x:c r="H219" s="86" t="str"/>
      <x:c r="I219" s="64" t="str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64" t="str"/>
      <x:c r="B220" s="64" t="str"/>
      <x:c r="C220" s="64" t="str"/>
      <x:c r="D220" s="66" t="str"/>
      <x:c r="E220" s="66" t="str"/>
      <x:c r="F220" s="64" t="str"/>
      <x:c r="G220" s="64" t="str"/>
      <x:c r="H220" s="86" t="str"/>
      <x:c r="I220" s="64" t="str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64" t="str"/>
      <x:c r="B221" s="64" t="str"/>
      <x:c r="C221" s="64" t="str"/>
      <x:c r="D221" s="66" t="str"/>
      <x:c r="E221" s="66" t="str"/>
      <x:c r="F221" s="64" t="str"/>
      <x:c r="G221" s="64" t="str"/>
      <x:c r="H221" s="86" t="str"/>
      <x:c r="I221" s="64" t="str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64" t="str"/>
      <x:c r="B222" s="64" t="str"/>
      <x:c r="C222" s="64" t="str"/>
      <x:c r="D222" s="66" t="str"/>
      <x:c r="E222" s="66" t="str"/>
      <x:c r="F222" s="64" t="str"/>
      <x:c r="G222" s="64" t="str"/>
      <x:c r="H222" s="86" t="str"/>
      <x:c r="I222" s="64" t="str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64" t="str"/>
      <x:c r="B223" s="64" t="str"/>
      <x:c r="C223" s="64" t="str"/>
      <x:c r="D223" s="66" t="str"/>
      <x:c r="E223" s="66" t="str"/>
      <x:c r="F223" s="64" t="str"/>
      <x:c r="G223" s="64" t="str"/>
      <x:c r="H223" s="86" t="str"/>
      <x:c r="I223" s="64" t="str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64" t="str"/>
      <x:c r="B224" s="64" t="str"/>
      <x:c r="C224" s="64" t="str"/>
      <x:c r="D224" s="66" t="str"/>
      <x:c r="E224" s="66" t="str"/>
      <x:c r="F224" s="64" t="str"/>
      <x:c r="G224" s="64" t="str"/>
      <x:c r="H224" s="86" t="str"/>
      <x:c r="I224" s="64" t="str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64" t="str"/>
      <x:c r="B225" s="64" t="str"/>
      <x:c r="C225" s="64" t="str"/>
      <x:c r="D225" s="66" t="str"/>
      <x:c r="E225" s="66" t="str"/>
      <x:c r="F225" s="64" t="str"/>
      <x:c r="G225" s="64" t="str"/>
      <x:c r="H225" s="86" t="str"/>
      <x:c r="I225" s="64" t="str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64" t="str"/>
      <x:c r="B226" s="64" t="str"/>
      <x:c r="C226" s="64" t="str"/>
      <x:c r="D226" s="66" t="str"/>
      <x:c r="E226" s="66" t="str"/>
      <x:c r="F226" s="64" t="str"/>
      <x:c r="G226" s="64" t="str"/>
      <x:c r="H226" s="86" t="str"/>
      <x:c r="I226" s="64" t="str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64" t="str"/>
      <x:c r="B227" s="64" t="str"/>
      <x:c r="C227" s="64" t="str"/>
      <x:c r="D227" s="66" t="str"/>
      <x:c r="E227" s="66" t="str"/>
      <x:c r="F227" s="64" t="str"/>
      <x:c r="G227" s="64" t="str"/>
      <x:c r="H227" s="86" t="str"/>
      <x:c r="I227" s="64" t="str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64" t="str"/>
      <x:c r="B228" s="64" t="str"/>
      <x:c r="C228" s="64" t="str"/>
      <x:c r="D228" s="66" t="str"/>
      <x:c r="E228" s="66" t="str"/>
      <x:c r="F228" s="64" t="str"/>
      <x:c r="G228" s="64" t="str"/>
      <x:c r="H228" s="86" t="str"/>
      <x:c r="I228" s="64" t="str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64" t="str"/>
      <x:c r="B229" s="64" t="str"/>
      <x:c r="C229" s="64" t="str"/>
      <x:c r="D229" s="66" t="str"/>
      <x:c r="E229" s="66" t="str"/>
      <x:c r="F229" s="64" t="str"/>
      <x:c r="G229" s="64" t="str"/>
      <x:c r="H229" s="86" t="str"/>
      <x:c r="I229" s="64" t="str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64" t="str"/>
      <x:c r="B230" s="64" t="str"/>
      <x:c r="C230" s="64" t="str"/>
      <x:c r="D230" s="66" t="str"/>
      <x:c r="E230" s="66" t="str"/>
      <x:c r="F230" s="64" t="str"/>
      <x:c r="G230" s="64" t="str"/>
      <x:c r="H230" s="86" t="str"/>
      <x:c r="I230" s="64" t="str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64" t="str"/>
      <x:c r="B231" s="64" t="str"/>
      <x:c r="C231" s="64" t="str"/>
      <x:c r="D231" s="66" t="str"/>
      <x:c r="E231" s="66" t="str"/>
      <x:c r="F231" s="64" t="str"/>
      <x:c r="G231" s="64" t="str"/>
      <x:c r="H231" s="86" t="str"/>
      <x:c r="I231" s="64" t="str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64" t="str"/>
      <x:c r="B232" s="64" t="str"/>
      <x:c r="C232" s="64" t="str"/>
      <x:c r="D232" s="66" t="str"/>
      <x:c r="E232" s="66" t="str"/>
      <x:c r="F232" s="64" t="str"/>
      <x:c r="G232" s="64" t="str"/>
      <x:c r="H232" s="86" t="str"/>
      <x:c r="I232" s="64" t="str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64" t="str"/>
      <x:c r="B233" s="64" t="str"/>
      <x:c r="C233" s="64" t="str"/>
      <x:c r="D233" s="66" t="str"/>
      <x:c r="E233" s="66" t="str"/>
      <x:c r="F233" s="64" t="str"/>
      <x:c r="G233" s="64" t="str"/>
      <x:c r="H233" s="86" t="str"/>
      <x:c r="I233" s="64" t="str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64" t="str"/>
      <x:c r="B234" s="64" t="str"/>
      <x:c r="C234" s="64" t="str"/>
      <x:c r="D234" s="66" t="str"/>
      <x:c r="E234" s="66" t="str"/>
      <x:c r="F234" s="64" t="str"/>
      <x:c r="G234" s="64" t="str"/>
      <x:c r="H234" s="86" t="str"/>
      <x:c r="I234" s="64" t="str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64" t="str"/>
      <x:c r="B235" s="64" t="str"/>
      <x:c r="C235" s="64" t="str"/>
      <x:c r="D235" s="66" t="str"/>
      <x:c r="E235" s="66" t="str"/>
      <x:c r="F235" s="64" t="str"/>
      <x:c r="G235" s="64" t="str"/>
      <x:c r="H235" s="86" t="str"/>
      <x:c r="I235" s="64" t="str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64" t="str"/>
      <x:c r="B236" s="64" t="str"/>
      <x:c r="C236" s="64" t="str"/>
      <x:c r="D236" s="66" t="str"/>
      <x:c r="E236" s="66" t="str"/>
      <x:c r="F236" s="64" t="str"/>
      <x:c r="G236" s="64" t="str"/>
      <x:c r="H236" s="86" t="str"/>
      <x:c r="I236" s="64" t="str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64" t="str"/>
      <x:c r="B237" s="64" t="str"/>
      <x:c r="C237" s="64" t="str"/>
      <x:c r="D237" s="66" t="str"/>
      <x:c r="E237" s="66" t="str"/>
      <x:c r="F237" s="64" t="str"/>
      <x:c r="G237" s="64" t="str"/>
      <x:c r="H237" s="86" t="str"/>
      <x:c r="I237" s="64" t="str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64" t="str"/>
      <x:c r="B238" s="64" t="str"/>
      <x:c r="C238" s="64" t="str"/>
      <x:c r="D238" s="66" t="str"/>
      <x:c r="E238" s="66" t="str"/>
      <x:c r="F238" s="64" t="str"/>
      <x:c r="G238" s="64" t="str"/>
      <x:c r="H238" s="86" t="str"/>
      <x:c r="I238" s="64" t="str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64" t="str"/>
      <x:c r="B239" s="64" t="str"/>
      <x:c r="C239" s="64" t="str"/>
      <x:c r="D239" s="66" t="str"/>
      <x:c r="E239" s="66" t="str"/>
      <x:c r="F239" s="64" t="str"/>
      <x:c r="G239" s="64" t="str"/>
      <x:c r="H239" s="86" t="str"/>
      <x:c r="I239" s="64" t="str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64" t="str"/>
      <x:c r="B240" s="64" t="str"/>
      <x:c r="C240" s="64" t="str"/>
      <x:c r="D240" s="66" t="str"/>
      <x:c r="E240" s="66" t="str"/>
      <x:c r="F240" s="64" t="str"/>
      <x:c r="G240" s="64" t="str"/>
      <x:c r="H240" s="86" t="str"/>
      <x:c r="I240" s="64" t="str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64" t="str"/>
      <x:c r="B241" s="64" t="str"/>
      <x:c r="C241" s="64" t="str"/>
      <x:c r="D241" s="66" t="str"/>
      <x:c r="E241" s="66" t="str"/>
      <x:c r="F241" s="64" t="str"/>
      <x:c r="G241" s="64" t="str"/>
      <x:c r="H241" s="86" t="str"/>
      <x:c r="I241" s="64" t="str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64" t="str"/>
      <x:c r="B242" s="64" t="str"/>
      <x:c r="C242" s="64" t="str"/>
      <x:c r="D242" s="66" t="str"/>
      <x:c r="E242" s="66" t="str"/>
      <x:c r="F242" s="64" t="str"/>
      <x:c r="G242" s="64" t="str"/>
      <x:c r="H242" s="86" t="str"/>
      <x:c r="I242" s="64" t="str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64" t="str"/>
      <x:c r="B243" s="64" t="str"/>
      <x:c r="C243" s="64" t="str"/>
      <x:c r="D243" s="66" t="str"/>
      <x:c r="E243" s="66" t="str"/>
      <x:c r="F243" s="64" t="str"/>
      <x:c r="G243" s="64" t="str"/>
      <x:c r="H243" s="86" t="str"/>
      <x:c r="I243" s="64" t="str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64" t="str"/>
      <x:c r="B244" s="64" t="str"/>
      <x:c r="C244" s="64" t="str"/>
      <x:c r="D244" s="66" t="str"/>
      <x:c r="E244" s="66" t="str"/>
      <x:c r="F244" s="64" t="str"/>
      <x:c r="G244" s="64" t="str"/>
      <x:c r="H244" s="86" t="str"/>
      <x:c r="I244" s="64" t="str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64" t="str"/>
      <x:c r="B245" s="64" t="str"/>
      <x:c r="C245" s="64" t="str"/>
      <x:c r="D245" s="66" t="str"/>
      <x:c r="E245" s="66" t="str"/>
      <x:c r="F245" s="64" t="str"/>
      <x:c r="G245" s="64" t="str"/>
      <x:c r="H245" s="86" t="str"/>
      <x:c r="I245" s="64" t="str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64" t="str"/>
      <x:c r="B246" s="64" t="str"/>
      <x:c r="C246" s="64" t="str"/>
      <x:c r="D246" s="66" t="str"/>
      <x:c r="E246" s="66" t="str"/>
      <x:c r="F246" s="64" t="str"/>
      <x:c r="G246" s="64" t="str"/>
      <x:c r="H246" s="86" t="str"/>
      <x:c r="I246" s="64" t="str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64" t="str"/>
      <x:c r="B247" s="64" t="str"/>
      <x:c r="C247" s="64" t="str"/>
      <x:c r="D247" s="66" t="str"/>
      <x:c r="E247" s="66" t="str"/>
      <x:c r="F247" s="64" t="str"/>
      <x:c r="G247" s="64" t="str"/>
      <x:c r="H247" s="86" t="str"/>
      <x:c r="I247" s="64" t="str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64" t="str"/>
      <x:c r="B248" s="64" t="str"/>
      <x:c r="C248" s="64" t="str"/>
      <x:c r="D248" s="66" t="str"/>
      <x:c r="E248" s="66" t="str"/>
      <x:c r="F248" s="64" t="str"/>
      <x:c r="G248" s="64" t="str"/>
      <x:c r="H248" s="86" t="str"/>
      <x:c r="I248" s="64" t="str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64" t="str"/>
      <x:c r="B249" s="64" t="str"/>
      <x:c r="C249" s="64" t="str"/>
      <x:c r="D249" s="66" t="str"/>
      <x:c r="E249" s="66" t="str"/>
      <x:c r="F249" s="64" t="str"/>
      <x:c r="G249" s="64" t="str"/>
      <x:c r="H249" s="86" t="str"/>
      <x:c r="I249" s="64" t="str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64" t="str"/>
      <x:c r="B250" s="64" t="str"/>
      <x:c r="C250" s="64" t="str"/>
      <x:c r="D250" s="66" t="str"/>
      <x:c r="E250" s="66" t="str"/>
      <x:c r="F250" s="64" t="str"/>
      <x:c r="G250" s="64" t="str"/>
      <x:c r="H250" s="86" t="str"/>
      <x:c r="I250" s="64" t="str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64" t="str"/>
      <x:c r="B251" s="64" t="str"/>
      <x:c r="C251" s="64" t="str"/>
      <x:c r="D251" s="66" t="str"/>
      <x:c r="E251" s="66" t="str"/>
      <x:c r="F251" s="64" t="str"/>
      <x:c r="G251" s="64" t="str"/>
      <x:c r="H251" s="86" t="str"/>
      <x:c r="I251" s="64" t="str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64" t="str"/>
      <x:c r="B252" s="64" t="str"/>
      <x:c r="C252" s="64" t="str"/>
      <x:c r="D252" s="66" t="str"/>
      <x:c r="E252" s="66" t="str"/>
      <x:c r="F252" s="64" t="str"/>
      <x:c r="G252" s="64" t="str"/>
      <x:c r="H252" s="86" t="str"/>
      <x:c r="I252" s="64" t="str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64" t="str"/>
      <x:c r="B253" s="64" t="str"/>
      <x:c r="C253" s="64" t="str"/>
      <x:c r="D253" s="66" t="str"/>
      <x:c r="E253" s="66" t="str"/>
      <x:c r="F253" s="64" t="str"/>
      <x:c r="G253" s="64" t="str"/>
      <x:c r="H253" s="86" t="str"/>
      <x:c r="I253" s="64" t="str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64" t="str"/>
      <x:c r="B254" s="64" t="str"/>
      <x:c r="C254" s="64" t="str"/>
      <x:c r="D254" s="66" t="str"/>
      <x:c r="E254" s="66" t="str"/>
      <x:c r="F254" s="64" t="str"/>
      <x:c r="G254" s="64" t="str"/>
      <x:c r="H254" s="86" t="str"/>
      <x:c r="I254" s="64" t="str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64" t="str"/>
      <x:c r="B255" s="64" t="str"/>
      <x:c r="C255" s="64" t="str"/>
      <x:c r="D255" s="66" t="str"/>
      <x:c r="E255" s="66" t="str"/>
      <x:c r="F255" s="64" t="str"/>
      <x:c r="G255" s="64" t="str"/>
      <x:c r="H255" s="86" t="str"/>
      <x:c r="I255" s="64" t="str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64" t="str"/>
      <x:c r="B256" s="64" t="str"/>
      <x:c r="C256" s="64" t="str"/>
      <x:c r="D256" s="66" t="str"/>
      <x:c r="E256" s="66" t="str"/>
      <x:c r="F256" s="64" t="str"/>
      <x:c r="G256" s="64" t="str"/>
      <x:c r="H256" s="86" t="str"/>
      <x:c r="I256" s="64" t="str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64" t="str"/>
      <x:c r="B257" s="64" t="str"/>
      <x:c r="C257" s="64" t="str"/>
      <x:c r="D257" s="66" t="str"/>
      <x:c r="E257" s="66" t="str"/>
      <x:c r="F257" s="64" t="str"/>
      <x:c r="G257" s="64" t="str"/>
      <x:c r="H257" s="86" t="str"/>
      <x:c r="I257" s="64" t="str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64" t="str"/>
      <x:c r="B258" s="64" t="str"/>
      <x:c r="C258" s="64" t="str"/>
      <x:c r="D258" s="66" t="str"/>
      <x:c r="E258" s="66" t="str"/>
      <x:c r="F258" s="64" t="str"/>
      <x:c r="G258" s="64" t="str"/>
      <x:c r="H258" s="86" t="str"/>
      <x:c r="I258" s="64" t="str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64" t="str"/>
      <x:c r="B259" s="64" t="str"/>
      <x:c r="C259" s="64" t="str"/>
      <x:c r="D259" s="66" t="str"/>
      <x:c r="E259" s="66" t="str"/>
      <x:c r="F259" s="64" t="str"/>
      <x:c r="G259" s="64" t="str"/>
      <x:c r="H259" s="86" t="str"/>
      <x:c r="I259" s="64" t="str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64" t="str"/>
      <x:c r="B260" s="64" t="str"/>
      <x:c r="C260" s="64" t="str"/>
      <x:c r="D260" s="66" t="str"/>
      <x:c r="E260" s="66" t="str"/>
      <x:c r="F260" s="64" t="str"/>
      <x:c r="G260" s="64" t="str"/>
      <x:c r="H260" s="86" t="str"/>
      <x:c r="I260" s="64" t="str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64" t="str"/>
      <x:c r="B261" s="64" t="str"/>
      <x:c r="C261" s="64" t="str"/>
      <x:c r="D261" s="66" t="str"/>
      <x:c r="E261" s="66" t="str"/>
      <x:c r="F261" s="64" t="str"/>
      <x:c r="G261" s="64" t="str"/>
      <x:c r="H261" s="86" t="str"/>
      <x:c r="I261" s="64" t="str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64" t="str"/>
      <x:c r="B262" s="64" t="str"/>
      <x:c r="C262" s="64" t="str"/>
      <x:c r="D262" s="66" t="str"/>
      <x:c r="E262" s="66" t="str"/>
      <x:c r="F262" s="64" t="str"/>
      <x:c r="G262" s="64" t="str"/>
      <x:c r="H262" s="86" t="str"/>
      <x:c r="I262" s="64" t="str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64" t="str"/>
      <x:c r="B263" s="64" t="str"/>
      <x:c r="C263" s="64" t="str"/>
      <x:c r="D263" s="66" t="str"/>
      <x:c r="E263" s="66" t="str"/>
      <x:c r="F263" s="64" t="str"/>
      <x:c r="G263" s="64" t="str"/>
      <x:c r="H263" s="86" t="str"/>
      <x:c r="I263" s="64" t="str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64" t="str"/>
      <x:c r="B264" s="64" t="str"/>
      <x:c r="C264" s="64" t="str"/>
      <x:c r="D264" s="66" t="str"/>
      <x:c r="E264" s="66" t="str"/>
      <x:c r="F264" s="64" t="str"/>
      <x:c r="G264" s="64" t="str"/>
      <x:c r="H264" s="86" t="str"/>
      <x:c r="I264" s="64" t="str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64" t="str"/>
      <x:c r="B265" s="64" t="str"/>
      <x:c r="C265" s="64" t="str"/>
      <x:c r="D265" s="66" t="str"/>
      <x:c r="E265" s="66" t="str"/>
      <x:c r="F265" s="64" t="str"/>
      <x:c r="G265" s="64" t="str"/>
      <x:c r="H265" s="86" t="str"/>
      <x:c r="I265" s="64" t="str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64" t="str"/>
      <x:c r="B266" s="64" t="str"/>
      <x:c r="C266" s="64" t="str"/>
      <x:c r="D266" s="66" t="str"/>
      <x:c r="E266" s="66" t="str"/>
      <x:c r="F266" s="64" t="str"/>
      <x:c r="G266" s="64" t="str"/>
      <x:c r="H266" s="86" t="str"/>
      <x:c r="I266" s="64" t="str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64" t="str"/>
      <x:c r="B267" s="64" t="str"/>
      <x:c r="C267" s="64" t="str"/>
      <x:c r="D267" s="66" t="str"/>
      <x:c r="E267" s="66" t="str"/>
      <x:c r="F267" s="64" t="str"/>
      <x:c r="G267" s="64" t="str"/>
      <x:c r="H267" s="86" t="str"/>
      <x:c r="I267" s="64" t="str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64" t="str"/>
      <x:c r="B268" s="64" t="str"/>
      <x:c r="C268" s="64" t="str"/>
      <x:c r="D268" s="66" t="str"/>
      <x:c r="E268" s="66" t="str"/>
      <x:c r="F268" s="64" t="str"/>
      <x:c r="G268" s="64" t="str"/>
      <x:c r="H268" s="86" t="str"/>
      <x:c r="I268" s="64" t="str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64" t="str"/>
      <x:c r="B269" s="64" t="str"/>
      <x:c r="C269" s="64" t="str"/>
      <x:c r="D269" s="66" t="str"/>
      <x:c r="E269" s="66" t="str"/>
      <x:c r="F269" s="64" t="str"/>
      <x:c r="G269" s="64" t="str"/>
      <x:c r="H269" s="86" t="str"/>
      <x:c r="I269" s="64" t="str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64" t="str"/>
      <x:c r="B270" s="64" t="str"/>
      <x:c r="C270" s="64" t="str"/>
      <x:c r="D270" s="66" t="str"/>
      <x:c r="E270" s="66" t="str"/>
      <x:c r="F270" s="64" t="str"/>
      <x:c r="G270" s="64" t="str"/>
      <x:c r="H270" s="86" t="str"/>
      <x:c r="I270" s="64" t="str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64" t="str"/>
      <x:c r="B271" s="64" t="str"/>
      <x:c r="C271" s="64" t="str"/>
      <x:c r="D271" s="66" t="str"/>
      <x:c r="E271" s="66" t="str"/>
      <x:c r="F271" s="64" t="str"/>
      <x:c r="G271" s="64" t="str"/>
      <x:c r="H271" s="86" t="str"/>
      <x:c r="I271" s="64" t="str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64" t="str"/>
      <x:c r="B272" s="64" t="str"/>
      <x:c r="C272" s="64" t="str"/>
      <x:c r="D272" s="66" t="str"/>
      <x:c r="E272" s="66" t="str"/>
      <x:c r="F272" s="64" t="str"/>
      <x:c r="G272" s="64" t="str"/>
      <x:c r="H272" s="86" t="str"/>
      <x:c r="I272" s="64" t="str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64" t="str"/>
      <x:c r="B273" s="64" t="str"/>
      <x:c r="C273" s="64" t="str"/>
      <x:c r="D273" s="66" t="str"/>
      <x:c r="E273" s="66" t="str"/>
      <x:c r="F273" s="64" t="str"/>
      <x:c r="G273" s="64" t="str"/>
      <x:c r="H273" s="86" t="str"/>
      <x:c r="I273" s="64" t="str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64" t="str"/>
      <x:c r="B274" s="64" t="str"/>
      <x:c r="C274" s="64" t="str"/>
      <x:c r="D274" s="66" t="str"/>
      <x:c r="E274" s="66" t="str"/>
      <x:c r="F274" s="64" t="str"/>
      <x:c r="G274" s="64" t="str"/>
      <x:c r="H274" s="86" t="str"/>
      <x:c r="I274" s="64" t="str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64" t="str"/>
      <x:c r="B275" s="64" t="str"/>
      <x:c r="C275" s="64" t="str"/>
      <x:c r="D275" s="66" t="str"/>
      <x:c r="E275" s="66" t="str"/>
      <x:c r="F275" s="64" t="str"/>
      <x:c r="G275" s="64" t="str"/>
      <x:c r="H275" s="86" t="str"/>
      <x:c r="I275" s="64" t="str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64" t="str"/>
      <x:c r="B276" s="64" t="str"/>
      <x:c r="C276" s="64" t="str"/>
      <x:c r="D276" s="66" t="str"/>
      <x:c r="E276" s="66" t="str"/>
      <x:c r="F276" s="64" t="str"/>
      <x:c r="G276" s="64" t="str"/>
      <x:c r="H276" s="86" t="str"/>
      <x:c r="I276" s="64" t="str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64" t="str"/>
      <x:c r="B277" s="64" t="str"/>
      <x:c r="C277" s="64" t="str"/>
      <x:c r="D277" s="66" t="str"/>
      <x:c r="E277" s="66" t="str"/>
      <x:c r="F277" s="64" t="str"/>
      <x:c r="G277" s="64" t="str"/>
      <x:c r="H277" s="86" t="str"/>
      <x:c r="I277" s="64" t="str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64" t="str"/>
      <x:c r="B278" s="64" t="str"/>
      <x:c r="C278" s="64" t="str"/>
      <x:c r="D278" s="66" t="str"/>
      <x:c r="E278" s="66" t="str"/>
      <x:c r="F278" s="64" t="str"/>
      <x:c r="G278" s="64" t="str"/>
      <x:c r="H278" s="86" t="str"/>
      <x:c r="I278" s="64" t="str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64" t="str"/>
      <x:c r="B279" s="64" t="str"/>
      <x:c r="C279" s="64" t="str"/>
      <x:c r="D279" s="66" t="str"/>
      <x:c r="E279" s="66" t="str"/>
      <x:c r="F279" s="64" t="str"/>
      <x:c r="G279" s="64" t="str"/>
      <x:c r="H279" s="86" t="str"/>
      <x:c r="I279" s="64" t="str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64" t="str"/>
      <x:c r="B280" s="64" t="str"/>
      <x:c r="C280" s="64" t="str"/>
      <x:c r="D280" s="66" t="str"/>
      <x:c r="E280" s="66" t="str"/>
      <x:c r="F280" s="64" t="str"/>
      <x:c r="G280" s="64" t="str"/>
      <x:c r="H280" s="86" t="str"/>
      <x:c r="I280" s="64" t="str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64" t="str"/>
      <x:c r="B281" s="64" t="str"/>
      <x:c r="C281" s="64" t="str"/>
      <x:c r="D281" s="66" t="str"/>
      <x:c r="E281" s="66" t="str"/>
      <x:c r="F281" s="64" t="str"/>
      <x:c r="G281" s="64" t="str"/>
      <x:c r="H281" s="86" t="str"/>
      <x:c r="I281" s="64" t="str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64" t="str"/>
      <x:c r="B282" s="64" t="str"/>
      <x:c r="C282" s="64" t="str"/>
      <x:c r="D282" s="66" t="str"/>
      <x:c r="E282" s="66" t="str"/>
      <x:c r="F282" s="64" t="str"/>
      <x:c r="G282" s="64" t="str"/>
      <x:c r="H282" s="86" t="str"/>
      <x:c r="I282" s="64" t="str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64" t="str"/>
      <x:c r="B283" s="64" t="str"/>
      <x:c r="C283" s="64" t="str"/>
      <x:c r="D283" s="66" t="str"/>
      <x:c r="E283" s="66" t="str"/>
      <x:c r="F283" s="64" t="str"/>
      <x:c r="G283" s="64" t="str"/>
      <x:c r="H283" s="86" t="str"/>
      <x:c r="I283" s="64" t="str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64" t="str"/>
      <x:c r="B284" s="64" t="str"/>
      <x:c r="C284" s="64" t="str"/>
      <x:c r="D284" s="66" t="str"/>
      <x:c r="E284" s="66" t="str"/>
      <x:c r="F284" s="64" t="str"/>
      <x:c r="G284" s="64" t="str"/>
      <x:c r="H284" s="86" t="str"/>
      <x:c r="I284" s="64" t="str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64" t="str"/>
      <x:c r="B285" s="64" t="str"/>
      <x:c r="C285" s="64" t="str"/>
      <x:c r="D285" s="66" t="str"/>
      <x:c r="E285" s="66" t="str"/>
      <x:c r="F285" s="64" t="str"/>
      <x:c r="G285" s="64" t="str"/>
      <x:c r="H285" s="86" t="str"/>
      <x:c r="I285" s="64" t="str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64" t="str"/>
      <x:c r="B286" s="64" t="str"/>
      <x:c r="C286" s="64" t="str"/>
      <x:c r="D286" s="66" t="str"/>
      <x:c r="E286" s="66" t="str"/>
      <x:c r="F286" s="64" t="str"/>
      <x:c r="G286" s="64" t="str"/>
      <x:c r="H286" s="86" t="str"/>
      <x:c r="I286" s="64" t="str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64" t="str"/>
      <x:c r="B287" s="64" t="str"/>
      <x:c r="C287" s="64" t="str"/>
      <x:c r="D287" s="66" t="str"/>
      <x:c r="E287" s="66" t="str"/>
      <x:c r="F287" s="64" t="str"/>
      <x:c r="G287" s="64" t="str"/>
      <x:c r="H287" s="86" t="str"/>
      <x:c r="I287" s="64" t="str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64" t="str"/>
      <x:c r="B288" s="64" t="str"/>
      <x:c r="C288" s="64" t="str"/>
      <x:c r="D288" s="66" t="str"/>
      <x:c r="E288" s="66" t="str"/>
      <x:c r="F288" s="64" t="str"/>
      <x:c r="G288" s="64" t="str"/>
      <x:c r="H288" s="86" t="str"/>
      <x:c r="I288" s="64" t="str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64" t="str"/>
      <x:c r="B289" s="64" t="str"/>
      <x:c r="C289" s="64" t="str"/>
      <x:c r="D289" s="66" t="str"/>
      <x:c r="E289" s="66" t="str"/>
      <x:c r="F289" s="64" t="str"/>
      <x:c r="G289" s="64" t="str"/>
      <x:c r="H289" s="86" t="str"/>
      <x:c r="I289" s="64" t="str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64" t="str"/>
      <x:c r="B290" s="64" t="str"/>
      <x:c r="C290" s="64" t="str"/>
      <x:c r="D290" s="66" t="str"/>
      <x:c r="E290" s="66" t="str"/>
      <x:c r="F290" s="64" t="str"/>
      <x:c r="G290" s="64" t="str"/>
      <x:c r="H290" s="86" t="str"/>
      <x:c r="I290" s="64" t="str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64" t="str"/>
      <x:c r="B291" s="64" t="str"/>
      <x:c r="C291" s="64" t="str"/>
      <x:c r="D291" s="66" t="str"/>
      <x:c r="E291" s="66" t="str"/>
      <x:c r="F291" s="64" t="str"/>
      <x:c r="G291" s="64" t="str"/>
      <x:c r="H291" s="86" t="str"/>
      <x:c r="I291" s="64" t="str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64" t="str"/>
      <x:c r="B292" s="64" t="str"/>
      <x:c r="C292" s="64" t="str"/>
      <x:c r="D292" s="66" t="str"/>
      <x:c r="E292" s="66" t="str"/>
      <x:c r="F292" s="64" t="str"/>
      <x:c r="G292" s="64" t="str"/>
      <x:c r="H292" s="86" t="str"/>
      <x:c r="I292" s="64" t="str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64" t="str"/>
      <x:c r="B293" s="64" t="str"/>
      <x:c r="C293" s="64" t="str"/>
      <x:c r="D293" s="66" t="str"/>
      <x:c r="E293" s="66" t="str"/>
      <x:c r="F293" s="64" t="str"/>
      <x:c r="G293" s="64" t="str"/>
      <x:c r="H293" s="86" t="str"/>
      <x:c r="I293" s="64" t="str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64" t="str"/>
      <x:c r="B294" s="64" t="str"/>
      <x:c r="C294" s="64" t="str"/>
      <x:c r="D294" s="66" t="str"/>
      <x:c r="E294" s="66" t="str"/>
      <x:c r="F294" s="64" t="str"/>
      <x:c r="G294" s="64" t="str"/>
      <x:c r="H294" s="86" t="str"/>
      <x:c r="I294" s="64" t="str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64" t="str"/>
      <x:c r="B295" s="64" t="str"/>
      <x:c r="C295" s="64" t="str"/>
      <x:c r="D295" s="66" t="str"/>
      <x:c r="E295" s="66" t="str"/>
      <x:c r="F295" s="64" t="str"/>
      <x:c r="G295" s="64" t="str"/>
      <x:c r="H295" s="86" t="str"/>
      <x:c r="I295" s="64" t="str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64" t="str"/>
      <x:c r="B296" s="64" t="str"/>
      <x:c r="C296" s="64" t="str"/>
      <x:c r="D296" s="66" t="str"/>
      <x:c r="E296" s="66" t="str"/>
      <x:c r="F296" s="64" t="str"/>
      <x:c r="G296" s="64" t="str"/>
      <x:c r="H296" s="86" t="str"/>
      <x:c r="I296" s="64" t="str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64" t="str"/>
      <x:c r="B297" s="64" t="str"/>
      <x:c r="C297" s="64" t="str"/>
      <x:c r="D297" s="66" t="str"/>
      <x:c r="E297" s="66" t="str"/>
      <x:c r="F297" s="64" t="str"/>
      <x:c r="G297" s="64" t="str"/>
      <x:c r="H297" s="86" t="str"/>
      <x:c r="I297" s="64" t="str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64" t="str"/>
      <x:c r="B298" s="64" t="str"/>
      <x:c r="C298" s="64" t="str"/>
      <x:c r="D298" s="66" t="str"/>
      <x:c r="E298" s="66" t="str"/>
      <x:c r="F298" s="64" t="str"/>
      <x:c r="G298" s="64" t="str"/>
      <x:c r="H298" s="86" t="str"/>
      <x:c r="I298" s="64" t="str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64" t="str"/>
      <x:c r="B299" s="64" t="str"/>
      <x:c r="C299" s="64" t="str"/>
      <x:c r="D299" s="66" t="str"/>
      <x:c r="E299" s="66" t="str"/>
      <x:c r="F299" s="64" t="str"/>
      <x:c r="G299" s="64" t="str"/>
      <x:c r="H299" s="86" t="str"/>
      <x:c r="I299" s="64" t="str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64" t="str"/>
      <x:c r="B300" s="64" t="str"/>
      <x:c r="C300" s="64" t="str"/>
      <x:c r="D300" s="66" t="str"/>
      <x:c r="E300" s="66" t="str"/>
      <x:c r="F300" s="64" t="str"/>
      <x:c r="G300" s="64" t="str"/>
      <x:c r="H300" s="86" t="str"/>
      <x:c r="I300" s="64" t="str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64" t="str"/>
      <x:c r="B301" s="64" t="str"/>
      <x:c r="C301" s="64" t="str"/>
      <x:c r="D301" s="66" t="str"/>
      <x:c r="E301" s="66" t="str"/>
      <x:c r="F301" s="64" t="str"/>
      <x:c r="G301" s="64" t="str"/>
      <x:c r="H301" s="86" t="str"/>
      <x:c r="I301" s="64" t="str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64" t="str"/>
      <x:c r="B302" s="64" t="str"/>
      <x:c r="C302" s="64" t="str"/>
      <x:c r="D302" s="66" t="str"/>
      <x:c r="E302" s="66" t="str"/>
      <x:c r="F302" s="64" t="str"/>
      <x:c r="G302" s="64" t="str"/>
      <x:c r="H302" s="86" t="str"/>
      <x:c r="I302" s="64" t="str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64" t="str"/>
      <x:c r="B303" s="64" t="str"/>
      <x:c r="C303" s="64" t="str"/>
      <x:c r="D303" s="66" t="str"/>
      <x:c r="E303" s="66" t="str"/>
      <x:c r="F303" s="64" t="str"/>
      <x:c r="G303" s="64" t="str"/>
      <x:c r="H303" s="86" t="str"/>
      <x:c r="I303" s="64" t="str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64" t="str"/>
      <x:c r="B304" s="64" t="str"/>
      <x:c r="C304" s="64" t="str"/>
      <x:c r="D304" s="66" t="str"/>
      <x:c r="E304" s="66" t="str"/>
      <x:c r="F304" s="64" t="str"/>
      <x:c r="G304" s="64" t="str"/>
      <x:c r="H304" s="86" t="str"/>
      <x:c r="I304" s="64" t="str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64" t="str"/>
      <x:c r="B305" s="64" t="str"/>
      <x:c r="C305" s="64" t="str"/>
      <x:c r="D305" s="66" t="str"/>
      <x:c r="E305" s="66" t="str"/>
      <x:c r="F305" s="64" t="str"/>
      <x:c r="G305" s="64" t="str"/>
      <x:c r="H305" s="86" t="str"/>
      <x:c r="I305" s="64" t="str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64" t="str"/>
      <x:c r="B306" s="64" t="str"/>
      <x:c r="C306" s="64" t="str"/>
      <x:c r="D306" s="66" t="str"/>
      <x:c r="E306" s="66" t="str"/>
      <x:c r="F306" s="64" t="str"/>
      <x:c r="G306" s="64" t="str"/>
      <x:c r="H306" s="86" t="str"/>
      <x:c r="I306" s="64" t="str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64" t="str"/>
      <x:c r="B307" s="64" t="str"/>
      <x:c r="C307" s="64" t="str"/>
      <x:c r="D307" s="66" t="str"/>
      <x:c r="E307" s="66" t="str"/>
      <x:c r="F307" s="64" t="str"/>
      <x:c r="G307" s="64" t="str"/>
      <x:c r="H307" s="86" t="str"/>
      <x:c r="I307" s="64" t="str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64" t="str"/>
      <x:c r="B308" s="64" t="str"/>
      <x:c r="C308" s="64" t="str"/>
      <x:c r="D308" s="66" t="str"/>
      <x:c r="E308" s="66" t="str"/>
      <x:c r="F308" s="64" t="str"/>
      <x:c r="G308" s="64" t="str"/>
      <x:c r="H308" s="86" t="str"/>
      <x:c r="I308" s="64" t="str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64" t="str"/>
      <x:c r="B309" s="64" t="str"/>
      <x:c r="C309" s="64" t="str"/>
      <x:c r="D309" s="66" t="str"/>
      <x:c r="E309" s="66" t="str"/>
      <x:c r="F309" s="64" t="str"/>
      <x:c r="G309" s="64" t="str"/>
      <x:c r="H309" s="86" t="str"/>
      <x:c r="I309" s="64" t="str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64" t="str"/>
      <x:c r="B310" s="64" t="str"/>
      <x:c r="C310" s="64" t="str"/>
      <x:c r="D310" s="66" t="str"/>
      <x:c r="E310" s="66" t="str"/>
      <x:c r="F310" s="64" t="str"/>
      <x:c r="G310" s="64" t="str"/>
      <x:c r="H310" s="86" t="str"/>
      <x:c r="I310" s="64" t="str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64" t="str"/>
      <x:c r="B311" s="64" t="str"/>
      <x:c r="C311" s="64" t="str"/>
      <x:c r="D311" s="66" t="str"/>
      <x:c r="E311" s="66" t="str"/>
      <x:c r="F311" s="64" t="str"/>
      <x:c r="G311" s="64" t="str"/>
      <x:c r="H311" s="86" t="str"/>
      <x:c r="I311" s="64" t="str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64" t="str"/>
      <x:c r="B312" s="64" t="str"/>
      <x:c r="C312" s="64" t="str"/>
      <x:c r="D312" s="66" t="str"/>
      <x:c r="E312" s="66" t="str"/>
      <x:c r="F312" s="64" t="str"/>
      <x:c r="G312" s="64" t="str"/>
      <x:c r="H312" s="86" t="str"/>
      <x:c r="I312" s="64" t="str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64" t="str"/>
      <x:c r="B313" s="64" t="str"/>
      <x:c r="C313" s="64" t="str"/>
      <x:c r="D313" s="66" t="str"/>
      <x:c r="E313" s="66" t="str"/>
      <x:c r="F313" s="64" t="str"/>
      <x:c r="G313" s="64" t="str"/>
      <x:c r="H313" s="86" t="str"/>
      <x:c r="I313" s="64" t="str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64" t="str"/>
      <x:c r="B314" s="64" t="str"/>
      <x:c r="C314" s="64" t="str"/>
      <x:c r="D314" s="66" t="str"/>
      <x:c r="E314" s="66" t="str"/>
      <x:c r="F314" s="64" t="str"/>
      <x:c r="G314" s="64" t="str"/>
      <x:c r="H314" s="86" t="str"/>
      <x:c r="I314" s="64" t="str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64" t="str"/>
      <x:c r="B315" s="64" t="str"/>
      <x:c r="C315" s="64" t="str"/>
      <x:c r="D315" s="66" t="str"/>
      <x:c r="E315" s="66" t="str"/>
      <x:c r="F315" s="64" t="str"/>
      <x:c r="G315" s="64" t="str"/>
      <x:c r="H315" s="86" t="str"/>
      <x:c r="I315" s="64" t="str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64" t="str"/>
      <x:c r="B316" s="64" t="str"/>
      <x:c r="C316" s="64" t="str"/>
      <x:c r="D316" s="66" t="str"/>
      <x:c r="E316" s="66" t="str"/>
      <x:c r="F316" s="64" t="str"/>
      <x:c r="G316" s="64" t="str"/>
      <x:c r="H316" s="86" t="str"/>
      <x:c r="I316" s="64" t="str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64" t="str"/>
      <x:c r="B317" s="64" t="str"/>
      <x:c r="C317" s="64" t="str"/>
      <x:c r="D317" s="66" t="str"/>
      <x:c r="E317" s="66" t="str"/>
      <x:c r="F317" s="64" t="str"/>
      <x:c r="G317" s="64" t="str"/>
      <x:c r="H317" s="86" t="str"/>
      <x:c r="I317" s="64" t="str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64" t="str"/>
      <x:c r="B318" s="64" t="str"/>
      <x:c r="C318" s="64" t="str"/>
      <x:c r="D318" s="66" t="str"/>
      <x:c r="E318" s="66" t="str"/>
      <x:c r="F318" s="64" t="str"/>
      <x:c r="G318" s="64" t="str"/>
      <x:c r="H318" s="86" t="str"/>
      <x:c r="I318" s="64" t="str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64" t="str"/>
      <x:c r="B319" s="64" t="str"/>
      <x:c r="C319" s="64" t="str"/>
      <x:c r="D319" s="66" t="str"/>
      <x:c r="E319" s="66" t="str"/>
      <x:c r="F319" s="64" t="str"/>
      <x:c r="G319" s="64" t="str"/>
      <x:c r="H319" s="86" t="str"/>
      <x:c r="I319" s="64" t="str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64" t="str"/>
      <x:c r="B320" s="64" t="str"/>
      <x:c r="C320" s="64" t="str"/>
      <x:c r="D320" s="66" t="str"/>
      <x:c r="E320" s="66" t="str"/>
      <x:c r="F320" s="64" t="str"/>
      <x:c r="G320" s="64" t="str"/>
      <x:c r="H320" s="86" t="str"/>
      <x:c r="I320" s="64" t="str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64" t="str"/>
      <x:c r="B321" s="64" t="str"/>
      <x:c r="C321" s="64" t="str"/>
      <x:c r="D321" s="66" t="str"/>
      <x:c r="E321" s="66" t="str"/>
      <x:c r="F321" s="64" t="str"/>
      <x:c r="G321" s="64" t="str"/>
      <x:c r="H321" s="86" t="str"/>
      <x:c r="I321" s="64" t="str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64" t="str"/>
      <x:c r="B322" s="64" t="str"/>
      <x:c r="C322" s="64" t="str"/>
      <x:c r="D322" s="66" t="str"/>
      <x:c r="E322" s="66" t="str"/>
      <x:c r="F322" s="64" t="str"/>
      <x:c r="G322" s="64" t="str"/>
      <x:c r="H322" s="86" t="str"/>
      <x:c r="I322" s="64" t="str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64" t="str"/>
      <x:c r="B323" s="64" t="str"/>
      <x:c r="C323" s="64" t="str"/>
      <x:c r="D323" s="66" t="str"/>
      <x:c r="E323" s="66" t="str"/>
      <x:c r="F323" s="64" t="str"/>
      <x:c r="G323" s="64" t="str"/>
      <x:c r="H323" s="86" t="str"/>
      <x:c r="I323" s="64" t="str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64" t="str"/>
      <x:c r="B324" s="64" t="str"/>
      <x:c r="C324" s="64" t="str"/>
      <x:c r="D324" s="66" t="str"/>
      <x:c r="E324" s="66" t="str"/>
      <x:c r="F324" s="64" t="str"/>
      <x:c r="G324" s="64" t="str"/>
      <x:c r="H324" s="86" t="str"/>
      <x:c r="I324" s="64" t="str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64" t="str"/>
      <x:c r="B325" s="64" t="str"/>
      <x:c r="C325" s="64" t="str"/>
      <x:c r="D325" s="66" t="str"/>
      <x:c r="E325" s="66" t="str"/>
      <x:c r="F325" s="64" t="str"/>
      <x:c r="G325" s="64" t="str"/>
      <x:c r="H325" s="86" t="str"/>
      <x:c r="I325" s="64" t="str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64" t="str"/>
      <x:c r="B326" s="64" t="str"/>
      <x:c r="C326" s="64" t="str"/>
      <x:c r="D326" s="66" t="str"/>
      <x:c r="E326" s="66" t="str"/>
      <x:c r="F326" s="64" t="str"/>
      <x:c r="G326" s="64" t="str"/>
      <x:c r="H326" s="86" t="str"/>
      <x:c r="I326" s="64" t="str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64" t="str"/>
      <x:c r="B327" s="64" t="str"/>
      <x:c r="C327" s="64" t="str"/>
      <x:c r="D327" s="66" t="str"/>
      <x:c r="E327" s="66" t="str"/>
      <x:c r="F327" s="64" t="str"/>
      <x:c r="G327" s="64" t="str"/>
      <x:c r="H327" s="86" t="str"/>
      <x:c r="I327" s="64" t="str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64" t="str"/>
      <x:c r="B328" s="64" t="str"/>
      <x:c r="C328" s="64" t="str"/>
      <x:c r="D328" s="66" t="str"/>
      <x:c r="E328" s="66" t="str"/>
      <x:c r="F328" s="64" t="str"/>
      <x:c r="G328" s="64" t="str"/>
      <x:c r="H328" s="86" t="str"/>
      <x:c r="I328" s="64" t="str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64" t="str"/>
      <x:c r="B329" s="64" t="str"/>
      <x:c r="C329" s="64" t="str"/>
      <x:c r="D329" s="66" t="str"/>
      <x:c r="E329" s="66" t="str"/>
      <x:c r="F329" s="64" t="str"/>
      <x:c r="G329" s="64" t="str"/>
      <x:c r="H329" s="86" t="str"/>
      <x:c r="I329" s="64" t="str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64" t="str"/>
      <x:c r="B330" s="64" t="str"/>
      <x:c r="C330" s="64" t="str"/>
      <x:c r="D330" s="66" t="str"/>
      <x:c r="E330" s="66" t="str"/>
      <x:c r="F330" s="64" t="str"/>
      <x:c r="G330" s="64" t="str"/>
      <x:c r="H330" s="86" t="str"/>
      <x:c r="I330" s="64" t="str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64" t="str"/>
      <x:c r="B331" s="64" t="str"/>
      <x:c r="C331" s="64" t="str"/>
      <x:c r="D331" s="66" t="str"/>
      <x:c r="E331" s="66" t="str"/>
      <x:c r="F331" s="64" t="str"/>
      <x:c r="G331" s="64" t="str"/>
      <x:c r="H331" s="86" t="str"/>
      <x:c r="I331" s="64" t="str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64" t="str"/>
      <x:c r="B332" s="64" t="str"/>
      <x:c r="C332" s="64" t="str"/>
      <x:c r="D332" s="66" t="str"/>
      <x:c r="E332" s="66" t="str"/>
      <x:c r="F332" s="64" t="str"/>
      <x:c r="G332" s="64" t="str"/>
      <x:c r="H332" s="86" t="str"/>
      <x:c r="I332" s="64" t="str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64" t="str"/>
      <x:c r="B333" s="64" t="str"/>
      <x:c r="C333" s="64" t="str"/>
      <x:c r="D333" s="66" t="str"/>
      <x:c r="E333" s="66" t="str"/>
      <x:c r="F333" s="64" t="str"/>
      <x:c r="G333" s="64" t="str"/>
      <x:c r="H333" s="86" t="str"/>
      <x:c r="I333" s="64" t="str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64" t="str"/>
      <x:c r="B334" s="64" t="str"/>
      <x:c r="C334" s="64" t="str"/>
      <x:c r="D334" s="66" t="str"/>
      <x:c r="E334" s="66" t="str"/>
      <x:c r="F334" s="64" t="str"/>
      <x:c r="G334" s="64" t="str"/>
      <x:c r="H334" s="86" t="str"/>
      <x:c r="I334" s="64" t="str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64" t="str"/>
      <x:c r="B335" s="64" t="str"/>
      <x:c r="C335" s="64" t="str"/>
      <x:c r="D335" s="66" t="str"/>
      <x:c r="E335" s="66" t="str"/>
      <x:c r="F335" s="64" t="str"/>
      <x:c r="G335" s="64" t="str"/>
      <x:c r="H335" s="86" t="str"/>
      <x:c r="I335" s="64" t="str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64" t="str"/>
      <x:c r="B336" s="64" t="str"/>
      <x:c r="C336" s="64" t="str"/>
      <x:c r="D336" s="66" t="str"/>
      <x:c r="E336" s="66" t="str"/>
      <x:c r="F336" s="64" t="str"/>
      <x:c r="G336" s="64" t="str"/>
      <x:c r="H336" s="86" t="str"/>
      <x:c r="I336" s="64" t="str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64" t="str"/>
      <x:c r="B337" s="64" t="str"/>
      <x:c r="C337" s="64" t="str"/>
      <x:c r="D337" s="66" t="str"/>
      <x:c r="E337" s="66" t="str"/>
      <x:c r="F337" s="64" t="str"/>
      <x:c r="G337" s="64" t="str"/>
      <x:c r="H337" s="86" t="str"/>
      <x:c r="I337" s="64" t="str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64" t="str"/>
      <x:c r="B338" s="64" t="str"/>
      <x:c r="C338" s="64" t="str"/>
      <x:c r="D338" s="66" t="str"/>
      <x:c r="E338" s="66" t="str"/>
      <x:c r="F338" s="64" t="str"/>
      <x:c r="G338" s="64" t="str"/>
      <x:c r="H338" s="86" t="str"/>
      <x:c r="I338" s="64" t="str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64" t="str"/>
      <x:c r="B339" s="64" t="str"/>
      <x:c r="C339" s="64" t="str"/>
      <x:c r="D339" s="66" t="str"/>
      <x:c r="E339" s="66" t="str"/>
      <x:c r="F339" s="64" t="str"/>
      <x:c r="G339" s="64" t="str"/>
      <x:c r="H339" s="86" t="str"/>
      <x:c r="I339" s="64" t="str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64" t="str"/>
      <x:c r="B340" s="64" t="str"/>
      <x:c r="C340" s="64" t="str"/>
      <x:c r="D340" s="66" t="str"/>
      <x:c r="E340" s="66" t="str"/>
      <x:c r="F340" s="64" t="str"/>
      <x:c r="G340" s="64" t="str"/>
      <x:c r="H340" s="86" t="str"/>
      <x:c r="I340" s="64" t="str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64" t="str"/>
      <x:c r="B341" s="64" t="str"/>
      <x:c r="C341" s="64" t="str"/>
      <x:c r="D341" s="66" t="str"/>
      <x:c r="E341" s="66" t="str"/>
      <x:c r="F341" s="64" t="str"/>
      <x:c r="G341" s="64" t="str"/>
      <x:c r="H341" s="86" t="str"/>
      <x:c r="I341" s="64" t="str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64" t="str"/>
      <x:c r="B342" s="64" t="str"/>
      <x:c r="C342" s="64" t="str"/>
      <x:c r="D342" s="66" t="str"/>
      <x:c r="E342" s="66" t="str"/>
      <x:c r="F342" s="64" t="str"/>
      <x:c r="G342" s="64" t="str"/>
      <x:c r="H342" s="86" t="str"/>
      <x:c r="I342" s="64" t="str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64" t="str"/>
      <x:c r="B343" s="64" t="str"/>
      <x:c r="C343" s="64" t="str"/>
      <x:c r="D343" s="66" t="str"/>
      <x:c r="E343" s="66" t="str"/>
      <x:c r="F343" s="64" t="str"/>
      <x:c r="G343" s="64" t="str"/>
      <x:c r="H343" s="86" t="str"/>
      <x:c r="I343" s="64" t="str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64" t="str"/>
      <x:c r="B344" s="64" t="str"/>
      <x:c r="C344" s="64" t="str"/>
      <x:c r="D344" s="66" t="str"/>
      <x:c r="E344" s="66" t="str"/>
      <x:c r="F344" s="64" t="str"/>
      <x:c r="G344" s="64" t="str"/>
      <x:c r="H344" s="86" t="str"/>
      <x:c r="I344" s="64" t="str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64" t="str"/>
      <x:c r="B345" s="64" t="str"/>
      <x:c r="C345" s="64" t="str"/>
      <x:c r="D345" s="66" t="str"/>
      <x:c r="E345" s="66" t="str"/>
      <x:c r="F345" s="64" t="str"/>
      <x:c r="G345" s="64" t="str"/>
      <x:c r="H345" s="86" t="str"/>
      <x:c r="I345" s="64" t="str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64" t="str"/>
      <x:c r="B346" s="64" t="str"/>
      <x:c r="C346" s="64" t="str"/>
      <x:c r="D346" s="66" t="str"/>
      <x:c r="E346" s="66" t="str"/>
      <x:c r="F346" s="64" t="str"/>
      <x:c r="G346" s="64" t="str"/>
      <x:c r="H346" s="86" t="str"/>
      <x:c r="I346" s="64" t="str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64" t="str"/>
      <x:c r="B347" s="64" t="str"/>
      <x:c r="C347" s="64" t="str"/>
      <x:c r="D347" s="66" t="str"/>
      <x:c r="E347" s="66" t="str"/>
      <x:c r="F347" s="64" t="str"/>
      <x:c r="G347" s="64" t="str"/>
      <x:c r="H347" s="86" t="str"/>
      <x:c r="I347" s="64" t="str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64" t="str"/>
      <x:c r="B348" s="64" t="str"/>
      <x:c r="C348" s="64" t="str"/>
      <x:c r="D348" s="66" t="str"/>
      <x:c r="E348" s="66" t="str"/>
      <x:c r="F348" s="64" t="str"/>
      <x:c r="G348" s="64" t="str"/>
      <x:c r="H348" s="86" t="str"/>
      <x:c r="I348" s="64" t="str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64" t="str"/>
      <x:c r="B349" s="64" t="str"/>
      <x:c r="C349" s="64" t="str"/>
      <x:c r="D349" s="66" t="str"/>
      <x:c r="E349" s="66" t="str"/>
      <x:c r="F349" s="64" t="str"/>
      <x:c r="G349" s="64" t="str"/>
      <x:c r="H349" s="86" t="str"/>
      <x:c r="I349" s="64" t="str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64" t="str"/>
      <x:c r="B350" s="64" t="str"/>
      <x:c r="C350" s="64" t="str"/>
      <x:c r="D350" s="66" t="str"/>
      <x:c r="E350" s="66" t="str"/>
      <x:c r="F350" s="64" t="str"/>
      <x:c r="G350" s="64" t="str"/>
      <x:c r="H350" s="86" t="str"/>
      <x:c r="I350" s="64" t="str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64" t="str"/>
      <x:c r="B351" s="64" t="str"/>
      <x:c r="C351" s="64" t="str"/>
      <x:c r="D351" s="66" t="str"/>
      <x:c r="E351" s="66" t="str"/>
      <x:c r="F351" s="64" t="str"/>
      <x:c r="G351" s="64" t="str"/>
      <x:c r="H351" s="86" t="str"/>
      <x:c r="I351" s="64" t="str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64" t="str"/>
      <x:c r="B352" s="64" t="str"/>
      <x:c r="C352" s="64" t="str"/>
      <x:c r="D352" s="66" t="str"/>
      <x:c r="E352" s="66" t="str"/>
      <x:c r="F352" s="64" t="str"/>
      <x:c r="G352" s="64" t="str"/>
      <x:c r="H352" s="86" t="str"/>
      <x:c r="I352" s="64" t="str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64" t="str"/>
      <x:c r="B353" s="64" t="str"/>
      <x:c r="C353" s="64" t="str"/>
      <x:c r="D353" s="66" t="str"/>
      <x:c r="E353" s="66" t="str"/>
      <x:c r="F353" s="64" t="str"/>
      <x:c r="G353" s="64" t="str"/>
      <x:c r="H353" s="86" t="str"/>
      <x:c r="I353" s="64" t="str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64" t="str"/>
      <x:c r="B354" s="64" t="str"/>
      <x:c r="C354" s="64" t="str"/>
      <x:c r="D354" s="66" t="str"/>
      <x:c r="E354" s="66" t="str"/>
      <x:c r="F354" s="64" t="str"/>
      <x:c r="G354" s="64" t="str"/>
      <x:c r="H354" s="86" t="str"/>
      <x:c r="I354" s="64" t="str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64" t="str"/>
      <x:c r="B355" s="64" t="str"/>
      <x:c r="C355" s="64" t="str"/>
      <x:c r="D355" s="66" t="str"/>
      <x:c r="E355" s="66" t="str"/>
      <x:c r="F355" s="64" t="str"/>
      <x:c r="G355" s="64" t="str"/>
      <x:c r="H355" s="86" t="str"/>
      <x:c r="I355" s="64" t="str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64" t="str"/>
      <x:c r="B356" s="64" t="str"/>
      <x:c r="C356" s="64" t="str"/>
      <x:c r="D356" s="66" t="str"/>
      <x:c r="E356" s="66" t="str"/>
      <x:c r="F356" s="64" t="str"/>
      <x:c r="G356" s="64" t="str"/>
      <x:c r="H356" s="86" t="str"/>
      <x:c r="I356" s="64" t="str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64" t="str"/>
      <x:c r="B357" s="64" t="str"/>
      <x:c r="C357" s="64" t="str"/>
      <x:c r="D357" s="66" t="str"/>
      <x:c r="E357" s="66" t="str"/>
      <x:c r="F357" s="64" t="str"/>
      <x:c r="G357" s="64" t="str"/>
      <x:c r="H357" s="86" t="str"/>
      <x:c r="I357" s="64" t="str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64" t="str"/>
      <x:c r="B358" s="64" t="str"/>
      <x:c r="C358" s="64" t="str"/>
      <x:c r="D358" s="66" t="str"/>
      <x:c r="E358" s="66" t="str"/>
      <x:c r="F358" s="64" t="str"/>
      <x:c r="G358" s="64" t="str"/>
      <x:c r="H358" s="86" t="str"/>
      <x:c r="I358" s="64" t="str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64" t="str"/>
      <x:c r="B359" s="64" t="str"/>
      <x:c r="C359" s="64" t="str"/>
      <x:c r="D359" s="66" t="str"/>
      <x:c r="E359" s="66" t="str"/>
      <x:c r="F359" s="64" t="str"/>
      <x:c r="G359" s="64" t="str"/>
      <x:c r="H359" s="86" t="str"/>
      <x:c r="I359" s="64" t="str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64" t="str"/>
      <x:c r="B360" s="64" t="str"/>
      <x:c r="C360" s="64" t="str"/>
      <x:c r="D360" s="66" t="str"/>
      <x:c r="E360" s="66" t="str"/>
      <x:c r="F360" s="64" t="str"/>
      <x:c r="G360" s="64" t="str"/>
      <x:c r="H360" s="86" t="str"/>
      <x:c r="I360" s="64" t="str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64" t="str"/>
      <x:c r="B361" s="64" t="str"/>
      <x:c r="C361" s="64" t="str"/>
      <x:c r="D361" s="66" t="str"/>
      <x:c r="E361" s="66" t="str"/>
      <x:c r="F361" s="64" t="str"/>
      <x:c r="G361" s="64" t="str"/>
      <x:c r="H361" s="86" t="str"/>
      <x:c r="I361" s="64" t="str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64" t="str"/>
      <x:c r="B362" s="64" t="str"/>
      <x:c r="C362" s="64" t="str"/>
      <x:c r="D362" s="66" t="str"/>
      <x:c r="E362" s="66" t="str"/>
      <x:c r="F362" s="64" t="str"/>
      <x:c r="G362" s="64" t="str"/>
      <x:c r="H362" s="86" t="str"/>
      <x:c r="I362" s="64" t="str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64" t="str"/>
      <x:c r="B363" s="64" t="str"/>
      <x:c r="C363" s="64" t="str"/>
      <x:c r="D363" s="66" t="str"/>
      <x:c r="E363" s="66" t="str"/>
      <x:c r="F363" s="64" t="str"/>
      <x:c r="G363" s="64" t="str"/>
      <x:c r="H363" s="86" t="str"/>
      <x:c r="I363" s="64" t="str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64" t="str"/>
      <x:c r="B364" s="64" t="str"/>
      <x:c r="C364" s="64" t="str"/>
      <x:c r="D364" s="66" t="str"/>
      <x:c r="E364" s="66" t="str"/>
      <x:c r="F364" s="64" t="str"/>
      <x:c r="G364" s="64" t="str"/>
      <x:c r="H364" s="86" t="str"/>
      <x:c r="I364" s="64" t="str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64" t="str"/>
      <x:c r="B365" s="64" t="str"/>
      <x:c r="C365" s="64" t="str"/>
      <x:c r="D365" s="66" t="str"/>
      <x:c r="E365" s="66" t="str"/>
      <x:c r="F365" s="64" t="str"/>
      <x:c r="G365" s="64" t="str"/>
      <x:c r="H365" s="86" t="str"/>
      <x:c r="I365" s="64" t="str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64" t="str"/>
      <x:c r="B366" s="64" t="str"/>
      <x:c r="C366" s="64" t="str"/>
      <x:c r="D366" s="66" t="str"/>
      <x:c r="E366" s="66" t="str"/>
      <x:c r="F366" s="64" t="str"/>
      <x:c r="G366" s="64" t="str"/>
      <x:c r="H366" s="86" t="str"/>
      <x:c r="I366" s="64" t="str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64" t="str"/>
      <x:c r="B367" s="64" t="str"/>
      <x:c r="C367" s="64" t="str"/>
      <x:c r="D367" s="66" t="str"/>
      <x:c r="E367" s="66" t="str"/>
      <x:c r="F367" s="64" t="str"/>
      <x:c r="G367" s="64" t="str"/>
      <x:c r="H367" s="86" t="str"/>
      <x:c r="I367" s="64" t="str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64" t="str"/>
      <x:c r="B368" s="64" t="str"/>
      <x:c r="C368" s="64" t="str"/>
      <x:c r="D368" s="66" t="str"/>
      <x:c r="E368" s="66" t="str"/>
      <x:c r="F368" s="64" t="str"/>
      <x:c r="G368" s="64" t="str"/>
      <x:c r="H368" s="86" t="str"/>
      <x:c r="I368" s="64" t="str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64" t="str"/>
      <x:c r="B369" s="64" t="str"/>
      <x:c r="C369" s="64" t="str"/>
      <x:c r="D369" s="66" t="str"/>
      <x:c r="E369" s="66" t="str"/>
      <x:c r="F369" s="64" t="str"/>
      <x:c r="G369" s="64" t="str"/>
      <x:c r="H369" s="86" t="str"/>
      <x:c r="I369" s="64" t="str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64" t="str"/>
      <x:c r="B370" s="64" t="str"/>
      <x:c r="C370" s="64" t="str"/>
      <x:c r="D370" s="66" t="str"/>
      <x:c r="E370" s="66" t="str"/>
      <x:c r="F370" s="64" t="str"/>
      <x:c r="G370" s="64" t="str"/>
      <x:c r="H370" s="86" t="str"/>
      <x:c r="I370" s="64" t="str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64" t="str"/>
      <x:c r="B371" s="64" t="str"/>
      <x:c r="C371" s="64" t="str"/>
      <x:c r="D371" s="66" t="str"/>
      <x:c r="E371" s="66" t="str"/>
      <x:c r="F371" s="64" t="str"/>
      <x:c r="G371" s="64" t="str"/>
      <x:c r="H371" s="86" t="str"/>
      <x:c r="I371" s="64" t="str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64" t="str"/>
      <x:c r="B372" s="64" t="str"/>
      <x:c r="C372" s="64" t="str"/>
      <x:c r="D372" s="66" t="str"/>
      <x:c r="E372" s="66" t="str"/>
      <x:c r="F372" s="64" t="str"/>
      <x:c r="G372" s="64" t="str"/>
      <x:c r="H372" s="86" t="str"/>
      <x:c r="I372" s="64" t="str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64" t="str"/>
      <x:c r="B373" s="64" t="str"/>
      <x:c r="C373" s="64" t="str"/>
      <x:c r="D373" s="66" t="str"/>
      <x:c r="E373" s="66" t="str"/>
      <x:c r="F373" s="64" t="str"/>
      <x:c r="G373" s="64" t="str"/>
      <x:c r="H373" s="86" t="str"/>
      <x:c r="I373" s="64" t="str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64" t="str"/>
      <x:c r="B374" s="64" t="str"/>
      <x:c r="C374" s="64" t="str"/>
      <x:c r="D374" s="66" t="str"/>
      <x:c r="E374" s="66" t="str"/>
      <x:c r="F374" s="64" t="str"/>
      <x:c r="G374" s="64" t="str"/>
      <x:c r="H374" s="86" t="str"/>
      <x:c r="I374" s="64" t="str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64" t="str"/>
      <x:c r="B375" s="64" t="str"/>
      <x:c r="C375" s="64" t="str"/>
      <x:c r="D375" s="66" t="str"/>
      <x:c r="E375" s="66" t="str"/>
      <x:c r="F375" s="64" t="str"/>
      <x:c r="G375" s="64" t="str"/>
      <x:c r="H375" s="86" t="str"/>
      <x:c r="I375" s="64" t="str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64" t="str"/>
      <x:c r="B376" s="64" t="str"/>
      <x:c r="C376" s="64" t="str"/>
      <x:c r="D376" s="66" t="str"/>
      <x:c r="E376" s="66" t="str"/>
      <x:c r="F376" s="64" t="str"/>
      <x:c r="G376" s="64" t="str"/>
      <x:c r="H376" s="86" t="str"/>
      <x:c r="I376" s="64" t="str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64" t="str"/>
      <x:c r="B377" s="64" t="str"/>
      <x:c r="C377" s="64" t="str"/>
      <x:c r="D377" s="66" t="str"/>
      <x:c r="E377" s="66" t="str"/>
      <x:c r="F377" s="64" t="str"/>
      <x:c r="G377" s="64" t="str"/>
      <x:c r="H377" s="86" t="str"/>
      <x:c r="I377" s="64" t="str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64" t="str"/>
      <x:c r="B378" s="64" t="str"/>
      <x:c r="C378" s="64" t="str"/>
      <x:c r="D378" s="66" t="str"/>
      <x:c r="E378" s="66" t="str"/>
      <x:c r="F378" s="64" t="str"/>
      <x:c r="G378" s="64" t="str"/>
      <x:c r="H378" s="86" t="str"/>
      <x:c r="I378" s="64" t="str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64" t="str"/>
      <x:c r="B379" s="64" t="str"/>
      <x:c r="C379" s="64" t="str"/>
      <x:c r="D379" s="66" t="str"/>
      <x:c r="E379" s="66" t="str"/>
      <x:c r="F379" s="64" t="str"/>
      <x:c r="G379" s="64" t="str"/>
      <x:c r="H379" s="86" t="str"/>
      <x:c r="I379" s="64" t="str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64" t="str"/>
      <x:c r="B380" s="64" t="str"/>
      <x:c r="C380" s="64" t="str"/>
      <x:c r="D380" s="66" t="str"/>
      <x:c r="E380" s="66" t="str"/>
      <x:c r="F380" s="64" t="str"/>
      <x:c r="G380" s="64" t="str"/>
      <x:c r="H380" s="86" t="str"/>
      <x:c r="I380" s="64" t="str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64" t="str"/>
      <x:c r="B381" s="64" t="str"/>
      <x:c r="C381" s="64" t="str"/>
      <x:c r="D381" s="66" t="str"/>
      <x:c r="E381" s="66" t="str"/>
      <x:c r="F381" s="64" t="str"/>
      <x:c r="G381" s="64" t="str"/>
      <x:c r="H381" s="86" t="str"/>
      <x:c r="I381" s="64" t="str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64" t="str"/>
      <x:c r="B382" s="64" t="str"/>
      <x:c r="C382" s="64" t="str"/>
      <x:c r="D382" s="66" t="str"/>
      <x:c r="E382" s="66" t="str"/>
      <x:c r="F382" s="64" t="str"/>
      <x:c r="G382" s="64" t="str"/>
      <x:c r="H382" s="86" t="str"/>
      <x:c r="I382" s="64" t="str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64" t="str"/>
      <x:c r="B383" s="64" t="str"/>
      <x:c r="C383" s="64" t="str"/>
      <x:c r="D383" s="66" t="str"/>
      <x:c r="E383" s="66" t="str"/>
      <x:c r="F383" s="64" t="str"/>
      <x:c r="G383" s="64" t="str"/>
      <x:c r="H383" s="86" t="str"/>
      <x:c r="I383" s="64" t="str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64" t="str"/>
      <x:c r="B384" s="64" t="str"/>
      <x:c r="C384" s="64" t="str"/>
      <x:c r="D384" s="66" t="str"/>
      <x:c r="E384" s="66" t="str"/>
      <x:c r="F384" s="64" t="str"/>
      <x:c r="G384" s="64" t="str"/>
      <x:c r="H384" s="86" t="str"/>
      <x:c r="I384" s="64" t="str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64" t="str"/>
      <x:c r="B385" s="64" t="str"/>
      <x:c r="C385" s="64" t="str"/>
      <x:c r="D385" s="66" t="str"/>
      <x:c r="E385" s="66" t="str"/>
      <x:c r="F385" s="64" t="str"/>
      <x:c r="G385" s="64" t="str"/>
      <x:c r="H385" s="86" t="str"/>
      <x:c r="I385" s="64" t="str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64" t="str"/>
      <x:c r="B386" s="64" t="str"/>
      <x:c r="C386" s="64" t="str"/>
      <x:c r="D386" s="66" t="str"/>
      <x:c r="E386" s="66" t="str"/>
      <x:c r="F386" s="64" t="str"/>
      <x:c r="G386" s="64" t="str"/>
      <x:c r="H386" s="86" t="str"/>
      <x:c r="I386" s="64" t="str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64" t="str"/>
      <x:c r="B387" s="64" t="str"/>
      <x:c r="C387" s="64" t="str"/>
      <x:c r="D387" s="66" t="str"/>
      <x:c r="E387" s="66" t="str"/>
      <x:c r="F387" s="64" t="str"/>
      <x:c r="G387" s="64" t="str"/>
      <x:c r="H387" s="86" t="str"/>
      <x:c r="I387" s="64" t="str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64" t="str"/>
      <x:c r="B388" s="64" t="str"/>
      <x:c r="C388" s="64" t="str"/>
      <x:c r="D388" s="66" t="str"/>
      <x:c r="E388" s="66" t="str"/>
      <x:c r="F388" s="64" t="str"/>
      <x:c r="G388" s="64" t="str"/>
      <x:c r="H388" s="86" t="str"/>
      <x:c r="I388" s="64" t="str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64" t="str"/>
      <x:c r="B389" s="64" t="str"/>
      <x:c r="C389" s="64" t="str"/>
      <x:c r="D389" s="66" t="str"/>
      <x:c r="E389" s="66" t="str"/>
      <x:c r="F389" s="64" t="str"/>
      <x:c r="G389" s="64" t="str"/>
      <x:c r="H389" s="86" t="str"/>
      <x:c r="I389" s="64" t="str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64" t="str"/>
      <x:c r="B390" s="64" t="str"/>
      <x:c r="C390" s="64" t="str"/>
      <x:c r="D390" s="66" t="str"/>
      <x:c r="E390" s="66" t="str"/>
      <x:c r="F390" s="64" t="str"/>
      <x:c r="G390" s="64" t="str"/>
      <x:c r="H390" s="86" t="str"/>
      <x:c r="I390" s="64" t="str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64" t="str"/>
      <x:c r="B391" s="64" t="str"/>
      <x:c r="C391" s="64" t="str"/>
      <x:c r="D391" s="66" t="str"/>
      <x:c r="E391" s="66" t="str"/>
      <x:c r="F391" s="64" t="str"/>
      <x:c r="G391" s="64" t="str"/>
      <x:c r="H391" s="86" t="str"/>
      <x:c r="I391" s="64" t="str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64" t="str"/>
      <x:c r="B392" s="64" t="str"/>
      <x:c r="C392" s="64" t="str"/>
      <x:c r="D392" s="66" t="str"/>
      <x:c r="E392" s="66" t="str"/>
      <x:c r="F392" s="64" t="str"/>
      <x:c r="G392" s="64" t="str"/>
      <x:c r="H392" s="86" t="str"/>
      <x:c r="I392" s="64" t="str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64" t="str"/>
      <x:c r="B393" s="64" t="str"/>
      <x:c r="C393" s="64" t="str"/>
      <x:c r="D393" s="66" t="str"/>
      <x:c r="E393" s="66" t="str"/>
      <x:c r="F393" s="64" t="str"/>
      <x:c r="G393" s="64" t="str"/>
      <x:c r="H393" s="86" t="str"/>
      <x:c r="I393" s="64" t="str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64" t="str"/>
      <x:c r="B394" s="64" t="str"/>
      <x:c r="C394" s="64" t="str"/>
      <x:c r="D394" s="66" t="str"/>
      <x:c r="E394" s="66" t="str"/>
      <x:c r="F394" s="64" t="str"/>
      <x:c r="G394" s="64" t="str"/>
      <x:c r="H394" s="86" t="str"/>
      <x:c r="I394" s="64" t="str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64" t="str"/>
      <x:c r="B395" s="64" t="str"/>
      <x:c r="C395" s="64" t="str"/>
      <x:c r="D395" s="66" t="str"/>
      <x:c r="E395" s="66" t="str"/>
      <x:c r="F395" s="64" t="str"/>
      <x:c r="G395" s="64" t="str"/>
      <x:c r="H395" s="86" t="str"/>
      <x:c r="I395" s="64" t="str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64" t="str"/>
      <x:c r="B396" s="64" t="str"/>
      <x:c r="C396" s="64" t="str"/>
      <x:c r="D396" s="66" t="str"/>
      <x:c r="E396" s="66" t="str"/>
      <x:c r="F396" s="64" t="str"/>
      <x:c r="G396" s="64" t="str"/>
      <x:c r="H396" s="86" t="str"/>
      <x:c r="I396" s="64" t="str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64" t="str"/>
      <x:c r="B397" s="64" t="str"/>
      <x:c r="C397" s="64" t="str"/>
      <x:c r="D397" s="66" t="str"/>
      <x:c r="E397" s="66" t="str"/>
      <x:c r="F397" s="64" t="str"/>
      <x:c r="G397" s="64" t="str"/>
      <x:c r="H397" s="86" t="str"/>
      <x:c r="I397" s="64" t="str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64" t="str"/>
      <x:c r="B398" s="64" t="str"/>
      <x:c r="C398" s="64" t="str"/>
      <x:c r="D398" s="66" t="str"/>
      <x:c r="E398" s="66" t="str"/>
      <x:c r="F398" s="64" t="str"/>
      <x:c r="G398" s="64" t="str"/>
      <x:c r="H398" s="86" t="str"/>
      <x:c r="I398" s="64" t="str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64" t="str"/>
      <x:c r="B399" s="64" t="str"/>
      <x:c r="C399" s="64" t="str"/>
      <x:c r="D399" s="66" t="str"/>
      <x:c r="E399" s="66" t="str"/>
      <x:c r="F399" s="64" t="str"/>
      <x:c r="G399" s="64" t="str"/>
      <x:c r="H399" s="86" t="str"/>
      <x:c r="I399" s="64" t="str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64" t="str"/>
      <x:c r="B400" s="64" t="str"/>
      <x:c r="C400" s="64" t="str"/>
      <x:c r="D400" s="66" t="str"/>
      <x:c r="E400" s="66" t="str"/>
      <x:c r="F400" s="64" t="str"/>
      <x:c r="G400" s="64" t="str"/>
      <x:c r="H400" s="86" t="str"/>
      <x:c r="I400" s="64" t="str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64" t="str"/>
      <x:c r="B401" s="64" t="str"/>
      <x:c r="C401" s="64" t="str"/>
      <x:c r="D401" s="66" t="str"/>
      <x:c r="E401" s="66" t="str"/>
      <x:c r="F401" s="64" t="str"/>
      <x:c r="G401" s="64" t="str"/>
      <x:c r="H401" s="86" t="str"/>
      <x:c r="I401" s="64" t="str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64" t="str"/>
      <x:c r="B402" s="64" t="str"/>
      <x:c r="C402" s="64" t="str"/>
      <x:c r="D402" s="66" t="str"/>
      <x:c r="E402" s="66" t="str"/>
      <x:c r="F402" s="64" t="str"/>
      <x:c r="G402" s="64" t="str"/>
      <x:c r="H402" s="86" t="str"/>
      <x:c r="I402" s="64" t="str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64" t="str"/>
      <x:c r="B403" s="64" t="str"/>
      <x:c r="C403" s="64" t="str"/>
      <x:c r="D403" s="66" t="str"/>
      <x:c r="E403" s="66" t="str"/>
      <x:c r="F403" s="64" t="str"/>
      <x:c r="G403" s="64" t="str"/>
      <x:c r="H403" s="86" t="str"/>
      <x:c r="I403" s="64" t="str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64" t="str"/>
      <x:c r="B404" s="64" t="str"/>
      <x:c r="C404" s="64" t="str"/>
      <x:c r="D404" s="66" t="str"/>
      <x:c r="E404" s="66" t="str"/>
      <x:c r="F404" s="64" t="str"/>
      <x:c r="G404" s="64" t="str"/>
      <x:c r="H404" s="86" t="str"/>
      <x:c r="I404" s="64" t="str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64" t="str"/>
      <x:c r="B405" s="64" t="str"/>
      <x:c r="C405" s="64" t="str"/>
      <x:c r="D405" s="66" t="str"/>
      <x:c r="E405" s="66" t="str"/>
      <x:c r="F405" s="64" t="str"/>
      <x:c r="G405" s="64" t="str"/>
      <x:c r="H405" s="86" t="str"/>
      <x:c r="I405" s="64" t="str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64" t="str"/>
      <x:c r="B406" s="64" t="str"/>
      <x:c r="C406" s="64" t="str"/>
      <x:c r="D406" s="66" t="str"/>
      <x:c r="E406" s="66" t="str"/>
      <x:c r="F406" s="64" t="str"/>
      <x:c r="G406" s="64" t="str"/>
      <x:c r="H406" s="86" t="str"/>
      <x:c r="I406" s="64" t="str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64" t="str"/>
      <x:c r="B407" s="64" t="str"/>
      <x:c r="C407" s="64" t="str"/>
      <x:c r="D407" s="66" t="str"/>
      <x:c r="E407" s="66" t="str"/>
      <x:c r="F407" s="64" t="str"/>
      <x:c r="G407" s="64" t="str"/>
      <x:c r="H407" s="86" t="str"/>
      <x:c r="I407" s="64" t="str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64" t="str"/>
      <x:c r="B408" s="64" t="str"/>
      <x:c r="C408" s="64" t="str"/>
      <x:c r="D408" s="66" t="str"/>
      <x:c r="E408" s="66" t="str"/>
      <x:c r="F408" s="64" t="str"/>
      <x:c r="G408" s="64" t="str"/>
      <x:c r="H408" s="86" t="str"/>
      <x:c r="I408" s="64" t="str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64" t="str"/>
      <x:c r="B409" s="64" t="str"/>
      <x:c r="C409" s="64" t="str"/>
      <x:c r="D409" s="66" t="str"/>
      <x:c r="E409" s="66" t="str"/>
      <x:c r="F409" s="64" t="str"/>
      <x:c r="G409" s="64" t="str"/>
      <x:c r="H409" s="86" t="str"/>
      <x:c r="I409" s="64" t="str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64" t="str"/>
      <x:c r="B410" s="64" t="str"/>
      <x:c r="C410" s="64" t="str"/>
      <x:c r="D410" s="66" t="str"/>
      <x:c r="E410" s="66" t="str"/>
      <x:c r="F410" s="64" t="str"/>
      <x:c r="G410" s="64" t="str"/>
      <x:c r="H410" s="86" t="str"/>
      <x:c r="I410" s="64" t="str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64" t="str"/>
      <x:c r="B411" s="64" t="str"/>
      <x:c r="C411" s="64" t="str"/>
      <x:c r="D411" s="66" t="str"/>
      <x:c r="E411" s="66" t="str"/>
      <x:c r="F411" s="64" t="str"/>
      <x:c r="G411" s="64" t="str"/>
      <x:c r="H411" s="86" t="str"/>
      <x:c r="I411" s="64" t="str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64" t="str"/>
      <x:c r="B412" s="64" t="str"/>
      <x:c r="C412" s="64" t="str"/>
      <x:c r="D412" s="66" t="str"/>
      <x:c r="E412" s="66" t="str"/>
      <x:c r="F412" s="64" t="str"/>
      <x:c r="G412" s="64" t="str"/>
      <x:c r="H412" s="86" t="str"/>
      <x:c r="I412" s="64" t="str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64" t="str"/>
      <x:c r="B413" s="64" t="str"/>
      <x:c r="C413" s="64" t="str"/>
      <x:c r="D413" s="66" t="str"/>
      <x:c r="E413" s="66" t="str"/>
      <x:c r="F413" s="64" t="str"/>
      <x:c r="G413" s="64" t="str"/>
      <x:c r="H413" s="86" t="str"/>
      <x:c r="I413" s="64" t="str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64" t="str"/>
      <x:c r="B414" s="64" t="str"/>
      <x:c r="C414" s="64" t="str"/>
      <x:c r="D414" s="66" t="str"/>
      <x:c r="E414" s="66" t="str"/>
      <x:c r="F414" s="64" t="str"/>
      <x:c r="G414" s="64" t="str"/>
      <x:c r="H414" s="86" t="str"/>
      <x:c r="I414" s="64" t="str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64" t="str"/>
      <x:c r="B415" s="64" t="str"/>
      <x:c r="C415" s="64" t="str"/>
      <x:c r="D415" s="66" t="str"/>
      <x:c r="E415" s="66" t="str"/>
      <x:c r="F415" s="64" t="str"/>
      <x:c r="G415" s="64" t="str"/>
      <x:c r="H415" s="86" t="str"/>
      <x:c r="I415" s="64" t="str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64" t="str"/>
      <x:c r="B416" s="64" t="str"/>
      <x:c r="C416" s="64" t="str"/>
      <x:c r="D416" s="66" t="str"/>
      <x:c r="E416" s="66" t="str"/>
      <x:c r="F416" s="64" t="str"/>
      <x:c r="G416" s="64" t="str"/>
      <x:c r="H416" s="86" t="str"/>
      <x:c r="I416" s="64" t="str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64" t="str"/>
      <x:c r="B417" s="64" t="str"/>
      <x:c r="C417" s="64" t="str"/>
      <x:c r="D417" s="66" t="str"/>
      <x:c r="E417" s="66" t="str"/>
      <x:c r="F417" s="64" t="str"/>
      <x:c r="G417" s="64" t="str"/>
      <x:c r="H417" s="86" t="str"/>
      <x:c r="I417" s="64" t="str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64" t="str"/>
      <x:c r="B418" s="64" t="str"/>
      <x:c r="C418" s="64" t="str"/>
      <x:c r="D418" s="66" t="str"/>
      <x:c r="E418" s="66" t="str"/>
      <x:c r="F418" s="64" t="str"/>
      <x:c r="G418" s="64" t="str"/>
      <x:c r="H418" s="86" t="str"/>
      <x:c r="I418" s="64" t="str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64" t="str"/>
      <x:c r="B419" s="64" t="str"/>
      <x:c r="C419" s="64" t="str"/>
      <x:c r="D419" s="66" t="str"/>
      <x:c r="E419" s="66" t="str"/>
      <x:c r="F419" s="64" t="str"/>
      <x:c r="G419" s="64" t="str"/>
      <x:c r="H419" s="86" t="str"/>
      <x:c r="I419" s="64" t="str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64" t="str"/>
      <x:c r="B420" s="64" t="str"/>
      <x:c r="C420" s="64" t="str"/>
      <x:c r="D420" s="66" t="str"/>
      <x:c r="E420" s="66" t="str"/>
      <x:c r="F420" s="64" t="str"/>
      <x:c r="G420" s="64" t="str"/>
      <x:c r="H420" s="86" t="str"/>
      <x:c r="I420" s="64" t="str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64" t="str"/>
      <x:c r="B421" s="64" t="str"/>
      <x:c r="C421" s="64" t="str"/>
      <x:c r="D421" s="66" t="str"/>
      <x:c r="E421" s="66" t="str"/>
      <x:c r="F421" s="64" t="str"/>
      <x:c r="G421" s="64" t="str"/>
      <x:c r="H421" s="86" t="str"/>
      <x:c r="I421" s="64" t="str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64" t="str"/>
      <x:c r="B422" s="64" t="str"/>
      <x:c r="C422" s="64" t="str"/>
      <x:c r="D422" s="66" t="str"/>
      <x:c r="E422" s="66" t="str"/>
      <x:c r="F422" s="64" t="str"/>
      <x:c r="G422" s="64" t="str"/>
      <x:c r="H422" s="86" t="str"/>
      <x:c r="I422" s="64" t="str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64" t="str"/>
      <x:c r="B423" s="64" t="str"/>
      <x:c r="C423" s="64" t="str"/>
      <x:c r="D423" s="66" t="str"/>
      <x:c r="E423" s="66" t="str"/>
      <x:c r="F423" s="64" t="str"/>
      <x:c r="G423" s="64" t="str"/>
      <x:c r="H423" s="86" t="str"/>
      <x:c r="I423" s="64" t="str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64" t="str"/>
      <x:c r="B424" s="64" t="str"/>
      <x:c r="C424" s="64" t="str"/>
      <x:c r="D424" s="66" t="str"/>
      <x:c r="E424" s="66" t="str"/>
      <x:c r="F424" s="64" t="str"/>
      <x:c r="G424" s="64" t="str"/>
      <x:c r="H424" s="86" t="str"/>
      <x:c r="I424" s="64" t="str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64" t="str"/>
      <x:c r="B425" s="64" t="str"/>
      <x:c r="C425" s="64" t="str"/>
      <x:c r="D425" s="66" t="str"/>
      <x:c r="E425" s="66" t="str"/>
      <x:c r="F425" s="64" t="str"/>
      <x:c r="G425" s="64" t="str"/>
      <x:c r="H425" s="86" t="str"/>
      <x:c r="I425" s="64" t="str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64" t="str"/>
      <x:c r="B426" s="64" t="str"/>
      <x:c r="C426" s="64" t="str"/>
      <x:c r="D426" s="66" t="str"/>
      <x:c r="E426" s="66" t="str"/>
      <x:c r="F426" s="64" t="str"/>
      <x:c r="G426" s="64" t="str"/>
      <x:c r="H426" s="86" t="str"/>
      <x:c r="I426" s="64" t="str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64" t="str"/>
      <x:c r="B427" s="64" t="str"/>
      <x:c r="C427" s="64" t="str"/>
      <x:c r="D427" s="66" t="str"/>
      <x:c r="E427" s="66" t="str"/>
      <x:c r="F427" s="64" t="str"/>
      <x:c r="G427" s="64" t="str"/>
      <x:c r="H427" s="86" t="str"/>
      <x:c r="I427" s="64" t="str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64" t="str"/>
      <x:c r="B428" s="64" t="str"/>
      <x:c r="C428" s="64" t="str"/>
      <x:c r="D428" s="66" t="str"/>
      <x:c r="E428" s="66" t="str"/>
      <x:c r="F428" s="64" t="str"/>
      <x:c r="G428" s="64" t="str"/>
      <x:c r="H428" s="86" t="str"/>
      <x:c r="I428" s="64" t="str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64" t="str"/>
      <x:c r="B429" s="64" t="str"/>
      <x:c r="C429" s="64" t="str"/>
      <x:c r="D429" s="66" t="str"/>
      <x:c r="E429" s="66" t="str"/>
      <x:c r="F429" s="64" t="str"/>
      <x:c r="G429" s="64" t="str"/>
      <x:c r="H429" s="86" t="str"/>
      <x:c r="I429" s="64" t="str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64" t="str"/>
      <x:c r="B430" s="64" t="str"/>
      <x:c r="C430" s="64" t="str"/>
      <x:c r="D430" s="66" t="str"/>
      <x:c r="E430" s="66" t="str"/>
      <x:c r="F430" s="64" t="str"/>
      <x:c r="G430" s="64" t="str"/>
      <x:c r="H430" s="86" t="str"/>
      <x:c r="I430" s="64" t="str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64" t="str"/>
      <x:c r="B431" s="64" t="str"/>
      <x:c r="C431" s="64" t="str"/>
      <x:c r="D431" s="66" t="str"/>
      <x:c r="E431" s="66" t="str"/>
      <x:c r="F431" s="64" t="str"/>
      <x:c r="G431" s="64" t="str"/>
      <x:c r="H431" s="86" t="str"/>
      <x:c r="I431" s="64" t="str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64" t="str"/>
      <x:c r="B432" s="64" t="str"/>
      <x:c r="C432" s="64" t="str"/>
      <x:c r="D432" s="66" t="str"/>
      <x:c r="E432" s="66" t="str"/>
      <x:c r="F432" s="64" t="str"/>
      <x:c r="G432" s="64" t="str"/>
      <x:c r="H432" s="86" t="str"/>
      <x:c r="I432" s="64" t="str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64" t="str"/>
      <x:c r="B433" s="64" t="str"/>
      <x:c r="C433" s="64" t="str"/>
      <x:c r="D433" s="66" t="str"/>
      <x:c r="E433" s="66" t="str"/>
      <x:c r="F433" s="64" t="str"/>
      <x:c r="G433" s="64" t="str"/>
      <x:c r="H433" s="86" t="str"/>
      <x:c r="I433" s="64" t="str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64" t="str"/>
      <x:c r="B434" s="64" t="str"/>
      <x:c r="C434" s="64" t="str"/>
      <x:c r="D434" s="66" t="str"/>
      <x:c r="E434" s="66" t="str"/>
      <x:c r="F434" s="64" t="str"/>
      <x:c r="G434" s="64" t="str"/>
      <x:c r="H434" s="86" t="str"/>
      <x:c r="I434" s="64" t="str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64" t="str"/>
      <x:c r="B435" s="64" t="str"/>
      <x:c r="C435" s="64" t="str"/>
      <x:c r="D435" s="66" t="str"/>
      <x:c r="E435" s="66" t="str"/>
      <x:c r="F435" s="64" t="str"/>
      <x:c r="G435" s="64" t="str"/>
      <x:c r="H435" s="86" t="str"/>
      <x:c r="I435" s="64" t="str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64" t="str"/>
      <x:c r="B436" s="64" t="str"/>
      <x:c r="C436" s="64" t="str"/>
      <x:c r="D436" s="66" t="str"/>
      <x:c r="E436" s="66" t="str"/>
      <x:c r="F436" s="64" t="str"/>
      <x:c r="G436" s="64" t="str"/>
      <x:c r="H436" s="86" t="str"/>
      <x:c r="I436" s="64" t="str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64" t="str"/>
      <x:c r="B437" s="64" t="str"/>
      <x:c r="C437" s="64" t="str"/>
      <x:c r="D437" s="66" t="str"/>
      <x:c r="E437" s="66" t="str"/>
      <x:c r="F437" s="64" t="str"/>
      <x:c r="G437" s="64" t="str"/>
      <x:c r="H437" s="86" t="str"/>
      <x:c r="I437" s="64" t="str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64" t="str"/>
      <x:c r="B438" s="64" t="str"/>
      <x:c r="C438" s="64" t="str"/>
      <x:c r="D438" s="66" t="str"/>
      <x:c r="E438" s="66" t="str"/>
      <x:c r="F438" s="64" t="str"/>
      <x:c r="G438" s="64" t="str"/>
      <x:c r="H438" s="86" t="str"/>
      <x:c r="I438" s="64" t="str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64" t="str"/>
      <x:c r="B439" s="64" t="str"/>
      <x:c r="C439" s="64" t="str"/>
      <x:c r="D439" s="66" t="str"/>
      <x:c r="E439" s="66" t="str"/>
      <x:c r="F439" s="64" t="str"/>
      <x:c r="G439" s="64" t="str"/>
      <x:c r="H439" s="86" t="str"/>
      <x:c r="I439" s="64" t="str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64" t="str"/>
      <x:c r="B440" s="64" t="str"/>
      <x:c r="C440" s="64" t="str"/>
      <x:c r="D440" s="66" t="str"/>
      <x:c r="E440" s="66" t="str"/>
      <x:c r="F440" s="64" t="str"/>
      <x:c r="G440" s="64" t="str"/>
      <x:c r="H440" s="86" t="str"/>
      <x:c r="I440" s="64" t="str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64" t="str"/>
      <x:c r="B441" s="64" t="str"/>
      <x:c r="C441" s="64" t="str"/>
      <x:c r="D441" s="66" t="str"/>
      <x:c r="E441" s="66" t="str"/>
      <x:c r="F441" s="64" t="str"/>
      <x:c r="G441" s="64" t="str"/>
      <x:c r="H441" s="86" t="str"/>
      <x:c r="I441" s="64" t="str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64" t="str"/>
      <x:c r="B442" s="64" t="str"/>
      <x:c r="C442" s="64" t="str"/>
      <x:c r="D442" s="66" t="str"/>
      <x:c r="E442" s="66" t="str"/>
      <x:c r="F442" s="64" t="str"/>
      <x:c r="G442" s="64" t="str"/>
      <x:c r="H442" s="86" t="str"/>
      <x:c r="I442" s="64" t="str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64" t="str"/>
      <x:c r="B443" s="64" t="str"/>
      <x:c r="C443" s="64" t="str"/>
      <x:c r="D443" s="66" t="str"/>
      <x:c r="E443" s="66" t="str"/>
      <x:c r="F443" s="64" t="str"/>
      <x:c r="G443" s="64" t="str"/>
      <x:c r="H443" s="86" t="str"/>
      <x:c r="I443" s="64" t="str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64" t="str"/>
      <x:c r="B444" s="64" t="str"/>
      <x:c r="C444" s="64" t="str"/>
      <x:c r="D444" s="66" t="str"/>
      <x:c r="E444" s="66" t="str"/>
      <x:c r="F444" s="64" t="str"/>
      <x:c r="G444" s="64" t="str"/>
      <x:c r="H444" s="86" t="str"/>
      <x:c r="I444" s="64" t="str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64" t="str"/>
      <x:c r="B445" s="64" t="str"/>
      <x:c r="C445" s="64" t="str"/>
      <x:c r="D445" s="66" t="str"/>
      <x:c r="E445" s="66" t="str"/>
      <x:c r="F445" s="64" t="str"/>
      <x:c r="G445" s="64" t="str"/>
      <x:c r="H445" s="86" t="str"/>
      <x:c r="I445" s="64" t="str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64" t="str"/>
      <x:c r="B446" s="64" t="str"/>
      <x:c r="C446" s="64" t="str"/>
      <x:c r="D446" s="66" t="str"/>
      <x:c r="E446" s="66" t="str"/>
      <x:c r="F446" s="64" t="str"/>
      <x:c r="G446" s="64" t="str"/>
      <x:c r="H446" s="86" t="str"/>
      <x:c r="I446" s="64" t="str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64" t="str"/>
      <x:c r="B447" s="64" t="str"/>
      <x:c r="C447" s="64" t="str"/>
      <x:c r="D447" s="66" t="str"/>
      <x:c r="E447" s="66" t="str"/>
      <x:c r="F447" s="64" t="str"/>
      <x:c r="G447" s="64" t="str"/>
      <x:c r="H447" s="86" t="str"/>
      <x:c r="I447" s="64" t="str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64" t="str"/>
      <x:c r="B448" s="64" t="str"/>
      <x:c r="C448" s="64" t="str"/>
      <x:c r="D448" s="66" t="str"/>
      <x:c r="E448" s="66" t="str"/>
      <x:c r="F448" s="64" t="str"/>
      <x:c r="G448" s="64" t="str"/>
      <x:c r="H448" s="86" t="str"/>
      <x:c r="I448" s="64" t="str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64" t="str"/>
      <x:c r="B449" s="64" t="str"/>
      <x:c r="C449" s="64" t="str"/>
      <x:c r="D449" s="66" t="str"/>
      <x:c r="E449" s="66" t="str"/>
      <x:c r="F449" s="64" t="str"/>
      <x:c r="G449" s="64" t="str"/>
      <x:c r="H449" s="86" t="str"/>
      <x:c r="I449" s="64" t="str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64" t="str"/>
      <x:c r="B450" s="64" t="str"/>
      <x:c r="C450" s="64" t="str"/>
      <x:c r="D450" s="66" t="str"/>
      <x:c r="E450" s="66" t="str"/>
      <x:c r="F450" s="64" t="str"/>
      <x:c r="G450" s="64" t="str"/>
      <x:c r="H450" s="86" t="str"/>
      <x:c r="I450" s="64" t="str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64" t="str"/>
      <x:c r="B451" s="64" t="str"/>
      <x:c r="C451" s="64" t="str"/>
      <x:c r="D451" s="66" t="str"/>
      <x:c r="E451" s="66" t="str"/>
      <x:c r="F451" s="64" t="str"/>
      <x:c r="G451" s="64" t="str"/>
      <x:c r="H451" s="86" t="str"/>
      <x:c r="I451" s="64" t="str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64" t="str"/>
      <x:c r="B452" s="64" t="str"/>
      <x:c r="C452" s="64" t="str"/>
      <x:c r="D452" s="66" t="str"/>
      <x:c r="E452" s="66" t="str"/>
      <x:c r="F452" s="64" t="str"/>
      <x:c r="G452" s="64" t="str"/>
      <x:c r="H452" s="86" t="str"/>
      <x:c r="I452" s="64" t="str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64" t="str"/>
      <x:c r="B453" s="64" t="str"/>
      <x:c r="C453" s="64" t="str"/>
      <x:c r="D453" s="66" t="str"/>
      <x:c r="E453" s="66" t="str"/>
      <x:c r="F453" s="64" t="str"/>
      <x:c r="G453" s="64" t="str"/>
      <x:c r="H453" s="86" t="str"/>
      <x:c r="I453" s="64" t="str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64" t="str"/>
      <x:c r="B454" s="64" t="str"/>
      <x:c r="C454" s="64" t="str"/>
      <x:c r="D454" s="66" t="str"/>
      <x:c r="E454" s="66" t="str"/>
      <x:c r="F454" s="64" t="str"/>
      <x:c r="G454" s="64" t="str"/>
      <x:c r="H454" s="86" t="str"/>
      <x:c r="I454" s="64" t="str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64" t="str"/>
      <x:c r="B455" s="64" t="str"/>
      <x:c r="C455" s="64" t="str"/>
      <x:c r="D455" s="66" t="str"/>
      <x:c r="E455" s="66" t="str"/>
      <x:c r="F455" s="64" t="str"/>
      <x:c r="G455" s="64" t="str"/>
      <x:c r="H455" s="86" t="str"/>
      <x:c r="I455" s="64" t="str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64" t="str"/>
      <x:c r="B456" s="64" t="str"/>
      <x:c r="C456" s="64" t="str"/>
      <x:c r="D456" s="66" t="str"/>
      <x:c r="E456" s="66" t="str"/>
      <x:c r="F456" s="64" t="str"/>
      <x:c r="G456" s="64" t="str"/>
      <x:c r="H456" s="86" t="str"/>
      <x:c r="I456" s="64" t="str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64" t="str"/>
      <x:c r="B457" s="64" t="str"/>
      <x:c r="C457" s="64" t="str"/>
      <x:c r="D457" s="66" t="str"/>
      <x:c r="E457" s="66" t="str"/>
      <x:c r="F457" s="64" t="str"/>
      <x:c r="G457" s="64" t="str"/>
      <x:c r="H457" s="86" t="str"/>
      <x:c r="I457" s="64" t="str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64" t="str"/>
      <x:c r="B458" s="64" t="str"/>
      <x:c r="C458" s="64" t="str"/>
      <x:c r="D458" s="66" t="str"/>
      <x:c r="E458" s="66" t="str"/>
      <x:c r="F458" s="64" t="str"/>
      <x:c r="G458" s="64" t="str"/>
      <x:c r="H458" s="86" t="str"/>
      <x:c r="I458" s="64" t="str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64" t="str"/>
      <x:c r="B459" s="64" t="str"/>
      <x:c r="C459" s="64" t="str"/>
      <x:c r="D459" s="66" t="str"/>
      <x:c r="E459" s="66" t="str"/>
      <x:c r="F459" s="64" t="str"/>
      <x:c r="G459" s="64" t="str"/>
      <x:c r="H459" s="86" t="str"/>
      <x:c r="I459" s="64" t="str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64" t="str"/>
      <x:c r="B460" s="64" t="str"/>
      <x:c r="C460" s="64" t="str"/>
      <x:c r="D460" s="66" t="str"/>
      <x:c r="E460" s="66" t="str"/>
      <x:c r="F460" s="64" t="str"/>
      <x:c r="G460" s="64" t="str"/>
      <x:c r="H460" s="86" t="str"/>
      <x:c r="I460" s="64" t="str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64" t="str"/>
      <x:c r="B461" s="64" t="str"/>
      <x:c r="C461" s="64" t="str"/>
      <x:c r="D461" s="66" t="str"/>
      <x:c r="E461" s="66" t="str"/>
      <x:c r="F461" s="64" t="str"/>
      <x:c r="G461" s="64" t="str"/>
      <x:c r="H461" s="86" t="str"/>
      <x:c r="I461" s="64" t="str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64" t="str"/>
      <x:c r="B462" s="64" t="str"/>
      <x:c r="C462" s="64" t="str"/>
      <x:c r="D462" s="66" t="str"/>
      <x:c r="E462" s="66" t="str"/>
      <x:c r="F462" s="64" t="str"/>
      <x:c r="G462" s="64" t="str"/>
      <x:c r="H462" s="86" t="str"/>
      <x:c r="I462" s="64" t="str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64" t="str"/>
      <x:c r="B463" s="64" t="str"/>
      <x:c r="C463" s="64" t="str"/>
      <x:c r="D463" s="66" t="str"/>
      <x:c r="E463" s="66" t="str"/>
      <x:c r="F463" s="64" t="str"/>
      <x:c r="G463" s="64" t="str"/>
      <x:c r="H463" s="86" t="str"/>
      <x:c r="I463" s="64" t="str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64" t="str"/>
      <x:c r="B464" s="64" t="str"/>
      <x:c r="C464" s="64" t="str"/>
      <x:c r="D464" s="66" t="str"/>
      <x:c r="E464" s="66" t="str"/>
      <x:c r="F464" s="64" t="str"/>
      <x:c r="G464" s="64" t="str"/>
      <x:c r="H464" s="86" t="str"/>
      <x:c r="I464" s="64" t="str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64" t="str"/>
      <x:c r="B465" s="64" t="str"/>
      <x:c r="C465" s="64" t="str"/>
      <x:c r="D465" s="66" t="str"/>
      <x:c r="E465" s="66" t="str"/>
      <x:c r="F465" s="64" t="str"/>
      <x:c r="G465" s="64" t="str"/>
      <x:c r="H465" s="86" t="str"/>
      <x:c r="I465" s="64" t="str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64" t="str"/>
      <x:c r="B466" s="64" t="str"/>
      <x:c r="C466" s="64" t="str"/>
      <x:c r="D466" s="66" t="str"/>
      <x:c r="E466" s="66" t="str"/>
      <x:c r="F466" s="64" t="str"/>
      <x:c r="G466" s="64" t="str"/>
      <x:c r="H466" s="86" t="str"/>
      <x:c r="I466" s="64" t="str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64" t="str"/>
      <x:c r="B467" s="64" t="str"/>
      <x:c r="C467" s="64" t="str"/>
      <x:c r="D467" s="66" t="str"/>
      <x:c r="E467" s="66" t="str"/>
      <x:c r="F467" s="64" t="str"/>
      <x:c r="G467" s="64" t="str"/>
      <x:c r="H467" s="86" t="str"/>
      <x:c r="I467" s="64" t="str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64" t="str"/>
      <x:c r="B468" s="64" t="str"/>
      <x:c r="C468" s="64" t="str"/>
      <x:c r="D468" s="66" t="str"/>
      <x:c r="E468" s="66" t="str"/>
      <x:c r="F468" s="64" t="str"/>
      <x:c r="G468" s="64" t="str"/>
      <x:c r="H468" s="86" t="str"/>
      <x:c r="I468" s="64" t="str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64" t="str"/>
      <x:c r="B469" s="64" t="str"/>
      <x:c r="C469" s="64" t="str"/>
      <x:c r="D469" s="66" t="str"/>
      <x:c r="E469" s="66" t="str"/>
      <x:c r="F469" s="64" t="str"/>
      <x:c r="G469" s="64" t="str"/>
      <x:c r="H469" s="86" t="str"/>
      <x:c r="I469" s="64" t="str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64" t="str"/>
      <x:c r="B470" s="64" t="str"/>
      <x:c r="C470" s="64" t="str"/>
      <x:c r="D470" s="66" t="str"/>
      <x:c r="E470" s="66" t="str"/>
      <x:c r="F470" s="64" t="str"/>
      <x:c r="G470" s="64" t="str"/>
      <x:c r="H470" s="86" t="str"/>
      <x:c r="I470" s="64" t="str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64" t="str"/>
      <x:c r="B471" s="64" t="str"/>
      <x:c r="C471" s="64" t="str"/>
      <x:c r="D471" s="66" t="str"/>
      <x:c r="E471" s="66" t="str"/>
      <x:c r="F471" s="64" t="str"/>
      <x:c r="G471" s="64" t="str"/>
      <x:c r="H471" s="86" t="str"/>
      <x:c r="I471" s="64" t="str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64" t="str"/>
      <x:c r="B472" s="64" t="str"/>
      <x:c r="C472" s="64" t="str"/>
      <x:c r="D472" s="66" t="str"/>
      <x:c r="E472" s="66" t="str"/>
      <x:c r="F472" s="64" t="str"/>
      <x:c r="G472" s="64" t="str"/>
      <x:c r="H472" s="86" t="str"/>
      <x:c r="I472" s="64" t="str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64" t="str"/>
      <x:c r="B473" s="64" t="str"/>
      <x:c r="C473" s="64" t="str"/>
      <x:c r="D473" s="66" t="str"/>
      <x:c r="E473" s="66" t="str"/>
      <x:c r="F473" s="64" t="str"/>
      <x:c r="G473" s="64" t="str"/>
      <x:c r="H473" s="86" t="str"/>
      <x:c r="I473" s="64" t="str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64" t="str"/>
      <x:c r="B474" s="64" t="str"/>
      <x:c r="C474" s="64" t="str"/>
      <x:c r="D474" s="66" t="str"/>
      <x:c r="E474" s="66" t="str"/>
      <x:c r="F474" s="64" t="str"/>
      <x:c r="G474" s="64" t="str"/>
      <x:c r="H474" s="86" t="str"/>
      <x:c r="I474" s="64" t="str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64" t="str"/>
      <x:c r="B475" s="64" t="str"/>
      <x:c r="C475" s="64" t="str"/>
      <x:c r="D475" s="66" t="str"/>
      <x:c r="E475" s="66" t="str"/>
      <x:c r="F475" s="64" t="str"/>
      <x:c r="G475" s="64" t="str"/>
      <x:c r="H475" s="86" t="str"/>
      <x:c r="I475" s="64" t="str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64" t="str"/>
      <x:c r="B476" s="64" t="str"/>
      <x:c r="C476" s="64" t="str"/>
      <x:c r="D476" s="66" t="str"/>
      <x:c r="E476" s="66" t="str"/>
      <x:c r="F476" s="64" t="str"/>
      <x:c r="G476" s="64" t="str"/>
      <x:c r="H476" s="86" t="str"/>
      <x:c r="I476" s="64" t="str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64" t="str"/>
      <x:c r="B477" s="64" t="str"/>
      <x:c r="C477" s="64" t="str"/>
      <x:c r="D477" s="66" t="str"/>
      <x:c r="E477" s="66" t="str"/>
      <x:c r="F477" s="64" t="str"/>
      <x:c r="G477" s="64" t="str"/>
      <x:c r="H477" s="86" t="str"/>
      <x:c r="I477" s="64" t="str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64" t="str"/>
      <x:c r="B478" s="64" t="str"/>
      <x:c r="C478" s="64" t="str"/>
      <x:c r="D478" s="66" t="str"/>
      <x:c r="E478" s="66" t="str"/>
      <x:c r="F478" s="64" t="str"/>
      <x:c r="G478" s="64" t="str"/>
      <x:c r="H478" s="86" t="str"/>
      <x:c r="I478" s="64" t="str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64" t="str"/>
      <x:c r="B479" s="64" t="str"/>
      <x:c r="C479" s="64" t="str"/>
      <x:c r="D479" s="66" t="str"/>
      <x:c r="E479" s="66" t="str"/>
      <x:c r="F479" s="64" t="str"/>
      <x:c r="G479" s="64" t="str"/>
      <x:c r="H479" s="86" t="str"/>
      <x:c r="I479" s="64" t="str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64" t="str"/>
      <x:c r="B480" s="64" t="str"/>
      <x:c r="C480" s="64" t="str"/>
      <x:c r="D480" s="66" t="str"/>
      <x:c r="E480" s="66" t="str"/>
      <x:c r="F480" s="64" t="str"/>
      <x:c r="G480" s="64" t="str"/>
      <x:c r="H480" s="86" t="str"/>
      <x:c r="I480" s="64" t="str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64" t="str"/>
      <x:c r="B481" s="64" t="str"/>
      <x:c r="C481" s="64" t="str"/>
      <x:c r="D481" s="66" t="str"/>
      <x:c r="E481" s="66" t="str"/>
      <x:c r="F481" s="64" t="str"/>
      <x:c r="G481" s="64" t="str"/>
      <x:c r="H481" s="86" t="str"/>
      <x:c r="I481" s="64" t="str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64" t="str"/>
      <x:c r="B482" s="64" t="str"/>
      <x:c r="C482" s="64" t="str"/>
      <x:c r="D482" s="66" t="str"/>
      <x:c r="E482" s="66" t="str"/>
      <x:c r="F482" s="64" t="str"/>
      <x:c r="G482" s="64" t="str"/>
      <x:c r="H482" s="86" t="str"/>
      <x:c r="I482" s="64" t="str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64" t="str"/>
      <x:c r="B483" s="64" t="str"/>
      <x:c r="C483" s="64" t="str"/>
      <x:c r="D483" s="66" t="str"/>
      <x:c r="E483" s="66" t="str"/>
      <x:c r="F483" s="64" t="str"/>
      <x:c r="G483" s="64" t="str"/>
      <x:c r="H483" s="86" t="str"/>
      <x:c r="I483" s="64" t="str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64" t="str"/>
      <x:c r="B484" s="64" t="str"/>
      <x:c r="C484" s="64" t="str"/>
      <x:c r="D484" s="66" t="str"/>
      <x:c r="E484" s="66" t="str"/>
      <x:c r="F484" s="64" t="str"/>
      <x:c r="G484" s="64" t="str"/>
      <x:c r="H484" s="86" t="str"/>
      <x:c r="I484" s="64" t="str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64" t="str"/>
      <x:c r="B485" s="64" t="str"/>
      <x:c r="C485" s="64" t="str"/>
      <x:c r="D485" s="66" t="str"/>
      <x:c r="E485" s="66" t="str"/>
      <x:c r="F485" s="64" t="str"/>
      <x:c r="G485" s="64" t="str"/>
      <x:c r="H485" s="86" t="str"/>
      <x:c r="I485" s="64" t="str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64" t="str"/>
      <x:c r="B486" s="64" t="str"/>
      <x:c r="C486" s="64" t="str"/>
      <x:c r="D486" s="66" t="str"/>
      <x:c r="E486" s="66" t="str"/>
      <x:c r="F486" s="64" t="str"/>
      <x:c r="G486" s="64" t="str"/>
      <x:c r="H486" s="86" t="str"/>
      <x:c r="I486" s="64" t="str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64" t="str"/>
      <x:c r="B487" s="64" t="str"/>
      <x:c r="C487" s="64" t="str"/>
      <x:c r="D487" s="66" t="str"/>
      <x:c r="E487" s="66" t="str"/>
      <x:c r="F487" s="64" t="str"/>
      <x:c r="G487" s="64" t="str"/>
      <x:c r="H487" s="86" t="str"/>
      <x:c r="I487" s="64" t="str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64" t="str"/>
      <x:c r="B488" s="64" t="str"/>
      <x:c r="C488" s="64" t="str"/>
      <x:c r="D488" s="66" t="str"/>
      <x:c r="E488" s="66" t="str"/>
      <x:c r="F488" s="64" t="str"/>
      <x:c r="G488" s="64" t="str"/>
      <x:c r="H488" s="86" t="str"/>
      <x:c r="I488" s="64" t="str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64" t="str"/>
      <x:c r="B489" s="64" t="str"/>
      <x:c r="C489" s="64" t="str"/>
      <x:c r="D489" s="66" t="str"/>
      <x:c r="E489" s="66" t="str"/>
      <x:c r="F489" s="64" t="str"/>
      <x:c r="G489" s="64" t="str"/>
      <x:c r="H489" s="86" t="str"/>
      <x:c r="I489" s="64" t="str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64" t="str"/>
      <x:c r="B490" s="64" t="str"/>
      <x:c r="C490" s="64" t="str"/>
      <x:c r="D490" s="66" t="str"/>
      <x:c r="E490" s="66" t="str"/>
      <x:c r="F490" s="64" t="str"/>
      <x:c r="G490" s="64" t="str"/>
      <x:c r="H490" s="86" t="str"/>
      <x:c r="I490" s="64" t="str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64" t="str"/>
      <x:c r="B491" s="64" t="str"/>
      <x:c r="C491" s="64" t="str"/>
      <x:c r="D491" s="66" t="str"/>
      <x:c r="E491" s="66" t="str"/>
      <x:c r="F491" s="64" t="str"/>
      <x:c r="G491" s="64" t="str"/>
      <x:c r="H491" s="86" t="str"/>
      <x:c r="I491" s="64" t="str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64" t="str"/>
      <x:c r="B492" s="64" t="str"/>
      <x:c r="C492" s="64" t="str"/>
      <x:c r="D492" s="66" t="str"/>
      <x:c r="E492" s="66" t="str"/>
      <x:c r="F492" s="64" t="str"/>
      <x:c r="G492" s="64" t="str"/>
      <x:c r="H492" s="86" t="str"/>
      <x:c r="I492" s="64" t="str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64" t="str"/>
      <x:c r="B493" s="64" t="str"/>
      <x:c r="C493" s="64" t="str"/>
      <x:c r="D493" s="66" t="str"/>
      <x:c r="E493" s="66" t="str"/>
      <x:c r="F493" s="64" t="str"/>
      <x:c r="G493" s="64" t="str"/>
      <x:c r="H493" s="86" t="str"/>
      <x:c r="I493" s="64" t="str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64" t="str"/>
      <x:c r="B494" s="64" t="str"/>
      <x:c r="C494" s="64" t="str"/>
      <x:c r="D494" s="66" t="str"/>
      <x:c r="E494" s="66" t="str"/>
      <x:c r="F494" s="64" t="str"/>
      <x:c r="G494" s="64" t="str"/>
      <x:c r="H494" s="86" t="str"/>
      <x:c r="I494" s="64" t="str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64" t="str"/>
      <x:c r="B495" s="64" t="str"/>
      <x:c r="C495" s="64" t="str"/>
      <x:c r="D495" s="66" t="str"/>
      <x:c r="E495" s="66" t="str"/>
      <x:c r="F495" s="64" t="str"/>
      <x:c r="G495" s="64" t="str"/>
      <x:c r="H495" s="86" t="str"/>
      <x:c r="I495" s="64" t="str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64" t="str"/>
      <x:c r="B496" s="64" t="str"/>
      <x:c r="C496" s="64" t="str"/>
      <x:c r="D496" s="66" t="str"/>
      <x:c r="E496" s="66" t="str"/>
      <x:c r="F496" s="64" t="str"/>
      <x:c r="G496" s="64" t="str"/>
      <x:c r="H496" s="86" t="str"/>
      <x:c r="I496" s="64" t="str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64" t="str"/>
      <x:c r="B497" s="64" t="str"/>
      <x:c r="C497" s="64" t="str"/>
      <x:c r="D497" s="66" t="str"/>
      <x:c r="E497" s="66" t="str"/>
      <x:c r="F497" s="64" t="str"/>
      <x:c r="G497" s="64" t="str"/>
      <x:c r="H497" s="86" t="str"/>
      <x:c r="I497" s="64" t="str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64" t="str"/>
      <x:c r="B498" s="64" t="str"/>
      <x:c r="C498" s="64" t="str"/>
      <x:c r="D498" s="66" t="str"/>
      <x:c r="E498" s="66" t="str"/>
      <x:c r="F498" s="64" t="str"/>
      <x:c r="G498" s="64" t="str"/>
      <x:c r="H498" s="86" t="str"/>
      <x:c r="I498" s="64" t="str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64" t="str"/>
      <x:c r="B499" s="64" t="str"/>
      <x:c r="C499" s="64" t="str"/>
      <x:c r="D499" s="66" t="str"/>
      <x:c r="E499" s="66" t="str"/>
      <x:c r="F499" s="64" t="str"/>
      <x:c r="G499" s="64" t="str"/>
      <x:c r="H499" s="86" t="str"/>
      <x:c r="I499" s="64" t="str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64" t="str"/>
      <x:c r="B500" s="64" t="str"/>
      <x:c r="C500" s="64" t="str"/>
      <x:c r="D500" s="66" t="str"/>
      <x:c r="E500" s="66" t="str"/>
      <x:c r="F500" s="64" t="str"/>
      <x:c r="G500" s="64" t="str"/>
      <x:c r="H500" s="86" t="str"/>
      <x:c r="I500" s="64" t="str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64" t="str"/>
      <x:c r="B501" s="64" t="str"/>
      <x:c r="C501" s="64" t="str"/>
      <x:c r="D501" s="66" t="str"/>
      <x:c r="E501" s="66" t="str"/>
      <x:c r="F501" s="64" t="str"/>
      <x:c r="G501" s="64" t="str"/>
      <x:c r="H501" s="86" t="str"/>
      <x:c r="I501" s="64" t="str"/>
      <x:c r="J501" s="64"/>
      <x:c r="K501" s="64"/>
      <x:c r="L501" s="64"/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64" t="str"/>
      <x:c r="B502" s="64" t="str"/>
      <x:c r="C502" s="64" t="str"/>
      <x:c r="D502" s="66" t="str"/>
      <x:c r="E502" s="66" t="str"/>
      <x:c r="F502" s="64" t="str"/>
      <x:c r="G502" s="64" t="str"/>
      <x:c r="H502" s="86" t="str"/>
      <x:c r="I502" s="64" t="str"/>
      <x:c r="J502" s="64"/>
      <x:c r="K502" s="64"/>
      <x:c r="L502" s="64"/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64" t="str"/>
      <x:c r="B503" s="64" t="str"/>
      <x:c r="C503" s="64" t="str"/>
      <x:c r="D503" s="66" t="str"/>
      <x:c r="E503" s="66" t="str"/>
      <x:c r="F503" s="64" t="str"/>
      <x:c r="G503" s="64" t="str"/>
      <x:c r="H503" s="86" t="str"/>
      <x:c r="I503" s="64" t="str"/>
      <x:c r="J503" s="64"/>
      <x:c r="K503" s="64"/>
      <x:c r="L503" s="64"/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64" t="str"/>
      <x:c r="B504" s="64" t="str"/>
      <x:c r="C504" s="64" t="str"/>
      <x:c r="D504" s="66" t="str"/>
      <x:c r="E504" s="66" t="str"/>
      <x:c r="F504" s="64" t="str"/>
      <x:c r="G504" s="64" t="str"/>
      <x:c r="H504" s="86" t="str"/>
      <x:c r="I504" s="64" t="str"/>
      <x:c r="J504" s="64"/>
      <x:c r="K504" s="64"/>
      <x:c r="L504" s="64"/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e3f09aafae344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9.30999755859375" hidden="0" customWidth="1"/>
    <x:col min="2" max="2" width="32" hidden="0" customWidth="1"/>
    <x:col min="3" max="3" width="11.3100004196167" hidden="0" customWidth="1"/>
    <x:col min="4" max="4" width="6.190000057220459" hidden="0" customWidth="1"/>
    <x:col min="5" max="5" width="13.319999694824219" hidden="0" customWidth="1"/>
    <x:col min="6" max="6" width="9.960000038146973" hidden="0" customWidth="1"/>
    <x:col min="7" max="7" width="5.920000076293945" hidden="0" customWidth="1"/>
    <x:col min="8" max="8" width="42" hidden="0" customWidth="1"/>
    <x:col min="9" max="9" width="54" hidden="0" customWidth="1"/>
    <x:col min="10" max="10" width="12.109999656677246" hidden="0" customWidth="1"/>
    <x:col min="11" max="11" width="17.09000015258789" hidden="0" customWidth="1"/>
    <x:col min="12" max="12" width="6.730000019073486" hidden="0" customWidth="1"/>
  </x:cols>
  <x:sheetData>
    <x:row r="1" ht="30" customHeight="1">
      <x:c r="A1" s="5" t="str">
        <x:v>Odoo Ürün/Katalog Export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Fiyat Hazır olan satırlar buradan Odoo'ya aktarılabilir. Boş satırları filtreleyip dışa aktar.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External ID</x:v>
      </x:c>
      <x:c r="B4" s="24" t="str">
        <x:v>Name</x:v>
      </x:c>
      <x:c r="C4" s="24" t="str">
        <x:v>Sales Price</x:v>
      </x:c>
      <x:c r="D4" s="24" t="str">
        <x:v>Cost</x:v>
      </x:c>
      <x:c r="E4" s="24" t="str">
        <x:v>Product Type</x:v>
      </x:c>
      <x:c r="F4" s="24" t="str">
        <x:v>Category</x:v>
      </x:c>
      <x:c r="G4" s="24" t="str">
        <x:v>SKU</x:v>
      </x:c>
      <x:c r="H4" s="24" t="str">
        <x:v>Website URL</x:v>
      </x:c>
      <x:c r="I4" s="24" t="str">
        <x:v>Sales Description</x:v>
      </x:c>
      <x:c r="J4" s="24" t="str">
        <x:v>Can be Sold</x:v>
      </x:c>
      <x:c r="K4" s="24" t="str">
        <x:v>Can be Purchased</x:v>
      </x:c>
      <x:c r="L4" s="24" t="str">
        <x:v>UoM</x:v>
      </x:c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75" t="str">
        <x:f>IF(Katalog_Fiyatlayici!$AC5="Fiyat Hazır",Katalog_Fiyatlayici!$AD5,"")</x:f>
      </x:c>
      <x:c r="B5" s="75" t="str">
        <x:f>IF($A5&lt;&gt;"",Katalog_Fiyatlayici!$AF5,"")</x:f>
      </x:c>
      <x:c r="C5" s="83" t="str">
        <x:f>IF($A5&lt;&gt;"",Katalog_Fiyatlayici!$AA5,"")</x:f>
      </x:c>
      <x:c r="D5" s="83" t="str">
        <x:f>IF($A5&lt;&gt;"",Katalog_Fiyatlayici!$W5,"")</x:f>
      </x:c>
      <x:c r="E5" s="75" t="str">
        <x:f>IF($A5&lt;&gt;"","Service","")</x:f>
      </x:c>
      <x:c r="F5" s="75" t="str">
        <x:f>IF($A5&lt;&gt;"",Katalog_Fiyatlayici!$AE5,"")</x:f>
      </x:c>
      <x:c r="G5" s="75" t="str">
        <x:f>IF($A5&lt;&gt;"",Katalog_Fiyatlayici!$AD5,"")</x:f>
      </x:c>
      <x:c r="H5" s="75" t="str">
        <x:f>IF($A5&lt;&gt;"",Katalog_Fiyatlayici!$B5,"")</x:f>
      </x:c>
      <x:c r="I5" s="75" t="str">
        <x:f>IF($A5&lt;&gt;"","MakerWorld model linkine göre tahmini 3D baskı fiyatı. Gerçek üretimden önce Bambu Studio ile gramaj ve süre doğrulanır.","")</x:f>
      </x:c>
      <x:c r="J5" s="75" t="str">
        <x:f>IF($A5&lt;&gt;"",TRUE,"")</x:f>
      </x:c>
      <x:c r="K5" s="75" t="str">
        <x:f>IF($A5&lt;&gt;"",FALSE,"")</x:f>
      </x:c>
      <x:c r="L5" s="75" t="str">
        <x:f>IF($A5&lt;&gt;"","Units","")</x:f>
      </x:c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75" t="str">
        <x:f>IF(Katalog_Fiyatlayici!$AC6="Fiyat Hazır",Katalog_Fiyatlayici!$AD6,"")</x:f>
      </x:c>
      <x:c r="B6" s="75" t="str">
        <x:f>IF($A6&lt;&gt;"",Katalog_Fiyatlayici!$AF6,"")</x:f>
      </x:c>
      <x:c r="C6" s="83" t="str">
        <x:f>IF($A6&lt;&gt;"",Katalog_Fiyatlayici!$AA6,"")</x:f>
      </x:c>
      <x:c r="D6" s="83" t="str">
        <x:f>IF($A6&lt;&gt;"",Katalog_Fiyatlayici!$W6,"")</x:f>
      </x:c>
      <x:c r="E6" s="75" t="str">
        <x:f>IF($A6&lt;&gt;"","Service","")</x:f>
      </x:c>
      <x:c r="F6" s="75" t="str">
        <x:f>IF($A6&lt;&gt;"",Katalog_Fiyatlayici!$AE6,"")</x:f>
      </x:c>
      <x:c r="G6" s="75" t="str">
        <x:f>IF($A6&lt;&gt;"",Katalog_Fiyatlayici!$AD6,"")</x:f>
      </x:c>
      <x:c r="H6" s="75" t="str">
        <x:f>IF($A6&lt;&gt;"",Katalog_Fiyatlayici!$B6,"")</x:f>
      </x:c>
      <x:c r="I6" s="75" t="str">
        <x:f>IF($A6&lt;&gt;"","MakerWorld model linkine göre tahmini 3D baskı fiyatı. Gerçek üretimden önce Bambu Studio ile gramaj ve süre doğrulanır.","")</x:f>
      </x:c>
      <x:c r="J6" s="75" t="str">
        <x:f>IF($A6&lt;&gt;"",TRUE,"")</x:f>
      </x:c>
      <x:c r="K6" s="75" t="str">
        <x:f>IF($A6&lt;&gt;"",FALSE,"")</x:f>
      </x:c>
      <x:c r="L6" s="75" t="str">
        <x:f>IF($A6&lt;&gt;"","Units","")</x:f>
      </x:c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75" t="str">
        <x:f>IF(Katalog_Fiyatlayici!$AC7="Fiyat Hazır",Katalog_Fiyatlayici!$AD7,"")</x:f>
      </x:c>
      <x:c r="B7" s="75" t="str">
        <x:f>IF($A7&lt;&gt;"",Katalog_Fiyatlayici!$AF7,"")</x:f>
      </x:c>
      <x:c r="C7" s="83" t="str">
        <x:f>IF($A7&lt;&gt;"",Katalog_Fiyatlayici!$AA7,"")</x:f>
      </x:c>
      <x:c r="D7" s="83" t="str">
        <x:f>IF($A7&lt;&gt;"",Katalog_Fiyatlayici!$W7,"")</x:f>
      </x:c>
      <x:c r="E7" s="75" t="str">
        <x:f>IF($A7&lt;&gt;"","Service","")</x:f>
      </x:c>
      <x:c r="F7" s="75" t="str">
        <x:f>IF($A7&lt;&gt;"",Katalog_Fiyatlayici!$AE7,"")</x:f>
      </x:c>
      <x:c r="G7" s="75" t="str">
        <x:f>IF($A7&lt;&gt;"",Katalog_Fiyatlayici!$AD7,"")</x:f>
      </x:c>
      <x:c r="H7" s="75" t="str">
        <x:f>IF($A7&lt;&gt;"",Katalog_Fiyatlayici!$B7,"")</x:f>
      </x:c>
      <x:c r="I7" s="75" t="str">
        <x:f>IF($A7&lt;&gt;"","MakerWorld model linkine göre tahmini 3D baskı fiyatı. Gerçek üretimden önce Bambu Studio ile gramaj ve süre doğrulanır.","")</x:f>
      </x:c>
      <x:c r="J7" s="75" t="str">
        <x:f>IF($A7&lt;&gt;"",TRUE,"")</x:f>
      </x:c>
      <x:c r="K7" s="75" t="str">
        <x:f>IF($A7&lt;&gt;"",FALSE,"")</x:f>
      </x:c>
      <x:c r="L7" s="75" t="str">
        <x:f>IF($A7&lt;&gt;"","Units","")</x:f>
      </x:c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75" t="str">
        <x:f>IF(Katalog_Fiyatlayici!$AC8="Fiyat Hazır",Katalog_Fiyatlayici!$AD8,"")</x:f>
      </x:c>
      <x:c r="B8" s="75" t="str">
        <x:f>IF($A8&lt;&gt;"",Katalog_Fiyatlayici!$AF8,"")</x:f>
      </x:c>
      <x:c r="C8" s="83" t="str">
        <x:f>IF($A8&lt;&gt;"",Katalog_Fiyatlayici!$AA8,"")</x:f>
      </x:c>
      <x:c r="D8" s="83" t="str">
        <x:f>IF($A8&lt;&gt;"",Katalog_Fiyatlayici!$W8,"")</x:f>
      </x:c>
      <x:c r="E8" s="75" t="str">
        <x:f>IF($A8&lt;&gt;"","Service","")</x:f>
      </x:c>
      <x:c r="F8" s="75" t="str">
        <x:f>IF($A8&lt;&gt;"",Katalog_Fiyatlayici!$AE8,"")</x:f>
      </x:c>
      <x:c r="G8" s="75" t="str">
        <x:f>IF($A8&lt;&gt;"",Katalog_Fiyatlayici!$AD8,"")</x:f>
      </x:c>
      <x:c r="H8" s="75" t="str">
        <x:f>IF($A8&lt;&gt;"",Katalog_Fiyatlayici!$B8,"")</x:f>
      </x:c>
      <x:c r="I8" s="75" t="str">
        <x:f>IF($A8&lt;&gt;"","MakerWorld model linkine göre tahmini 3D baskı fiyatı. Gerçek üretimden önce Bambu Studio ile gramaj ve süre doğrulanır.","")</x:f>
      </x:c>
      <x:c r="J8" s="75" t="str">
        <x:f>IF($A8&lt;&gt;"",TRUE,"")</x:f>
      </x:c>
      <x:c r="K8" s="75" t="str">
        <x:f>IF($A8&lt;&gt;"",FALSE,"")</x:f>
      </x:c>
      <x:c r="L8" s="75" t="str">
        <x:f>IF($A8&lt;&gt;"","Units","")</x:f>
      </x:c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75" t="str">
        <x:f>IF(Katalog_Fiyatlayici!$AC9="Fiyat Hazır",Katalog_Fiyatlayici!$AD9,"")</x:f>
      </x:c>
      <x:c r="B9" s="75" t="str">
        <x:f>IF($A9&lt;&gt;"",Katalog_Fiyatlayici!$AF9,"")</x:f>
      </x:c>
      <x:c r="C9" s="83" t="str">
        <x:f>IF($A9&lt;&gt;"",Katalog_Fiyatlayici!$AA9,"")</x:f>
      </x:c>
      <x:c r="D9" s="83" t="str">
        <x:f>IF($A9&lt;&gt;"",Katalog_Fiyatlayici!$W9,"")</x:f>
      </x:c>
      <x:c r="E9" s="75" t="str">
        <x:f>IF($A9&lt;&gt;"","Service","")</x:f>
      </x:c>
      <x:c r="F9" s="75" t="str">
        <x:f>IF($A9&lt;&gt;"",Katalog_Fiyatlayici!$AE9,"")</x:f>
      </x:c>
      <x:c r="G9" s="75" t="str">
        <x:f>IF($A9&lt;&gt;"",Katalog_Fiyatlayici!$AD9,"")</x:f>
      </x:c>
      <x:c r="H9" s="75" t="str">
        <x:f>IF($A9&lt;&gt;"",Katalog_Fiyatlayici!$B9,"")</x:f>
      </x:c>
      <x:c r="I9" s="75" t="str">
        <x:f>IF($A9&lt;&gt;"","MakerWorld model linkine göre tahmini 3D baskı fiyatı. Gerçek üretimden önce Bambu Studio ile gramaj ve süre doğrulanır.","")</x:f>
      </x:c>
      <x:c r="J9" s="75" t="str">
        <x:f>IF($A9&lt;&gt;"",TRUE,"")</x:f>
      </x:c>
      <x:c r="K9" s="75" t="str">
        <x:f>IF($A9&lt;&gt;"",FALSE,"")</x:f>
      </x:c>
      <x:c r="L9" s="75" t="str">
        <x:f>IF($A9&lt;&gt;"","Units","")</x:f>
      </x:c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75" t="str">
        <x:f>IF(Katalog_Fiyatlayici!$AC10="Fiyat Hazır",Katalog_Fiyatlayici!$AD10,"")</x:f>
      </x:c>
      <x:c r="B10" s="75" t="str">
        <x:f>IF($A10&lt;&gt;"",Katalog_Fiyatlayici!$AF10,"")</x:f>
      </x:c>
      <x:c r="C10" s="83" t="str">
        <x:f>IF($A10&lt;&gt;"",Katalog_Fiyatlayici!$AA10,"")</x:f>
      </x:c>
      <x:c r="D10" s="83" t="str">
        <x:f>IF($A10&lt;&gt;"",Katalog_Fiyatlayici!$W10,"")</x:f>
      </x:c>
      <x:c r="E10" s="75" t="str">
        <x:f>IF($A10&lt;&gt;"","Service","")</x:f>
      </x:c>
      <x:c r="F10" s="75" t="str">
        <x:f>IF($A10&lt;&gt;"",Katalog_Fiyatlayici!$AE10,"")</x:f>
      </x:c>
      <x:c r="G10" s="75" t="str">
        <x:f>IF($A10&lt;&gt;"",Katalog_Fiyatlayici!$AD10,"")</x:f>
      </x:c>
      <x:c r="H10" s="75" t="str">
        <x:f>IF($A10&lt;&gt;"",Katalog_Fiyatlayici!$B10,"")</x:f>
      </x:c>
      <x:c r="I10" s="75" t="str">
        <x:f>IF($A10&lt;&gt;"","MakerWorld model linkine göre tahmini 3D baskı fiyatı. Gerçek üretimden önce Bambu Studio ile gramaj ve süre doğrulanır.","")</x:f>
      </x:c>
      <x:c r="J10" s="75" t="str">
        <x:f>IF($A10&lt;&gt;"",TRUE,"")</x:f>
      </x:c>
      <x:c r="K10" s="75" t="str">
        <x:f>IF($A10&lt;&gt;"",FALSE,"")</x:f>
      </x:c>
      <x:c r="L10" s="75" t="str">
        <x:f>IF($A10&lt;&gt;"","Units","")</x:f>
      </x:c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75" t="str">
        <x:f>IF(Katalog_Fiyatlayici!$AC11="Fiyat Hazır",Katalog_Fiyatlayici!$AD11,"")</x:f>
      </x:c>
      <x:c r="B11" s="75" t="str">
        <x:f>IF($A11&lt;&gt;"",Katalog_Fiyatlayici!$AF11,"")</x:f>
      </x:c>
      <x:c r="C11" s="83" t="str">
        <x:f>IF($A11&lt;&gt;"",Katalog_Fiyatlayici!$AA11,"")</x:f>
      </x:c>
      <x:c r="D11" s="83" t="str">
        <x:f>IF($A11&lt;&gt;"",Katalog_Fiyatlayici!$W11,"")</x:f>
      </x:c>
      <x:c r="E11" s="75" t="str">
        <x:f>IF($A11&lt;&gt;"","Service","")</x:f>
      </x:c>
      <x:c r="F11" s="75" t="str">
        <x:f>IF($A11&lt;&gt;"",Katalog_Fiyatlayici!$AE11,"")</x:f>
      </x:c>
      <x:c r="G11" s="75" t="str">
        <x:f>IF($A11&lt;&gt;"",Katalog_Fiyatlayici!$AD11,"")</x:f>
      </x:c>
      <x:c r="H11" s="75" t="str">
        <x:f>IF($A11&lt;&gt;"",Katalog_Fiyatlayici!$B11,"")</x:f>
      </x:c>
      <x:c r="I11" s="75" t="str">
        <x:f>IF($A11&lt;&gt;"","MakerWorld model linkine göre tahmini 3D baskı fiyatı. Gerçek üretimden önce Bambu Studio ile gramaj ve süre doğrulanır.","")</x:f>
      </x:c>
      <x:c r="J11" s="75" t="str">
        <x:f>IF($A11&lt;&gt;"",TRUE,"")</x:f>
      </x:c>
      <x:c r="K11" s="75" t="str">
        <x:f>IF($A11&lt;&gt;"",FALSE,"")</x:f>
      </x:c>
      <x:c r="L11" s="75" t="str">
        <x:f>IF($A11&lt;&gt;"","Units","")</x:f>
      </x:c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75" t="str">
        <x:f>IF(Katalog_Fiyatlayici!$AC12="Fiyat Hazır",Katalog_Fiyatlayici!$AD12,"")</x:f>
      </x:c>
      <x:c r="B12" s="75" t="str">
        <x:f>IF($A12&lt;&gt;"",Katalog_Fiyatlayici!$AF12,"")</x:f>
      </x:c>
      <x:c r="C12" s="83" t="str">
        <x:f>IF($A12&lt;&gt;"",Katalog_Fiyatlayici!$AA12,"")</x:f>
      </x:c>
      <x:c r="D12" s="83" t="str">
        <x:f>IF($A12&lt;&gt;"",Katalog_Fiyatlayici!$W12,"")</x:f>
      </x:c>
      <x:c r="E12" s="75" t="str">
        <x:f>IF($A12&lt;&gt;"","Service","")</x:f>
      </x:c>
      <x:c r="F12" s="75" t="str">
        <x:f>IF($A12&lt;&gt;"",Katalog_Fiyatlayici!$AE12,"")</x:f>
      </x:c>
      <x:c r="G12" s="75" t="str">
        <x:f>IF($A12&lt;&gt;"",Katalog_Fiyatlayici!$AD12,"")</x:f>
      </x:c>
      <x:c r="H12" s="75" t="str">
        <x:f>IF($A12&lt;&gt;"",Katalog_Fiyatlayici!$B12,"")</x:f>
      </x:c>
      <x:c r="I12" s="75" t="str">
        <x:f>IF($A12&lt;&gt;"","MakerWorld model linkine göre tahmini 3D baskı fiyatı. Gerçek üretimden önce Bambu Studio ile gramaj ve süre doğrulanır.","")</x:f>
      </x:c>
      <x:c r="J12" s="75" t="str">
        <x:f>IF($A12&lt;&gt;"",TRUE,"")</x:f>
      </x:c>
      <x:c r="K12" s="75" t="str">
        <x:f>IF($A12&lt;&gt;"",FALSE,"")</x:f>
      </x:c>
      <x:c r="L12" s="75" t="str">
        <x:f>IF($A12&lt;&gt;"","Units","")</x:f>
      </x:c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75" t="str">
        <x:f>IF(Katalog_Fiyatlayici!$AC13="Fiyat Hazır",Katalog_Fiyatlayici!$AD13,"")</x:f>
      </x:c>
      <x:c r="B13" s="75" t="str">
        <x:f>IF($A13&lt;&gt;"",Katalog_Fiyatlayici!$AF13,"")</x:f>
      </x:c>
      <x:c r="C13" s="83" t="str">
        <x:f>IF($A13&lt;&gt;"",Katalog_Fiyatlayici!$AA13,"")</x:f>
      </x:c>
      <x:c r="D13" s="83" t="str">
        <x:f>IF($A13&lt;&gt;"",Katalog_Fiyatlayici!$W13,"")</x:f>
      </x:c>
      <x:c r="E13" s="75" t="str">
        <x:f>IF($A13&lt;&gt;"","Service","")</x:f>
      </x:c>
      <x:c r="F13" s="75" t="str">
        <x:f>IF($A13&lt;&gt;"",Katalog_Fiyatlayici!$AE13,"")</x:f>
      </x:c>
      <x:c r="G13" s="75" t="str">
        <x:f>IF($A13&lt;&gt;"",Katalog_Fiyatlayici!$AD13,"")</x:f>
      </x:c>
      <x:c r="H13" s="75" t="str">
        <x:f>IF($A13&lt;&gt;"",Katalog_Fiyatlayici!$B13,"")</x:f>
      </x:c>
      <x:c r="I13" s="75" t="str">
        <x:f>IF($A13&lt;&gt;"","MakerWorld model linkine göre tahmini 3D baskı fiyatı. Gerçek üretimden önce Bambu Studio ile gramaj ve süre doğrulanır.","")</x:f>
      </x:c>
      <x:c r="J13" s="75" t="str">
        <x:f>IF($A13&lt;&gt;"",TRUE,"")</x:f>
      </x:c>
      <x:c r="K13" s="75" t="str">
        <x:f>IF($A13&lt;&gt;"",FALSE,"")</x:f>
      </x:c>
      <x:c r="L13" s="75" t="str">
        <x:f>IF($A13&lt;&gt;"","Units","")</x:f>
      </x:c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75" t="str">
        <x:f>IF(Katalog_Fiyatlayici!$AC14="Fiyat Hazır",Katalog_Fiyatlayici!$AD14,"")</x:f>
      </x:c>
      <x:c r="B14" s="75" t="str">
        <x:f>IF($A14&lt;&gt;"",Katalog_Fiyatlayici!$AF14,"")</x:f>
      </x:c>
      <x:c r="C14" s="83" t="str">
        <x:f>IF($A14&lt;&gt;"",Katalog_Fiyatlayici!$AA14,"")</x:f>
      </x:c>
      <x:c r="D14" s="83" t="str">
        <x:f>IF($A14&lt;&gt;"",Katalog_Fiyatlayici!$W14,"")</x:f>
      </x:c>
      <x:c r="E14" s="75" t="str">
        <x:f>IF($A14&lt;&gt;"","Service","")</x:f>
      </x:c>
      <x:c r="F14" s="75" t="str">
        <x:f>IF($A14&lt;&gt;"",Katalog_Fiyatlayici!$AE14,"")</x:f>
      </x:c>
      <x:c r="G14" s="75" t="str">
        <x:f>IF($A14&lt;&gt;"",Katalog_Fiyatlayici!$AD14,"")</x:f>
      </x:c>
      <x:c r="H14" s="75" t="str">
        <x:f>IF($A14&lt;&gt;"",Katalog_Fiyatlayici!$B14,"")</x:f>
      </x:c>
      <x:c r="I14" s="75" t="str">
        <x:f>IF($A14&lt;&gt;"","MakerWorld model linkine göre tahmini 3D baskı fiyatı. Gerçek üretimden önce Bambu Studio ile gramaj ve süre doğrulanır.","")</x:f>
      </x:c>
      <x:c r="J14" s="75" t="str">
        <x:f>IF($A14&lt;&gt;"",TRUE,"")</x:f>
      </x:c>
      <x:c r="K14" s="75" t="str">
        <x:f>IF($A14&lt;&gt;"",FALSE,"")</x:f>
      </x:c>
      <x:c r="L14" s="75" t="str">
        <x:f>IF($A14&lt;&gt;"","Units","")</x:f>
      </x:c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75" t="str">
        <x:f>IF(Katalog_Fiyatlayici!$AC15="Fiyat Hazır",Katalog_Fiyatlayici!$AD15,"")</x:f>
      </x:c>
      <x:c r="B15" s="75" t="str">
        <x:f>IF($A15&lt;&gt;"",Katalog_Fiyatlayici!$AF15,"")</x:f>
      </x:c>
      <x:c r="C15" s="83" t="str">
        <x:f>IF($A15&lt;&gt;"",Katalog_Fiyatlayici!$AA15,"")</x:f>
      </x:c>
      <x:c r="D15" s="83" t="str">
        <x:f>IF($A15&lt;&gt;"",Katalog_Fiyatlayici!$W15,"")</x:f>
      </x:c>
      <x:c r="E15" s="75" t="str">
        <x:f>IF($A15&lt;&gt;"","Service","")</x:f>
      </x:c>
      <x:c r="F15" s="75" t="str">
        <x:f>IF($A15&lt;&gt;"",Katalog_Fiyatlayici!$AE15,"")</x:f>
      </x:c>
      <x:c r="G15" s="75" t="str">
        <x:f>IF($A15&lt;&gt;"",Katalog_Fiyatlayici!$AD15,"")</x:f>
      </x:c>
      <x:c r="H15" s="75" t="str">
        <x:f>IF($A15&lt;&gt;"",Katalog_Fiyatlayici!$B15,"")</x:f>
      </x:c>
      <x:c r="I15" s="75" t="str">
        <x:f>IF($A15&lt;&gt;"","MakerWorld model linkine göre tahmini 3D baskı fiyatı. Gerçek üretimden önce Bambu Studio ile gramaj ve süre doğrulanır.","")</x:f>
      </x:c>
      <x:c r="J15" s="75" t="str">
        <x:f>IF($A15&lt;&gt;"",TRUE,"")</x:f>
      </x:c>
      <x:c r="K15" s="75" t="str">
        <x:f>IF($A15&lt;&gt;"",FALSE,"")</x:f>
      </x:c>
      <x:c r="L15" s="75" t="str">
        <x:f>IF($A15&lt;&gt;"","Units","")</x:f>
      </x:c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75" t="str">
        <x:f>IF(Katalog_Fiyatlayici!$AC16="Fiyat Hazır",Katalog_Fiyatlayici!$AD16,"")</x:f>
      </x:c>
      <x:c r="B16" s="75" t="str">
        <x:f>IF($A16&lt;&gt;"",Katalog_Fiyatlayici!$AF16,"")</x:f>
      </x:c>
      <x:c r="C16" s="83" t="str">
        <x:f>IF($A16&lt;&gt;"",Katalog_Fiyatlayici!$AA16,"")</x:f>
      </x:c>
      <x:c r="D16" s="83" t="str">
        <x:f>IF($A16&lt;&gt;"",Katalog_Fiyatlayici!$W16,"")</x:f>
      </x:c>
      <x:c r="E16" s="75" t="str">
        <x:f>IF($A16&lt;&gt;"","Service","")</x:f>
      </x:c>
      <x:c r="F16" s="75" t="str">
        <x:f>IF($A16&lt;&gt;"",Katalog_Fiyatlayici!$AE16,"")</x:f>
      </x:c>
      <x:c r="G16" s="75" t="str">
        <x:f>IF($A16&lt;&gt;"",Katalog_Fiyatlayici!$AD16,"")</x:f>
      </x:c>
      <x:c r="H16" s="75" t="str">
        <x:f>IF($A16&lt;&gt;"",Katalog_Fiyatlayici!$B16,"")</x:f>
      </x:c>
      <x:c r="I16" s="75" t="str">
        <x:f>IF($A16&lt;&gt;"","MakerWorld model linkine göre tahmini 3D baskı fiyatı. Gerçek üretimden önce Bambu Studio ile gramaj ve süre doğrulanır.","")</x:f>
      </x:c>
      <x:c r="J16" s="75" t="str">
        <x:f>IF($A16&lt;&gt;"",TRUE,"")</x:f>
      </x:c>
      <x:c r="K16" s="75" t="str">
        <x:f>IF($A16&lt;&gt;"",FALSE,"")</x:f>
      </x:c>
      <x:c r="L16" s="75" t="str">
        <x:f>IF($A16&lt;&gt;"","Units","")</x:f>
      </x:c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75" t="str">
        <x:f>IF(Katalog_Fiyatlayici!$AC17="Fiyat Hazır",Katalog_Fiyatlayici!$AD17,"")</x:f>
      </x:c>
      <x:c r="B17" s="75" t="str">
        <x:f>IF($A17&lt;&gt;"",Katalog_Fiyatlayici!$AF17,"")</x:f>
      </x:c>
      <x:c r="C17" s="83" t="str">
        <x:f>IF($A17&lt;&gt;"",Katalog_Fiyatlayici!$AA17,"")</x:f>
      </x:c>
      <x:c r="D17" s="83" t="str">
        <x:f>IF($A17&lt;&gt;"",Katalog_Fiyatlayici!$W17,"")</x:f>
      </x:c>
      <x:c r="E17" s="75" t="str">
        <x:f>IF($A17&lt;&gt;"","Service","")</x:f>
      </x:c>
      <x:c r="F17" s="75" t="str">
        <x:f>IF($A17&lt;&gt;"",Katalog_Fiyatlayici!$AE17,"")</x:f>
      </x:c>
      <x:c r="G17" s="75" t="str">
        <x:f>IF($A17&lt;&gt;"",Katalog_Fiyatlayici!$AD17,"")</x:f>
      </x:c>
      <x:c r="H17" s="75" t="str">
        <x:f>IF($A17&lt;&gt;"",Katalog_Fiyatlayici!$B17,"")</x:f>
      </x:c>
      <x:c r="I17" s="75" t="str">
        <x:f>IF($A17&lt;&gt;"","MakerWorld model linkine göre tahmini 3D baskı fiyatı. Gerçek üretimden önce Bambu Studio ile gramaj ve süre doğrulanır.","")</x:f>
      </x:c>
      <x:c r="J17" s="75" t="str">
        <x:f>IF($A17&lt;&gt;"",TRUE,"")</x:f>
      </x:c>
      <x:c r="K17" s="75" t="str">
        <x:f>IF($A17&lt;&gt;"",FALSE,"")</x:f>
      </x:c>
      <x:c r="L17" s="75" t="str">
        <x:f>IF($A17&lt;&gt;"","Units","")</x:f>
      </x:c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75" t="str">
        <x:f>IF(Katalog_Fiyatlayici!$AC18="Fiyat Hazır",Katalog_Fiyatlayici!$AD18,"")</x:f>
      </x:c>
      <x:c r="B18" s="75" t="str">
        <x:f>IF($A18&lt;&gt;"",Katalog_Fiyatlayici!$AF18,"")</x:f>
      </x:c>
      <x:c r="C18" s="83" t="str">
        <x:f>IF($A18&lt;&gt;"",Katalog_Fiyatlayici!$AA18,"")</x:f>
      </x:c>
      <x:c r="D18" s="83" t="str">
        <x:f>IF($A18&lt;&gt;"",Katalog_Fiyatlayici!$W18,"")</x:f>
      </x:c>
      <x:c r="E18" s="75" t="str">
        <x:f>IF($A18&lt;&gt;"","Service","")</x:f>
      </x:c>
      <x:c r="F18" s="75" t="str">
        <x:f>IF($A18&lt;&gt;"",Katalog_Fiyatlayici!$AE18,"")</x:f>
      </x:c>
      <x:c r="G18" s="75" t="str">
        <x:f>IF($A18&lt;&gt;"",Katalog_Fiyatlayici!$AD18,"")</x:f>
      </x:c>
      <x:c r="H18" s="75" t="str">
        <x:f>IF($A18&lt;&gt;"",Katalog_Fiyatlayici!$B18,"")</x:f>
      </x:c>
      <x:c r="I18" s="75" t="str">
        <x:f>IF($A18&lt;&gt;"","MakerWorld model linkine göre tahmini 3D baskı fiyatı. Gerçek üretimden önce Bambu Studio ile gramaj ve süre doğrulanır.","")</x:f>
      </x:c>
      <x:c r="J18" s="75" t="str">
        <x:f>IF($A18&lt;&gt;"",TRUE,"")</x:f>
      </x:c>
      <x:c r="K18" s="75" t="str">
        <x:f>IF($A18&lt;&gt;"",FALSE,"")</x:f>
      </x:c>
      <x:c r="L18" s="75" t="str">
        <x:f>IF($A18&lt;&gt;"","Units","")</x:f>
      </x:c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75" t="str">
        <x:f>IF(Katalog_Fiyatlayici!$AC19="Fiyat Hazır",Katalog_Fiyatlayici!$AD19,"")</x:f>
      </x:c>
      <x:c r="B19" s="75" t="str">
        <x:f>IF($A19&lt;&gt;"",Katalog_Fiyatlayici!$AF19,"")</x:f>
      </x:c>
      <x:c r="C19" s="83" t="str">
        <x:f>IF($A19&lt;&gt;"",Katalog_Fiyatlayici!$AA19,"")</x:f>
      </x:c>
      <x:c r="D19" s="83" t="str">
        <x:f>IF($A19&lt;&gt;"",Katalog_Fiyatlayici!$W19,"")</x:f>
      </x:c>
      <x:c r="E19" s="75" t="str">
        <x:f>IF($A19&lt;&gt;"","Service","")</x:f>
      </x:c>
      <x:c r="F19" s="75" t="str">
        <x:f>IF($A19&lt;&gt;"",Katalog_Fiyatlayici!$AE19,"")</x:f>
      </x:c>
      <x:c r="G19" s="75" t="str">
        <x:f>IF($A19&lt;&gt;"",Katalog_Fiyatlayici!$AD19,"")</x:f>
      </x:c>
      <x:c r="H19" s="75" t="str">
        <x:f>IF($A19&lt;&gt;"",Katalog_Fiyatlayici!$B19,"")</x:f>
      </x:c>
      <x:c r="I19" s="75" t="str">
        <x:f>IF($A19&lt;&gt;"","MakerWorld model linkine göre tahmini 3D baskı fiyatı. Gerçek üretimden önce Bambu Studio ile gramaj ve süre doğrulanır.","")</x:f>
      </x:c>
      <x:c r="J19" s="75" t="str">
        <x:f>IF($A19&lt;&gt;"",TRUE,"")</x:f>
      </x:c>
      <x:c r="K19" s="75" t="str">
        <x:f>IF($A19&lt;&gt;"",FALSE,"")</x:f>
      </x:c>
      <x:c r="L19" s="75" t="str">
        <x:f>IF($A19&lt;&gt;"","Units","")</x:f>
      </x:c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75" t="str">
        <x:f>IF(Katalog_Fiyatlayici!$AC20="Fiyat Hazır",Katalog_Fiyatlayici!$AD20,"")</x:f>
      </x:c>
      <x:c r="B20" s="75" t="str">
        <x:f>IF($A20&lt;&gt;"",Katalog_Fiyatlayici!$AF20,"")</x:f>
      </x:c>
      <x:c r="C20" s="83" t="str">
        <x:f>IF($A20&lt;&gt;"",Katalog_Fiyatlayici!$AA20,"")</x:f>
      </x:c>
      <x:c r="D20" s="83" t="str">
        <x:f>IF($A20&lt;&gt;"",Katalog_Fiyatlayici!$W20,"")</x:f>
      </x:c>
      <x:c r="E20" s="75" t="str">
        <x:f>IF($A20&lt;&gt;"","Service","")</x:f>
      </x:c>
      <x:c r="F20" s="75" t="str">
        <x:f>IF($A20&lt;&gt;"",Katalog_Fiyatlayici!$AE20,"")</x:f>
      </x:c>
      <x:c r="G20" s="75" t="str">
        <x:f>IF($A20&lt;&gt;"",Katalog_Fiyatlayici!$AD20,"")</x:f>
      </x:c>
      <x:c r="H20" s="75" t="str">
        <x:f>IF($A20&lt;&gt;"",Katalog_Fiyatlayici!$B20,"")</x:f>
      </x:c>
      <x:c r="I20" s="75" t="str">
        <x:f>IF($A20&lt;&gt;"","MakerWorld model linkine göre tahmini 3D baskı fiyatı. Gerçek üretimden önce Bambu Studio ile gramaj ve süre doğrulanır.","")</x:f>
      </x:c>
      <x:c r="J20" s="75" t="str">
        <x:f>IF($A20&lt;&gt;"",TRUE,"")</x:f>
      </x:c>
      <x:c r="K20" s="75" t="str">
        <x:f>IF($A20&lt;&gt;"",FALSE,"")</x:f>
      </x:c>
      <x:c r="L20" s="75" t="str">
        <x:f>IF($A20&lt;&gt;"","Units","")</x:f>
      </x:c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75" t="str">
        <x:f>IF(Katalog_Fiyatlayici!$AC21="Fiyat Hazır",Katalog_Fiyatlayici!$AD21,"")</x:f>
      </x:c>
      <x:c r="B21" s="75" t="str">
        <x:f>IF($A21&lt;&gt;"",Katalog_Fiyatlayici!$AF21,"")</x:f>
      </x:c>
      <x:c r="C21" s="83" t="str">
        <x:f>IF($A21&lt;&gt;"",Katalog_Fiyatlayici!$AA21,"")</x:f>
      </x:c>
      <x:c r="D21" s="83" t="str">
        <x:f>IF($A21&lt;&gt;"",Katalog_Fiyatlayici!$W21,"")</x:f>
      </x:c>
      <x:c r="E21" s="75" t="str">
        <x:f>IF($A21&lt;&gt;"","Service","")</x:f>
      </x:c>
      <x:c r="F21" s="75" t="str">
        <x:f>IF($A21&lt;&gt;"",Katalog_Fiyatlayici!$AE21,"")</x:f>
      </x:c>
      <x:c r="G21" s="75" t="str">
        <x:f>IF($A21&lt;&gt;"",Katalog_Fiyatlayici!$AD21,"")</x:f>
      </x:c>
      <x:c r="H21" s="75" t="str">
        <x:f>IF($A21&lt;&gt;"",Katalog_Fiyatlayici!$B21,"")</x:f>
      </x:c>
      <x:c r="I21" s="75" t="str">
        <x:f>IF($A21&lt;&gt;"","MakerWorld model linkine göre tahmini 3D baskı fiyatı. Gerçek üretimden önce Bambu Studio ile gramaj ve süre doğrulanır.","")</x:f>
      </x:c>
      <x:c r="J21" s="75" t="str">
        <x:f>IF($A21&lt;&gt;"",TRUE,"")</x:f>
      </x:c>
      <x:c r="K21" s="75" t="str">
        <x:f>IF($A21&lt;&gt;"",FALSE,"")</x:f>
      </x:c>
      <x:c r="L21" s="75" t="str">
        <x:f>IF($A21&lt;&gt;"","Units","")</x:f>
      </x:c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75" t="str">
        <x:f>IF(Katalog_Fiyatlayici!$AC22="Fiyat Hazır",Katalog_Fiyatlayici!$AD22,"")</x:f>
      </x:c>
      <x:c r="B22" s="75" t="str">
        <x:f>IF($A22&lt;&gt;"",Katalog_Fiyatlayici!$AF22,"")</x:f>
      </x:c>
      <x:c r="C22" s="83" t="str">
        <x:f>IF($A22&lt;&gt;"",Katalog_Fiyatlayici!$AA22,"")</x:f>
      </x:c>
      <x:c r="D22" s="83" t="str">
        <x:f>IF($A22&lt;&gt;"",Katalog_Fiyatlayici!$W22,"")</x:f>
      </x:c>
      <x:c r="E22" s="75" t="str">
        <x:f>IF($A22&lt;&gt;"","Service","")</x:f>
      </x:c>
      <x:c r="F22" s="75" t="str">
        <x:f>IF($A22&lt;&gt;"",Katalog_Fiyatlayici!$AE22,"")</x:f>
      </x:c>
      <x:c r="G22" s="75" t="str">
        <x:f>IF($A22&lt;&gt;"",Katalog_Fiyatlayici!$AD22,"")</x:f>
      </x:c>
      <x:c r="H22" s="75" t="str">
        <x:f>IF($A22&lt;&gt;"",Katalog_Fiyatlayici!$B22,"")</x:f>
      </x:c>
      <x:c r="I22" s="75" t="str">
        <x:f>IF($A22&lt;&gt;"","MakerWorld model linkine göre tahmini 3D baskı fiyatı. Gerçek üretimden önce Bambu Studio ile gramaj ve süre doğrulanır.","")</x:f>
      </x:c>
      <x:c r="J22" s="75" t="str">
        <x:f>IF($A22&lt;&gt;"",TRUE,"")</x:f>
      </x:c>
      <x:c r="K22" s="75" t="str">
        <x:f>IF($A22&lt;&gt;"",FALSE,"")</x:f>
      </x:c>
      <x:c r="L22" s="75" t="str">
        <x:f>IF($A22&lt;&gt;"","Units","")</x:f>
      </x:c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75" t="str">
        <x:f>IF(Katalog_Fiyatlayici!$AC23="Fiyat Hazır",Katalog_Fiyatlayici!$AD23,"")</x:f>
      </x:c>
      <x:c r="B23" s="75" t="str">
        <x:f>IF($A23&lt;&gt;"",Katalog_Fiyatlayici!$AF23,"")</x:f>
      </x:c>
      <x:c r="C23" s="83" t="str">
        <x:f>IF($A23&lt;&gt;"",Katalog_Fiyatlayici!$AA23,"")</x:f>
      </x:c>
      <x:c r="D23" s="83" t="str">
        <x:f>IF($A23&lt;&gt;"",Katalog_Fiyatlayici!$W23,"")</x:f>
      </x:c>
      <x:c r="E23" s="75" t="str">
        <x:f>IF($A23&lt;&gt;"","Service","")</x:f>
      </x:c>
      <x:c r="F23" s="75" t="str">
        <x:f>IF($A23&lt;&gt;"",Katalog_Fiyatlayici!$AE23,"")</x:f>
      </x:c>
      <x:c r="G23" s="75" t="str">
        <x:f>IF($A23&lt;&gt;"",Katalog_Fiyatlayici!$AD23,"")</x:f>
      </x:c>
      <x:c r="H23" s="75" t="str">
        <x:f>IF($A23&lt;&gt;"",Katalog_Fiyatlayici!$B23,"")</x:f>
      </x:c>
      <x:c r="I23" s="75" t="str">
        <x:f>IF($A23&lt;&gt;"","MakerWorld model linkine göre tahmini 3D baskı fiyatı. Gerçek üretimden önce Bambu Studio ile gramaj ve süre doğrulanır.","")</x:f>
      </x:c>
      <x:c r="J23" s="75" t="str">
        <x:f>IF($A23&lt;&gt;"",TRUE,"")</x:f>
      </x:c>
      <x:c r="K23" s="75" t="str">
        <x:f>IF($A23&lt;&gt;"",FALSE,"")</x:f>
      </x:c>
      <x:c r="L23" s="75" t="str">
        <x:f>IF($A23&lt;&gt;"","Units","")</x:f>
      </x:c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75" t="str">
        <x:f>IF(Katalog_Fiyatlayici!$AC24="Fiyat Hazır",Katalog_Fiyatlayici!$AD24,"")</x:f>
      </x:c>
      <x:c r="B24" s="75" t="str">
        <x:f>IF($A24&lt;&gt;"",Katalog_Fiyatlayici!$AF24,"")</x:f>
      </x:c>
      <x:c r="C24" s="83" t="str">
        <x:f>IF($A24&lt;&gt;"",Katalog_Fiyatlayici!$AA24,"")</x:f>
      </x:c>
      <x:c r="D24" s="83" t="str">
        <x:f>IF($A24&lt;&gt;"",Katalog_Fiyatlayici!$W24,"")</x:f>
      </x:c>
      <x:c r="E24" s="75" t="str">
        <x:f>IF($A24&lt;&gt;"","Service","")</x:f>
      </x:c>
      <x:c r="F24" s="75" t="str">
        <x:f>IF($A24&lt;&gt;"",Katalog_Fiyatlayici!$AE24,"")</x:f>
      </x:c>
      <x:c r="G24" s="75" t="str">
        <x:f>IF($A24&lt;&gt;"",Katalog_Fiyatlayici!$AD24,"")</x:f>
      </x:c>
      <x:c r="H24" s="75" t="str">
        <x:f>IF($A24&lt;&gt;"",Katalog_Fiyatlayici!$B24,"")</x:f>
      </x:c>
      <x:c r="I24" s="75" t="str">
        <x:f>IF($A24&lt;&gt;"","MakerWorld model linkine göre tahmini 3D baskı fiyatı. Gerçek üretimden önce Bambu Studio ile gramaj ve süre doğrulanır.","")</x:f>
      </x:c>
      <x:c r="J24" s="75" t="str">
        <x:f>IF($A24&lt;&gt;"",TRUE,"")</x:f>
      </x:c>
      <x:c r="K24" s="75" t="str">
        <x:f>IF($A24&lt;&gt;"",FALSE,"")</x:f>
      </x:c>
      <x:c r="L24" s="75" t="str">
        <x:f>IF($A24&lt;&gt;"","Units","")</x:f>
      </x:c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75" t="str">
        <x:f>IF(Katalog_Fiyatlayici!$AC25="Fiyat Hazır",Katalog_Fiyatlayici!$AD25,"")</x:f>
      </x:c>
      <x:c r="B25" s="75" t="str">
        <x:f>IF($A25&lt;&gt;"",Katalog_Fiyatlayici!$AF25,"")</x:f>
      </x:c>
      <x:c r="C25" s="83" t="str">
        <x:f>IF($A25&lt;&gt;"",Katalog_Fiyatlayici!$AA25,"")</x:f>
      </x:c>
      <x:c r="D25" s="83" t="str">
        <x:f>IF($A25&lt;&gt;"",Katalog_Fiyatlayici!$W25,"")</x:f>
      </x:c>
      <x:c r="E25" s="75" t="str">
        <x:f>IF($A25&lt;&gt;"","Service","")</x:f>
      </x:c>
      <x:c r="F25" s="75" t="str">
        <x:f>IF($A25&lt;&gt;"",Katalog_Fiyatlayici!$AE25,"")</x:f>
      </x:c>
      <x:c r="G25" s="75" t="str">
        <x:f>IF($A25&lt;&gt;"",Katalog_Fiyatlayici!$AD25,"")</x:f>
      </x:c>
      <x:c r="H25" s="75" t="str">
        <x:f>IF($A25&lt;&gt;"",Katalog_Fiyatlayici!$B25,"")</x:f>
      </x:c>
      <x:c r="I25" s="75" t="str">
        <x:f>IF($A25&lt;&gt;"","MakerWorld model linkine göre tahmini 3D baskı fiyatı. Gerçek üretimden önce Bambu Studio ile gramaj ve süre doğrulanır.","")</x:f>
      </x:c>
      <x:c r="J25" s="75" t="str">
        <x:f>IF($A25&lt;&gt;"",TRUE,"")</x:f>
      </x:c>
      <x:c r="K25" s="75" t="str">
        <x:f>IF($A25&lt;&gt;"",FALSE,"")</x:f>
      </x:c>
      <x:c r="L25" s="75" t="str">
        <x:f>IF($A25&lt;&gt;"","Units","")</x:f>
      </x:c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75" t="str">
        <x:f>IF(Katalog_Fiyatlayici!$AC26="Fiyat Hazır",Katalog_Fiyatlayici!$AD26,"")</x:f>
      </x:c>
      <x:c r="B26" s="75" t="str">
        <x:f>IF($A26&lt;&gt;"",Katalog_Fiyatlayici!$AF26,"")</x:f>
      </x:c>
      <x:c r="C26" s="83" t="str">
        <x:f>IF($A26&lt;&gt;"",Katalog_Fiyatlayici!$AA26,"")</x:f>
      </x:c>
      <x:c r="D26" s="83" t="str">
        <x:f>IF($A26&lt;&gt;"",Katalog_Fiyatlayici!$W26,"")</x:f>
      </x:c>
      <x:c r="E26" s="75" t="str">
        <x:f>IF($A26&lt;&gt;"","Service","")</x:f>
      </x:c>
      <x:c r="F26" s="75" t="str">
        <x:f>IF($A26&lt;&gt;"",Katalog_Fiyatlayici!$AE26,"")</x:f>
      </x:c>
      <x:c r="G26" s="75" t="str">
        <x:f>IF($A26&lt;&gt;"",Katalog_Fiyatlayici!$AD26,"")</x:f>
      </x:c>
      <x:c r="H26" s="75" t="str">
        <x:f>IF($A26&lt;&gt;"",Katalog_Fiyatlayici!$B26,"")</x:f>
      </x:c>
      <x:c r="I26" s="75" t="str">
        <x:f>IF($A26&lt;&gt;"","MakerWorld model linkine göre tahmini 3D baskı fiyatı. Gerçek üretimden önce Bambu Studio ile gramaj ve süre doğrulanır.","")</x:f>
      </x:c>
      <x:c r="J26" s="75" t="str">
        <x:f>IF($A26&lt;&gt;"",TRUE,"")</x:f>
      </x:c>
      <x:c r="K26" s="75" t="str">
        <x:f>IF($A26&lt;&gt;"",FALSE,"")</x:f>
      </x:c>
      <x:c r="L26" s="75" t="str">
        <x:f>IF($A26&lt;&gt;"","Units","")</x:f>
      </x:c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75" t="str">
        <x:f>IF(Katalog_Fiyatlayici!$AC27="Fiyat Hazır",Katalog_Fiyatlayici!$AD27,"")</x:f>
      </x:c>
      <x:c r="B27" s="75" t="str">
        <x:f>IF($A27&lt;&gt;"",Katalog_Fiyatlayici!$AF27,"")</x:f>
      </x:c>
      <x:c r="C27" s="83" t="str">
        <x:f>IF($A27&lt;&gt;"",Katalog_Fiyatlayici!$AA27,"")</x:f>
      </x:c>
      <x:c r="D27" s="83" t="str">
        <x:f>IF($A27&lt;&gt;"",Katalog_Fiyatlayici!$W27,"")</x:f>
      </x:c>
      <x:c r="E27" s="75" t="str">
        <x:f>IF($A27&lt;&gt;"","Service","")</x:f>
      </x:c>
      <x:c r="F27" s="75" t="str">
        <x:f>IF($A27&lt;&gt;"",Katalog_Fiyatlayici!$AE27,"")</x:f>
      </x:c>
      <x:c r="G27" s="75" t="str">
        <x:f>IF($A27&lt;&gt;"",Katalog_Fiyatlayici!$AD27,"")</x:f>
      </x:c>
      <x:c r="H27" s="75" t="str">
        <x:f>IF($A27&lt;&gt;"",Katalog_Fiyatlayici!$B27,"")</x:f>
      </x:c>
      <x:c r="I27" s="75" t="str">
        <x:f>IF($A27&lt;&gt;"","MakerWorld model linkine göre tahmini 3D baskı fiyatı. Gerçek üretimden önce Bambu Studio ile gramaj ve süre doğrulanır.","")</x:f>
      </x:c>
      <x:c r="J27" s="75" t="str">
        <x:f>IF($A27&lt;&gt;"",TRUE,"")</x:f>
      </x:c>
      <x:c r="K27" s="75" t="str">
        <x:f>IF($A27&lt;&gt;"",FALSE,"")</x:f>
      </x:c>
      <x:c r="L27" s="75" t="str">
        <x:f>IF($A27&lt;&gt;"","Units","")</x:f>
      </x:c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75" t="str">
        <x:f>IF(Katalog_Fiyatlayici!$AC28="Fiyat Hazır",Katalog_Fiyatlayici!$AD28,"")</x:f>
      </x:c>
      <x:c r="B28" s="75" t="str">
        <x:f>IF($A28&lt;&gt;"",Katalog_Fiyatlayici!$AF28,"")</x:f>
      </x:c>
      <x:c r="C28" s="83" t="str">
        <x:f>IF($A28&lt;&gt;"",Katalog_Fiyatlayici!$AA28,"")</x:f>
      </x:c>
      <x:c r="D28" s="83" t="str">
        <x:f>IF($A28&lt;&gt;"",Katalog_Fiyatlayici!$W28,"")</x:f>
      </x:c>
      <x:c r="E28" s="75" t="str">
        <x:f>IF($A28&lt;&gt;"","Service","")</x:f>
      </x:c>
      <x:c r="F28" s="75" t="str">
        <x:f>IF($A28&lt;&gt;"",Katalog_Fiyatlayici!$AE28,"")</x:f>
      </x:c>
      <x:c r="G28" s="75" t="str">
        <x:f>IF($A28&lt;&gt;"",Katalog_Fiyatlayici!$AD28,"")</x:f>
      </x:c>
      <x:c r="H28" s="75" t="str">
        <x:f>IF($A28&lt;&gt;"",Katalog_Fiyatlayici!$B28,"")</x:f>
      </x:c>
      <x:c r="I28" s="75" t="str">
        <x:f>IF($A28&lt;&gt;"","MakerWorld model linkine göre tahmini 3D baskı fiyatı. Gerçek üretimden önce Bambu Studio ile gramaj ve süre doğrulanır.","")</x:f>
      </x:c>
      <x:c r="J28" s="75" t="str">
        <x:f>IF($A28&lt;&gt;"",TRUE,"")</x:f>
      </x:c>
      <x:c r="K28" s="75" t="str">
        <x:f>IF($A28&lt;&gt;"",FALSE,"")</x:f>
      </x:c>
      <x:c r="L28" s="75" t="str">
        <x:f>IF($A28&lt;&gt;"","Units","")</x:f>
      </x:c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75" t="str">
        <x:f>IF(Katalog_Fiyatlayici!$AC29="Fiyat Hazır",Katalog_Fiyatlayici!$AD29,"")</x:f>
      </x:c>
      <x:c r="B29" s="75" t="str">
        <x:f>IF($A29&lt;&gt;"",Katalog_Fiyatlayici!$AF29,"")</x:f>
      </x:c>
      <x:c r="C29" s="83" t="str">
        <x:f>IF($A29&lt;&gt;"",Katalog_Fiyatlayici!$AA29,"")</x:f>
      </x:c>
      <x:c r="D29" s="83" t="str">
        <x:f>IF($A29&lt;&gt;"",Katalog_Fiyatlayici!$W29,"")</x:f>
      </x:c>
      <x:c r="E29" s="75" t="str">
        <x:f>IF($A29&lt;&gt;"","Service","")</x:f>
      </x:c>
      <x:c r="F29" s="75" t="str">
        <x:f>IF($A29&lt;&gt;"",Katalog_Fiyatlayici!$AE29,"")</x:f>
      </x:c>
      <x:c r="G29" s="75" t="str">
        <x:f>IF($A29&lt;&gt;"",Katalog_Fiyatlayici!$AD29,"")</x:f>
      </x:c>
      <x:c r="H29" s="75" t="str">
        <x:f>IF($A29&lt;&gt;"",Katalog_Fiyatlayici!$B29,"")</x:f>
      </x:c>
      <x:c r="I29" s="75" t="str">
        <x:f>IF($A29&lt;&gt;"","MakerWorld model linkine göre tahmini 3D baskı fiyatı. Gerçek üretimden önce Bambu Studio ile gramaj ve süre doğrulanır.","")</x:f>
      </x:c>
      <x:c r="J29" s="75" t="str">
        <x:f>IF($A29&lt;&gt;"",TRUE,"")</x:f>
      </x:c>
      <x:c r="K29" s="75" t="str">
        <x:f>IF($A29&lt;&gt;"",FALSE,"")</x:f>
      </x:c>
      <x:c r="L29" s="75" t="str">
        <x:f>IF($A29&lt;&gt;"","Units","")</x:f>
      </x:c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75" t="str">
        <x:f>IF(Katalog_Fiyatlayici!$AC30="Fiyat Hazır",Katalog_Fiyatlayici!$AD30,"")</x:f>
      </x:c>
      <x:c r="B30" s="75" t="str">
        <x:f>IF($A30&lt;&gt;"",Katalog_Fiyatlayici!$AF30,"")</x:f>
      </x:c>
      <x:c r="C30" s="83" t="str">
        <x:f>IF($A30&lt;&gt;"",Katalog_Fiyatlayici!$AA30,"")</x:f>
      </x:c>
      <x:c r="D30" s="83" t="str">
        <x:f>IF($A30&lt;&gt;"",Katalog_Fiyatlayici!$W30,"")</x:f>
      </x:c>
      <x:c r="E30" s="75" t="str">
        <x:f>IF($A30&lt;&gt;"","Service","")</x:f>
      </x:c>
      <x:c r="F30" s="75" t="str">
        <x:f>IF($A30&lt;&gt;"",Katalog_Fiyatlayici!$AE30,"")</x:f>
      </x:c>
      <x:c r="G30" s="75" t="str">
        <x:f>IF($A30&lt;&gt;"",Katalog_Fiyatlayici!$AD30,"")</x:f>
      </x:c>
      <x:c r="H30" s="75" t="str">
        <x:f>IF($A30&lt;&gt;"",Katalog_Fiyatlayici!$B30,"")</x:f>
      </x:c>
      <x:c r="I30" s="75" t="str">
        <x:f>IF($A30&lt;&gt;"","MakerWorld model linkine göre tahmini 3D baskı fiyatı. Gerçek üretimden önce Bambu Studio ile gramaj ve süre doğrulanır.","")</x:f>
      </x:c>
      <x:c r="J30" s="75" t="str">
        <x:f>IF($A30&lt;&gt;"",TRUE,"")</x:f>
      </x:c>
      <x:c r="K30" s="75" t="str">
        <x:f>IF($A30&lt;&gt;"",FALSE,"")</x:f>
      </x:c>
      <x:c r="L30" s="75" t="str">
        <x:f>IF($A30&lt;&gt;"","Units","")</x:f>
      </x:c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75" t="str">
        <x:f>IF(Katalog_Fiyatlayici!$AC31="Fiyat Hazır",Katalog_Fiyatlayici!$AD31,"")</x:f>
      </x:c>
      <x:c r="B31" s="75" t="str">
        <x:f>IF($A31&lt;&gt;"",Katalog_Fiyatlayici!$AF31,"")</x:f>
      </x:c>
      <x:c r="C31" s="83" t="str">
        <x:f>IF($A31&lt;&gt;"",Katalog_Fiyatlayici!$AA31,"")</x:f>
      </x:c>
      <x:c r="D31" s="83" t="str">
        <x:f>IF($A31&lt;&gt;"",Katalog_Fiyatlayici!$W31,"")</x:f>
      </x:c>
      <x:c r="E31" s="75" t="str">
        <x:f>IF($A31&lt;&gt;"","Service","")</x:f>
      </x:c>
      <x:c r="F31" s="75" t="str">
        <x:f>IF($A31&lt;&gt;"",Katalog_Fiyatlayici!$AE31,"")</x:f>
      </x:c>
      <x:c r="G31" s="75" t="str">
        <x:f>IF($A31&lt;&gt;"",Katalog_Fiyatlayici!$AD31,"")</x:f>
      </x:c>
      <x:c r="H31" s="75" t="str">
        <x:f>IF($A31&lt;&gt;"",Katalog_Fiyatlayici!$B31,"")</x:f>
      </x:c>
      <x:c r="I31" s="75" t="str">
        <x:f>IF($A31&lt;&gt;"","MakerWorld model linkine göre tahmini 3D baskı fiyatı. Gerçek üretimden önce Bambu Studio ile gramaj ve süre doğrulanır.","")</x:f>
      </x:c>
      <x:c r="J31" s="75" t="str">
        <x:f>IF($A31&lt;&gt;"",TRUE,"")</x:f>
      </x:c>
      <x:c r="K31" s="75" t="str">
        <x:f>IF($A31&lt;&gt;"",FALSE,"")</x:f>
      </x:c>
      <x:c r="L31" s="75" t="str">
        <x:f>IF($A31&lt;&gt;"","Units","")</x:f>
      </x:c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75" t="str">
        <x:f>IF(Katalog_Fiyatlayici!$AC32="Fiyat Hazır",Katalog_Fiyatlayici!$AD32,"")</x:f>
      </x:c>
      <x:c r="B32" s="75" t="str">
        <x:f>IF($A32&lt;&gt;"",Katalog_Fiyatlayici!$AF32,"")</x:f>
      </x:c>
      <x:c r="C32" s="83" t="str">
        <x:f>IF($A32&lt;&gt;"",Katalog_Fiyatlayici!$AA32,"")</x:f>
      </x:c>
      <x:c r="D32" s="83" t="str">
        <x:f>IF($A32&lt;&gt;"",Katalog_Fiyatlayici!$W32,"")</x:f>
      </x:c>
      <x:c r="E32" s="75" t="str">
        <x:f>IF($A32&lt;&gt;"","Service","")</x:f>
      </x:c>
      <x:c r="F32" s="75" t="str">
        <x:f>IF($A32&lt;&gt;"",Katalog_Fiyatlayici!$AE32,"")</x:f>
      </x:c>
      <x:c r="G32" s="75" t="str">
        <x:f>IF($A32&lt;&gt;"",Katalog_Fiyatlayici!$AD32,"")</x:f>
      </x:c>
      <x:c r="H32" s="75" t="str">
        <x:f>IF($A32&lt;&gt;"",Katalog_Fiyatlayici!$B32,"")</x:f>
      </x:c>
      <x:c r="I32" s="75" t="str">
        <x:f>IF($A32&lt;&gt;"","MakerWorld model linkine göre tahmini 3D baskı fiyatı. Gerçek üretimden önce Bambu Studio ile gramaj ve süre doğrulanır.","")</x:f>
      </x:c>
      <x:c r="J32" s="75" t="str">
        <x:f>IF($A32&lt;&gt;"",TRUE,"")</x:f>
      </x:c>
      <x:c r="K32" s="75" t="str">
        <x:f>IF($A32&lt;&gt;"",FALSE,"")</x:f>
      </x:c>
      <x:c r="L32" s="75" t="str">
        <x:f>IF($A32&lt;&gt;"","Units","")</x:f>
      </x:c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75" t="str">
        <x:f>IF(Katalog_Fiyatlayici!$AC33="Fiyat Hazır",Katalog_Fiyatlayici!$AD33,"")</x:f>
      </x:c>
      <x:c r="B33" s="75" t="str">
        <x:f>IF($A33&lt;&gt;"",Katalog_Fiyatlayici!$AF33,"")</x:f>
      </x:c>
      <x:c r="C33" s="83" t="str">
        <x:f>IF($A33&lt;&gt;"",Katalog_Fiyatlayici!$AA33,"")</x:f>
      </x:c>
      <x:c r="D33" s="83" t="str">
        <x:f>IF($A33&lt;&gt;"",Katalog_Fiyatlayici!$W33,"")</x:f>
      </x:c>
      <x:c r="E33" s="75" t="str">
        <x:f>IF($A33&lt;&gt;"","Service","")</x:f>
      </x:c>
      <x:c r="F33" s="75" t="str">
        <x:f>IF($A33&lt;&gt;"",Katalog_Fiyatlayici!$AE33,"")</x:f>
      </x:c>
      <x:c r="G33" s="75" t="str">
        <x:f>IF($A33&lt;&gt;"",Katalog_Fiyatlayici!$AD33,"")</x:f>
      </x:c>
      <x:c r="H33" s="75" t="str">
        <x:f>IF($A33&lt;&gt;"",Katalog_Fiyatlayici!$B33,"")</x:f>
      </x:c>
      <x:c r="I33" s="75" t="str">
        <x:f>IF($A33&lt;&gt;"","MakerWorld model linkine göre tahmini 3D baskı fiyatı. Gerçek üretimden önce Bambu Studio ile gramaj ve süre doğrulanır.","")</x:f>
      </x:c>
      <x:c r="J33" s="75" t="str">
        <x:f>IF($A33&lt;&gt;"",TRUE,"")</x:f>
      </x:c>
      <x:c r="K33" s="75" t="str">
        <x:f>IF($A33&lt;&gt;"",FALSE,"")</x:f>
      </x:c>
      <x:c r="L33" s="75" t="str">
        <x:f>IF($A33&lt;&gt;"","Units","")</x:f>
      </x:c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75" t="str">
        <x:f>IF(Katalog_Fiyatlayici!$AC34="Fiyat Hazır",Katalog_Fiyatlayici!$AD34,"")</x:f>
      </x:c>
      <x:c r="B34" s="75" t="str">
        <x:f>IF($A34&lt;&gt;"",Katalog_Fiyatlayici!$AF34,"")</x:f>
      </x:c>
      <x:c r="C34" s="83" t="str">
        <x:f>IF($A34&lt;&gt;"",Katalog_Fiyatlayici!$AA34,"")</x:f>
      </x:c>
      <x:c r="D34" s="83" t="str">
        <x:f>IF($A34&lt;&gt;"",Katalog_Fiyatlayici!$W34,"")</x:f>
      </x:c>
      <x:c r="E34" s="75" t="str">
        <x:f>IF($A34&lt;&gt;"","Service","")</x:f>
      </x:c>
      <x:c r="F34" s="75" t="str">
        <x:f>IF($A34&lt;&gt;"",Katalog_Fiyatlayici!$AE34,"")</x:f>
      </x:c>
      <x:c r="G34" s="75" t="str">
        <x:f>IF($A34&lt;&gt;"",Katalog_Fiyatlayici!$AD34,"")</x:f>
      </x:c>
      <x:c r="H34" s="75" t="str">
        <x:f>IF($A34&lt;&gt;"",Katalog_Fiyatlayici!$B34,"")</x:f>
      </x:c>
      <x:c r="I34" s="75" t="str">
        <x:f>IF($A34&lt;&gt;"","MakerWorld model linkine göre tahmini 3D baskı fiyatı. Gerçek üretimden önce Bambu Studio ile gramaj ve süre doğrulanır.","")</x:f>
      </x:c>
      <x:c r="J34" s="75" t="str">
        <x:f>IF($A34&lt;&gt;"",TRUE,"")</x:f>
      </x:c>
      <x:c r="K34" s="75" t="str">
        <x:f>IF($A34&lt;&gt;"",FALSE,"")</x:f>
      </x:c>
      <x:c r="L34" s="75" t="str">
        <x:f>IF($A34&lt;&gt;"","Units","")</x:f>
      </x:c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75" t="str">
        <x:f>IF(Katalog_Fiyatlayici!$AC35="Fiyat Hazır",Katalog_Fiyatlayici!$AD35,"")</x:f>
      </x:c>
      <x:c r="B35" s="75" t="str">
        <x:f>IF($A35&lt;&gt;"",Katalog_Fiyatlayici!$AF35,"")</x:f>
      </x:c>
      <x:c r="C35" s="83" t="str">
        <x:f>IF($A35&lt;&gt;"",Katalog_Fiyatlayici!$AA35,"")</x:f>
      </x:c>
      <x:c r="D35" s="83" t="str">
        <x:f>IF($A35&lt;&gt;"",Katalog_Fiyatlayici!$W35,"")</x:f>
      </x:c>
      <x:c r="E35" s="75" t="str">
        <x:f>IF($A35&lt;&gt;"","Service","")</x:f>
      </x:c>
      <x:c r="F35" s="75" t="str">
        <x:f>IF($A35&lt;&gt;"",Katalog_Fiyatlayici!$AE35,"")</x:f>
      </x:c>
      <x:c r="G35" s="75" t="str">
        <x:f>IF($A35&lt;&gt;"",Katalog_Fiyatlayici!$AD35,"")</x:f>
      </x:c>
      <x:c r="H35" s="75" t="str">
        <x:f>IF($A35&lt;&gt;"",Katalog_Fiyatlayici!$B35,"")</x:f>
      </x:c>
      <x:c r="I35" s="75" t="str">
        <x:f>IF($A35&lt;&gt;"","MakerWorld model linkine göre tahmini 3D baskı fiyatı. Gerçek üretimden önce Bambu Studio ile gramaj ve süre doğrulanır.","")</x:f>
      </x:c>
      <x:c r="J35" s="75" t="str">
        <x:f>IF($A35&lt;&gt;"",TRUE,"")</x:f>
      </x:c>
      <x:c r="K35" s="75" t="str">
        <x:f>IF($A35&lt;&gt;"",FALSE,"")</x:f>
      </x:c>
      <x:c r="L35" s="75" t="str">
        <x:f>IF($A35&lt;&gt;"","Units","")</x:f>
      </x:c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75" t="str">
        <x:f>IF(Katalog_Fiyatlayici!$AC36="Fiyat Hazır",Katalog_Fiyatlayici!$AD36,"")</x:f>
      </x:c>
      <x:c r="B36" s="75" t="str">
        <x:f>IF($A36&lt;&gt;"",Katalog_Fiyatlayici!$AF36,"")</x:f>
      </x:c>
      <x:c r="C36" s="83" t="str">
        <x:f>IF($A36&lt;&gt;"",Katalog_Fiyatlayici!$AA36,"")</x:f>
      </x:c>
      <x:c r="D36" s="83" t="str">
        <x:f>IF($A36&lt;&gt;"",Katalog_Fiyatlayici!$W36,"")</x:f>
      </x:c>
      <x:c r="E36" s="75" t="str">
        <x:f>IF($A36&lt;&gt;"","Service","")</x:f>
      </x:c>
      <x:c r="F36" s="75" t="str">
        <x:f>IF($A36&lt;&gt;"",Katalog_Fiyatlayici!$AE36,"")</x:f>
      </x:c>
      <x:c r="G36" s="75" t="str">
        <x:f>IF($A36&lt;&gt;"",Katalog_Fiyatlayici!$AD36,"")</x:f>
      </x:c>
      <x:c r="H36" s="75" t="str">
        <x:f>IF($A36&lt;&gt;"",Katalog_Fiyatlayici!$B36,"")</x:f>
      </x:c>
      <x:c r="I36" s="75" t="str">
        <x:f>IF($A36&lt;&gt;"","MakerWorld model linkine göre tahmini 3D baskı fiyatı. Gerçek üretimden önce Bambu Studio ile gramaj ve süre doğrulanır.","")</x:f>
      </x:c>
      <x:c r="J36" s="75" t="str">
        <x:f>IF($A36&lt;&gt;"",TRUE,"")</x:f>
      </x:c>
      <x:c r="K36" s="75" t="str">
        <x:f>IF($A36&lt;&gt;"",FALSE,"")</x:f>
      </x:c>
      <x:c r="L36" s="75" t="str">
        <x:f>IF($A36&lt;&gt;"","Units","")</x:f>
      </x:c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75" t="str">
        <x:f>IF(Katalog_Fiyatlayici!$AC37="Fiyat Hazır",Katalog_Fiyatlayici!$AD37,"")</x:f>
      </x:c>
      <x:c r="B37" s="75" t="str">
        <x:f>IF($A37&lt;&gt;"",Katalog_Fiyatlayici!$AF37,"")</x:f>
      </x:c>
      <x:c r="C37" s="83" t="str">
        <x:f>IF($A37&lt;&gt;"",Katalog_Fiyatlayici!$AA37,"")</x:f>
      </x:c>
      <x:c r="D37" s="83" t="str">
        <x:f>IF($A37&lt;&gt;"",Katalog_Fiyatlayici!$W37,"")</x:f>
      </x:c>
      <x:c r="E37" s="75" t="str">
        <x:f>IF($A37&lt;&gt;"","Service","")</x:f>
      </x:c>
      <x:c r="F37" s="75" t="str">
        <x:f>IF($A37&lt;&gt;"",Katalog_Fiyatlayici!$AE37,"")</x:f>
      </x:c>
      <x:c r="G37" s="75" t="str">
        <x:f>IF($A37&lt;&gt;"",Katalog_Fiyatlayici!$AD37,"")</x:f>
      </x:c>
      <x:c r="H37" s="75" t="str">
        <x:f>IF($A37&lt;&gt;"",Katalog_Fiyatlayici!$B37,"")</x:f>
      </x:c>
      <x:c r="I37" s="75" t="str">
        <x:f>IF($A37&lt;&gt;"","MakerWorld model linkine göre tahmini 3D baskı fiyatı. Gerçek üretimden önce Bambu Studio ile gramaj ve süre doğrulanır.","")</x:f>
      </x:c>
      <x:c r="J37" s="75" t="str">
        <x:f>IF($A37&lt;&gt;"",TRUE,"")</x:f>
      </x:c>
      <x:c r="K37" s="75" t="str">
        <x:f>IF($A37&lt;&gt;"",FALSE,"")</x:f>
      </x:c>
      <x:c r="L37" s="75" t="str">
        <x:f>IF($A37&lt;&gt;"","Units","")</x:f>
      </x:c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75" t="str">
        <x:f>IF(Katalog_Fiyatlayici!$AC38="Fiyat Hazır",Katalog_Fiyatlayici!$AD38,"")</x:f>
      </x:c>
      <x:c r="B38" s="75" t="str">
        <x:f>IF($A38&lt;&gt;"",Katalog_Fiyatlayici!$AF38,"")</x:f>
      </x:c>
      <x:c r="C38" s="83" t="str">
        <x:f>IF($A38&lt;&gt;"",Katalog_Fiyatlayici!$AA38,"")</x:f>
      </x:c>
      <x:c r="D38" s="83" t="str">
        <x:f>IF($A38&lt;&gt;"",Katalog_Fiyatlayici!$W38,"")</x:f>
      </x:c>
      <x:c r="E38" s="75" t="str">
        <x:f>IF($A38&lt;&gt;"","Service","")</x:f>
      </x:c>
      <x:c r="F38" s="75" t="str">
        <x:f>IF($A38&lt;&gt;"",Katalog_Fiyatlayici!$AE38,"")</x:f>
      </x:c>
      <x:c r="G38" s="75" t="str">
        <x:f>IF($A38&lt;&gt;"",Katalog_Fiyatlayici!$AD38,"")</x:f>
      </x:c>
      <x:c r="H38" s="75" t="str">
        <x:f>IF($A38&lt;&gt;"",Katalog_Fiyatlayici!$B38,"")</x:f>
      </x:c>
      <x:c r="I38" s="75" t="str">
        <x:f>IF($A38&lt;&gt;"","MakerWorld model linkine göre tahmini 3D baskı fiyatı. Gerçek üretimden önce Bambu Studio ile gramaj ve süre doğrulanır.","")</x:f>
      </x:c>
      <x:c r="J38" s="75" t="str">
        <x:f>IF($A38&lt;&gt;"",TRUE,"")</x:f>
      </x:c>
      <x:c r="K38" s="75" t="str">
        <x:f>IF($A38&lt;&gt;"",FALSE,"")</x:f>
      </x:c>
      <x:c r="L38" s="75" t="str">
        <x:f>IF($A38&lt;&gt;"","Units","")</x:f>
      </x:c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75" t="str">
        <x:f>IF(Katalog_Fiyatlayici!$AC39="Fiyat Hazır",Katalog_Fiyatlayici!$AD39,"")</x:f>
      </x:c>
      <x:c r="B39" s="75" t="str">
        <x:f>IF($A39&lt;&gt;"",Katalog_Fiyatlayici!$AF39,"")</x:f>
      </x:c>
      <x:c r="C39" s="83" t="str">
        <x:f>IF($A39&lt;&gt;"",Katalog_Fiyatlayici!$AA39,"")</x:f>
      </x:c>
      <x:c r="D39" s="83" t="str">
        <x:f>IF($A39&lt;&gt;"",Katalog_Fiyatlayici!$W39,"")</x:f>
      </x:c>
      <x:c r="E39" s="75" t="str">
        <x:f>IF($A39&lt;&gt;"","Service","")</x:f>
      </x:c>
      <x:c r="F39" s="75" t="str">
        <x:f>IF($A39&lt;&gt;"",Katalog_Fiyatlayici!$AE39,"")</x:f>
      </x:c>
      <x:c r="G39" s="75" t="str">
        <x:f>IF($A39&lt;&gt;"",Katalog_Fiyatlayici!$AD39,"")</x:f>
      </x:c>
      <x:c r="H39" s="75" t="str">
        <x:f>IF($A39&lt;&gt;"",Katalog_Fiyatlayici!$B39,"")</x:f>
      </x:c>
      <x:c r="I39" s="75" t="str">
        <x:f>IF($A39&lt;&gt;"","MakerWorld model linkine göre tahmini 3D baskı fiyatı. Gerçek üretimden önce Bambu Studio ile gramaj ve süre doğrulanır.","")</x:f>
      </x:c>
      <x:c r="J39" s="75" t="str">
        <x:f>IF($A39&lt;&gt;"",TRUE,"")</x:f>
      </x:c>
      <x:c r="K39" s="75" t="str">
        <x:f>IF($A39&lt;&gt;"",FALSE,"")</x:f>
      </x:c>
      <x:c r="L39" s="75" t="str">
        <x:f>IF($A39&lt;&gt;"","Units","")</x:f>
      </x:c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75" t="str">
        <x:f>IF(Katalog_Fiyatlayici!$AC40="Fiyat Hazır",Katalog_Fiyatlayici!$AD40,"")</x:f>
      </x:c>
      <x:c r="B40" s="75" t="str">
        <x:f>IF($A40&lt;&gt;"",Katalog_Fiyatlayici!$AF40,"")</x:f>
      </x:c>
      <x:c r="C40" s="83" t="str">
        <x:f>IF($A40&lt;&gt;"",Katalog_Fiyatlayici!$AA40,"")</x:f>
      </x:c>
      <x:c r="D40" s="83" t="str">
        <x:f>IF($A40&lt;&gt;"",Katalog_Fiyatlayici!$W40,"")</x:f>
      </x:c>
      <x:c r="E40" s="75" t="str">
        <x:f>IF($A40&lt;&gt;"","Service","")</x:f>
      </x:c>
      <x:c r="F40" s="75" t="str">
        <x:f>IF($A40&lt;&gt;"",Katalog_Fiyatlayici!$AE40,"")</x:f>
      </x:c>
      <x:c r="G40" s="75" t="str">
        <x:f>IF($A40&lt;&gt;"",Katalog_Fiyatlayici!$AD40,"")</x:f>
      </x:c>
      <x:c r="H40" s="75" t="str">
        <x:f>IF($A40&lt;&gt;"",Katalog_Fiyatlayici!$B40,"")</x:f>
      </x:c>
      <x:c r="I40" s="75" t="str">
        <x:f>IF($A40&lt;&gt;"","MakerWorld model linkine göre tahmini 3D baskı fiyatı. Gerçek üretimden önce Bambu Studio ile gramaj ve süre doğrulanır.","")</x:f>
      </x:c>
      <x:c r="J40" s="75" t="str">
        <x:f>IF($A40&lt;&gt;"",TRUE,"")</x:f>
      </x:c>
      <x:c r="K40" s="75" t="str">
        <x:f>IF($A40&lt;&gt;"",FALSE,"")</x:f>
      </x:c>
      <x:c r="L40" s="75" t="str">
        <x:f>IF($A40&lt;&gt;"","Units","")</x:f>
      </x:c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75" t="str">
        <x:f>IF(Katalog_Fiyatlayici!$AC41="Fiyat Hazır",Katalog_Fiyatlayici!$AD41,"")</x:f>
      </x:c>
      <x:c r="B41" s="75" t="str">
        <x:f>IF($A41&lt;&gt;"",Katalog_Fiyatlayici!$AF41,"")</x:f>
      </x:c>
      <x:c r="C41" s="83" t="str">
        <x:f>IF($A41&lt;&gt;"",Katalog_Fiyatlayici!$AA41,"")</x:f>
      </x:c>
      <x:c r="D41" s="83" t="str">
        <x:f>IF($A41&lt;&gt;"",Katalog_Fiyatlayici!$W41,"")</x:f>
      </x:c>
      <x:c r="E41" s="75" t="str">
        <x:f>IF($A41&lt;&gt;"","Service","")</x:f>
      </x:c>
      <x:c r="F41" s="75" t="str">
        <x:f>IF($A41&lt;&gt;"",Katalog_Fiyatlayici!$AE41,"")</x:f>
      </x:c>
      <x:c r="G41" s="75" t="str">
        <x:f>IF($A41&lt;&gt;"",Katalog_Fiyatlayici!$AD41,"")</x:f>
      </x:c>
      <x:c r="H41" s="75" t="str">
        <x:f>IF($A41&lt;&gt;"",Katalog_Fiyatlayici!$B41,"")</x:f>
      </x:c>
      <x:c r="I41" s="75" t="str">
        <x:f>IF($A41&lt;&gt;"","MakerWorld model linkine göre tahmini 3D baskı fiyatı. Gerçek üretimden önce Bambu Studio ile gramaj ve süre doğrulanır.","")</x:f>
      </x:c>
      <x:c r="J41" s="75" t="str">
        <x:f>IF($A41&lt;&gt;"",TRUE,"")</x:f>
      </x:c>
      <x:c r="K41" s="75" t="str">
        <x:f>IF($A41&lt;&gt;"",FALSE,"")</x:f>
      </x:c>
      <x:c r="L41" s="75" t="str">
        <x:f>IF($A41&lt;&gt;"","Units","")</x:f>
      </x:c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75" t="str">
        <x:f>IF(Katalog_Fiyatlayici!$AC42="Fiyat Hazır",Katalog_Fiyatlayici!$AD42,"")</x:f>
      </x:c>
      <x:c r="B42" s="75" t="str">
        <x:f>IF($A42&lt;&gt;"",Katalog_Fiyatlayici!$AF42,"")</x:f>
      </x:c>
      <x:c r="C42" s="83" t="str">
        <x:f>IF($A42&lt;&gt;"",Katalog_Fiyatlayici!$AA42,"")</x:f>
      </x:c>
      <x:c r="D42" s="83" t="str">
        <x:f>IF($A42&lt;&gt;"",Katalog_Fiyatlayici!$W42,"")</x:f>
      </x:c>
      <x:c r="E42" s="75" t="str">
        <x:f>IF($A42&lt;&gt;"","Service","")</x:f>
      </x:c>
      <x:c r="F42" s="75" t="str">
        <x:f>IF($A42&lt;&gt;"",Katalog_Fiyatlayici!$AE42,"")</x:f>
      </x:c>
      <x:c r="G42" s="75" t="str">
        <x:f>IF($A42&lt;&gt;"",Katalog_Fiyatlayici!$AD42,"")</x:f>
      </x:c>
      <x:c r="H42" s="75" t="str">
        <x:f>IF($A42&lt;&gt;"",Katalog_Fiyatlayici!$B42,"")</x:f>
      </x:c>
      <x:c r="I42" s="75" t="str">
        <x:f>IF($A42&lt;&gt;"","MakerWorld model linkine göre tahmini 3D baskı fiyatı. Gerçek üretimden önce Bambu Studio ile gramaj ve süre doğrulanır.","")</x:f>
      </x:c>
      <x:c r="J42" s="75" t="str">
        <x:f>IF($A42&lt;&gt;"",TRUE,"")</x:f>
      </x:c>
      <x:c r="K42" s="75" t="str">
        <x:f>IF($A42&lt;&gt;"",FALSE,"")</x:f>
      </x:c>
      <x:c r="L42" s="75" t="str">
        <x:f>IF($A42&lt;&gt;"","Units","")</x:f>
      </x:c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75" t="str">
        <x:f>IF(Katalog_Fiyatlayici!$AC43="Fiyat Hazır",Katalog_Fiyatlayici!$AD43,"")</x:f>
      </x:c>
      <x:c r="B43" s="75" t="str">
        <x:f>IF($A43&lt;&gt;"",Katalog_Fiyatlayici!$AF43,"")</x:f>
      </x:c>
      <x:c r="C43" s="83" t="str">
        <x:f>IF($A43&lt;&gt;"",Katalog_Fiyatlayici!$AA43,"")</x:f>
      </x:c>
      <x:c r="D43" s="83" t="str">
        <x:f>IF($A43&lt;&gt;"",Katalog_Fiyatlayici!$W43,"")</x:f>
      </x:c>
      <x:c r="E43" s="75" t="str">
        <x:f>IF($A43&lt;&gt;"","Service","")</x:f>
      </x:c>
      <x:c r="F43" s="75" t="str">
        <x:f>IF($A43&lt;&gt;"",Katalog_Fiyatlayici!$AE43,"")</x:f>
      </x:c>
      <x:c r="G43" s="75" t="str">
        <x:f>IF($A43&lt;&gt;"",Katalog_Fiyatlayici!$AD43,"")</x:f>
      </x:c>
      <x:c r="H43" s="75" t="str">
        <x:f>IF($A43&lt;&gt;"",Katalog_Fiyatlayici!$B43,"")</x:f>
      </x:c>
      <x:c r="I43" s="75" t="str">
        <x:f>IF($A43&lt;&gt;"","MakerWorld model linkine göre tahmini 3D baskı fiyatı. Gerçek üretimden önce Bambu Studio ile gramaj ve süre doğrulanır.","")</x:f>
      </x:c>
      <x:c r="J43" s="75" t="str">
        <x:f>IF($A43&lt;&gt;"",TRUE,"")</x:f>
      </x:c>
      <x:c r="K43" s="75" t="str">
        <x:f>IF($A43&lt;&gt;"",FALSE,"")</x:f>
      </x:c>
      <x:c r="L43" s="75" t="str">
        <x:f>IF($A43&lt;&gt;"","Units","")</x:f>
      </x:c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75" t="str">
        <x:f>IF(Katalog_Fiyatlayici!$AC44="Fiyat Hazır",Katalog_Fiyatlayici!$AD44,"")</x:f>
      </x:c>
      <x:c r="B44" s="75" t="str">
        <x:f>IF($A44&lt;&gt;"",Katalog_Fiyatlayici!$AF44,"")</x:f>
      </x:c>
      <x:c r="C44" s="83" t="str">
        <x:f>IF($A44&lt;&gt;"",Katalog_Fiyatlayici!$AA44,"")</x:f>
      </x:c>
      <x:c r="D44" s="83" t="str">
        <x:f>IF($A44&lt;&gt;"",Katalog_Fiyatlayici!$W44,"")</x:f>
      </x:c>
      <x:c r="E44" s="75" t="str">
        <x:f>IF($A44&lt;&gt;"","Service","")</x:f>
      </x:c>
      <x:c r="F44" s="75" t="str">
        <x:f>IF($A44&lt;&gt;"",Katalog_Fiyatlayici!$AE44,"")</x:f>
      </x:c>
      <x:c r="G44" s="75" t="str">
        <x:f>IF($A44&lt;&gt;"",Katalog_Fiyatlayici!$AD44,"")</x:f>
      </x:c>
      <x:c r="H44" s="75" t="str">
        <x:f>IF($A44&lt;&gt;"",Katalog_Fiyatlayici!$B44,"")</x:f>
      </x:c>
      <x:c r="I44" s="75" t="str">
        <x:f>IF($A44&lt;&gt;"","MakerWorld model linkine göre tahmini 3D baskı fiyatı. Gerçek üretimden önce Bambu Studio ile gramaj ve süre doğrulanır.","")</x:f>
      </x:c>
      <x:c r="J44" s="75" t="str">
        <x:f>IF($A44&lt;&gt;"",TRUE,"")</x:f>
      </x:c>
      <x:c r="K44" s="75" t="str">
        <x:f>IF($A44&lt;&gt;"",FALSE,"")</x:f>
      </x:c>
      <x:c r="L44" s="75" t="str">
        <x:f>IF($A44&lt;&gt;"","Units","")</x:f>
      </x:c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75" t="str">
        <x:f>IF(Katalog_Fiyatlayici!$AC45="Fiyat Hazır",Katalog_Fiyatlayici!$AD45,"")</x:f>
      </x:c>
      <x:c r="B45" s="75" t="str">
        <x:f>IF($A45&lt;&gt;"",Katalog_Fiyatlayici!$AF45,"")</x:f>
      </x:c>
      <x:c r="C45" s="83" t="str">
        <x:f>IF($A45&lt;&gt;"",Katalog_Fiyatlayici!$AA45,"")</x:f>
      </x:c>
      <x:c r="D45" s="83" t="str">
        <x:f>IF($A45&lt;&gt;"",Katalog_Fiyatlayici!$W45,"")</x:f>
      </x:c>
      <x:c r="E45" s="75" t="str">
        <x:f>IF($A45&lt;&gt;"","Service","")</x:f>
      </x:c>
      <x:c r="F45" s="75" t="str">
        <x:f>IF($A45&lt;&gt;"",Katalog_Fiyatlayici!$AE45,"")</x:f>
      </x:c>
      <x:c r="G45" s="75" t="str">
        <x:f>IF($A45&lt;&gt;"",Katalog_Fiyatlayici!$AD45,"")</x:f>
      </x:c>
      <x:c r="H45" s="75" t="str">
        <x:f>IF($A45&lt;&gt;"",Katalog_Fiyatlayici!$B45,"")</x:f>
      </x:c>
      <x:c r="I45" s="75" t="str">
        <x:f>IF($A45&lt;&gt;"","MakerWorld model linkine göre tahmini 3D baskı fiyatı. Gerçek üretimden önce Bambu Studio ile gramaj ve süre doğrulanır.","")</x:f>
      </x:c>
      <x:c r="J45" s="75" t="str">
        <x:f>IF($A45&lt;&gt;"",TRUE,"")</x:f>
      </x:c>
      <x:c r="K45" s="75" t="str">
        <x:f>IF($A45&lt;&gt;"",FALSE,"")</x:f>
      </x:c>
      <x:c r="L45" s="75" t="str">
        <x:f>IF($A45&lt;&gt;"","Units","")</x:f>
      </x:c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75" t="str">
        <x:f>IF(Katalog_Fiyatlayici!$AC46="Fiyat Hazır",Katalog_Fiyatlayici!$AD46,"")</x:f>
      </x:c>
      <x:c r="B46" s="75" t="str">
        <x:f>IF($A46&lt;&gt;"",Katalog_Fiyatlayici!$AF46,"")</x:f>
      </x:c>
      <x:c r="C46" s="83" t="str">
        <x:f>IF($A46&lt;&gt;"",Katalog_Fiyatlayici!$AA46,"")</x:f>
      </x:c>
      <x:c r="D46" s="83" t="str">
        <x:f>IF($A46&lt;&gt;"",Katalog_Fiyatlayici!$W46,"")</x:f>
      </x:c>
      <x:c r="E46" s="75" t="str">
        <x:f>IF($A46&lt;&gt;"","Service","")</x:f>
      </x:c>
      <x:c r="F46" s="75" t="str">
        <x:f>IF($A46&lt;&gt;"",Katalog_Fiyatlayici!$AE46,"")</x:f>
      </x:c>
      <x:c r="G46" s="75" t="str">
        <x:f>IF($A46&lt;&gt;"",Katalog_Fiyatlayici!$AD46,"")</x:f>
      </x:c>
      <x:c r="H46" s="75" t="str">
        <x:f>IF($A46&lt;&gt;"",Katalog_Fiyatlayici!$B46,"")</x:f>
      </x:c>
      <x:c r="I46" s="75" t="str">
        <x:f>IF($A46&lt;&gt;"","MakerWorld model linkine göre tahmini 3D baskı fiyatı. Gerçek üretimden önce Bambu Studio ile gramaj ve süre doğrulanır.","")</x:f>
      </x:c>
      <x:c r="J46" s="75" t="str">
        <x:f>IF($A46&lt;&gt;"",TRUE,"")</x:f>
      </x:c>
      <x:c r="K46" s="75" t="str">
        <x:f>IF($A46&lt;&gt;"",FALSE,"")</x:f>
      </x:c>
      <x:c r="L46" s="75" t="str">
        <x:f>IF($A46&lt;&gt;"","Units","")</x:f>
      </x:c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75" t="str">
        <x:f>IF(Katalog_Fiyatlayici!$AC47="Fiyat Hazır",Katalog_Fiyatlayici!$AD47,"")</x:f>
      </x:c>
      <x:c r="B47" s="75" t="str">
        <x:f>IF($A47&lt;&gt;"",Katalog_Fiyatlayici!$AF47,"")</x:f>
      </x:c>
      <x:c r="C47" s="83" t="str">
        <x:f>IF($A47&lt;&gt;"",Katalog_Fiyatlayici!$AA47,"")</x:f>
      </x:c>
      <x:c r="D47" s="83" t="str">
        <x:f>IF($A47&lt;&gt;"",Katalog_Fiyatlayici!$W47,"")</x:f>
      </x:c>
      <x:c r="E47" s="75" t="str">
        <x:f>IF($A47&lt;&gt;"","Service","")</x:f>
      </x:c>
      <x:c r="F47" s="75" t="str">
        <x:f>IF($A47&lt;&gt;"",Katalog_Fiyatlayici!$AE47,"")</x:f>
      </x:c>
      <x:c r="G47" s="75" t="str">
        <x:f>IF($A47&lt;&gt;"",Katalog_Fiyatlayici!$AD47,"")</x:f>
      </x:c>
      <x:c r="H47" s="75" t="str">
        <x:f>IF($A47&lt;&gt;"",Katalog_Fiyatlayici!$B47,"")</x:f>
      </x:c>
      <x:c r="I47" s="75" t="str">
        <x:f>IF($A47&lt;&gt;"","MakerWorld model linkine göre tahmini 3D baskı fiyatı. Gerçek üretimden önce Bambu Studio ile gramaj ve süre doğrulanır.","")</x:f>
      </x:c>
      <x:c r="J47" s="75" t="str">
        <x:f>IF($A47&lt;&gt;"",TRUE,"")</x:f>
      </x:c>
      <x:c r="K47" s="75" t="str">
        <x:f>IF($A47&lt;&gt;"",FALSE,"")</x:f>
      </x:c>
      <x:c r="L47" s="75" t="str">
        <x:f>IF($A47&lt;&gt;"","Units","")</x:f>
      </x:c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75" t="str">
        <x:f>IF(Katalog_Fiyatlayici!$AC48="Fiyat Hazır",Katalog_Fiyatlayici!$AD48,"")</x:f>
      </x:c>
      <x:c r="B48" s="75" t="str">
        <x:f>IF($A48&lt;&gt;"",Katalog_Fiyatlayici!$AF48,"")</x:f>
      </x:c>
      <x:c r="C48" s="83" t="str">
        <x:f>IF($A48&lt;&gt;"",Katalog_Fiyatlayici!$AA48,"")</x:f>
      </x:c>
      <x:c r="D48" s="83" t="str">
        <x:f>IF($A48&lt;&gt;"",Katalog_Fiyatlayici!$W48,"")</x:f>
      </x:c>
      <x:c r="E48" s="75" t="str">
        <x:f>IF($A48&lt;&gt;"","Service","")</x:f>
      </x:c>
      <x:c r="F48" s="75" t="str">
        <x:f>IF($A48&lt;&gt;"",Katalog_Fiyatlayici!$AE48,"")</x:f>
      </x:c>
      <x:c r="G48" s="75" t="str">
        <x:f>IF($A48&lt;&gt;"",Katalog_Fiyatlayici!$AD48,"")</x:f>
      </x:c>
      <x:c r="H48" s="75" t="str">
        <x:f>IF($A48&lt;&gt;"",Katalog_Fiyatlayici!$B48,"")</x:f>
      </x:c>
      <x:c r="I48" s="75" t="str">
        <x:f>IF($A48&lt;&gt;"","MakerWorld model linkine göre tahmini 3D baskı fiyatı. Gerçek üretimden önce Bambu Studio ile gramaj ve süre doğrulanır.","")</x:f>
      </x:c>
      <x:c r="J48" s="75" t="str">
        <x:f>IF($A48&lt;&gt;"",TRUE,"")</x:f>
      </x:c>
      <x:c r="K48" s="75" t="str">
        <x:f>IF($A48&lt;&gt;"",FALSE,"")</x:f>
      </x:c>
      <x:c r="L48" s="75" t="str">
        <x:f>IF($A48&lt;&gt;"","Units","")</x:f>
      </x:c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75" t="str">
        <x:f>IF(Katalog_Fiyatlayici!$AC49="Fiyat Hazır",Katalog_Fiyatlayici!$AD49,"")</x:f>
      </x:c>
      <x:c r="B49" s="75" t="str">
        <x:f>IF($A49&lt;&gt;"",Katalog_Fiyatlayici!$AF49,"")</x:f>
      </x:c>
      <x:c r="C49" s="83" t="str">
        <x:f>IF($A49&lt;&gt;"",Katalog_Fiyatlayici!$AA49,"")</x:f>
      </x:c>
      <x:c r="D49" s="83" t="str">
        <x:f>IF($A49&lt;&gt;"",Katalog_Fiyatlayici!$W49,"")</x:f>
      </x:c>
      <x:c r="E49" s="75" t="str">
        <x:f>IF($A49&lt;&gt;"","Service","")</x:f>
      </x:c>
      <x:c r="F49" s="75" t="str">
        <x:f>IF($A49&lt;&gt;"",Katalog_Fiyatlayici!$AE49,"")</x:f>
      </x:c>
      <x:c r="G49" s="75" t="str">
        <x:f>IF($A49&lt;&gt;"",Katalog_Fiyatlayici!$AD49,"")</x:f>
      </x:c>
      <x:c r="H49" s="75" t="str">
        <x:f>IF($A49&lt;&gt;"",Katalog_Fiyatlayici!$B49,"")</x:f>
      </x:c>
      <x:c r="I49" s="75" t="str">
        <x:f>IF($A49&lt;&gt;"","MakerWorld model linkine göre tahmini 3D baskı fiyatı. Gerçek üretimden önce Bambu Studio ile gramaj ve süre doğrulanır.","")</x:f>
      </x:c>
      <x:c r="J49" s="75" t="str">
        <x:f>IF($A49&lt;&gt;"",TRUE,"")</x:f>
      </x:c>
      <x:c r="K49" s="75" t="str">
        <x:f>IF($A49&lt;&gt;"",FALSE,"")</x:f>
      </x:c>
      <x:c r="L49" s="75" t="str">
        <x:f>IF($A49&lt;&gt;"","Units","")</x:f>
      </x:c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75" t="str">
        <x:f>IF(Katalog_Fiyatlayici!$AC50="Fiyat Hazır",Katalog_Fiyatlayici!$AD50,"")</x:f>
      </x:c>
      <x:c r="B50" s="75" t="str">
        <x:f>IF($A50&lt;&gt;"",Katalog_Fiyatlayici!$AF50,"")</x:f>
      </x:c>
      <x:c r="C50" s="83" t="str">
        <x:f>IF($A50&lt;&gt;"",Katalog_Fiyatlayici!$AA50,"")</x:f>
      </x:c>
      <x:c r="D50" s="83" t="str">
        <x:f>IF($A50&lt;&gt;"",Katalog_Fiyatlayici!$W50,"")</x:f>
      </x:c>
      <x:c r="E50" s="75" t="str">
        <x:f>IF($A50&lt;&gt;"","Service","")</x:f>
      </x:c>
      <x:c r="F50" s="75" t="str">
        <x:f>IF($A50&lt;&gt;"",Katalog_Fiyatlayici!$AE50,"")</x:f>
      </x:c>
      <x:c r="G50" s="75" t="str">
        <x:f>IF($A50&lt;&gt;"",Katalog_Fiyatlayici!$AD50,"")</x:f>
      </x:c>
      <x:c r="H50" s="75" t="str">
        <x:f>IF($A50&lt;&gt;"",Katalog_Fiyatlayici!$B50,"")</x:f>
      </x:c>
      <x:c r="I50" s="75" t="str">
        <x:f>IF($A50&lt;&gt;"","MakerWorld model linkine göre tahmini 3D baskı fiyatı. Gerçek üretimden önce Bambu Studio ile gramaj ve süre doğrulanır.","")</x:f>
      </x:c>
      <x:c r="J50" s="75" t="str">
        <x:f>IF($A50&lt;&gt;"",TRUE,"")</x:f>
      </x:c>
      <x:c r="K50" s="75" t="str">
        <x:f>IF($A50&lt;&gt;"",FALSE,"")</x:f>
      </x:c>
      <x:c r="L50" s="75" t="str">
        <x:f>IF($A50&lt;&gt;"","Units","")</x:f>
      </x:c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75" t="str">
        <x:f>IF(Katalog_Fiyatlayici!$AC51="Fiyat Hazır",Katalog_Fiyatlayici!$AD51,"")</x:f>
      </x:c>
      <x:c r="B51" s="75" t="str">
        <x:f>IF($A51&lt;&gt;"",Katalog_Fiyatlayici!$AF51,"")</x:f>
      </x:c>
      <x:c r="C51" s="83" t="str">
        <x:f>IF($A51&lt;&gt;"",Katalog_Fiyatlayici!$AA51,"")</x:f>
      </x:c>
      <x:c r="D51" s="83" t="str">
        <x:f>IF($A51&lt;&gt;"",Katalog_Fiyatlayici!$W51,"")</x:f>
      </x:c>
      <x:c r="E51" s="75" t="str">
        <x:f>IF($A51&lt;&gt;"","Service","")</x:f>
      </x:c>
      <x:c r="F51" s="75" t="str">
        <x:f>IF($A51&lt;&gt;"",Katalog_Fiyatlayici!$AE51,"")</x:f>
      </x:c>
      <x:c r="G51" s="75" t="str">
        <x:f>IF($A51&lt;&gt;"",Katalog_Fiyatlayici!$AD51,"")</x:f>
      </x:c>
      <x:c r="H51" s="75" t="str">
        <x:f>IF($A51&lt;&gt;"",Katalog_Fiyatlayici!$B51,"")</x:f>
      </x:c>
      <x:c r="I51" s="75" t="str">
        <x:f>IF($A51&lt;&gt;"","MakerWorld model linkine göre tahmini 3D baskı fiyatı. Gerçek üretimden önce Bambu Studio ile gramaj ve süre doğrulanır.","")</x:f>
      </x:c>
      <x:c r="J51" s="75" t="str">
        <x:f>IF($A51&lt;&gt;"",TRUE,"")</x:f>
      </x:c>
      <x:c r="K51" s="75" t="str">
        <x:f>IF($A51&lt;&gt;"",FALSE,"")</x:f>
      </x:c>
      <x:c r="L51" s="75" t="str">
        <x:f>IF($A51&lt;&gt;"","Units","")</x:f>
      </x:c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75" t="str">
        <x:f>IF(Katalog_Fiyatlayici!$AC52="Fiyat Hazır",Katalog_Fiyatlayici!$AD52,"")</x:f>
      </x:c>
      <x:c r="B52" s="75" t="str">
        <x:f>IF($A52&lt;&gt;"",Katalog_Fiyatlayici!$AF52,"")</x:f>
      </x:c>
      <x:c r="C52" s="83" t="str">
        <x:f>IF($A52&lt;&gt;"",Katalog_Fiyatlayici!$AA52,"")</x:f>
      </x:c>
      <x:c r="D52" s="83" t="str">
        <x:f>IF($A52&lt;&gt;"",Katalog_Fiyatlayici!$W52,"")</x:f>
      </x:c>
      <x:c r="E52" s="75" t="str">
        <x:f>IF($A52&lt;&gt;"","Service","")</x:f>
      </x:c>
      <x:c r="F52" s="75" t="str">
        <x:f>IF($A52&lt;&gt;"",Katalog_Fiyatlayici!$AE52,"")</x:f>
      </x:c>
      <x:c r="G52" s="75" t="str">
        <x:f>IF($A52&lt;&gt;"",Katalog_Fiyatlayici!$AD52,"")</x:f>
      </x:c>
      <x:c r="H52" s="75" t="str">
        <x:f>IF($A52&lt;&gt;"",Katalog_Fiyatlayici!$B52,"")</x:f>
      </x:c>
      <x:c r="I52" s="75" t="str">
        <x:f>IF($A52&lt;&gt;"","MakerWorld model linkine göre tahmini 3D baskı fiyatı. Gerçek üretimden önce Bambu Studio ile gramaj ve süre doğrulanır.","")</x:f>
      </x:c>
      <x:c r="J52" s="75" t="str">
        <x:f>IF($A52&lt;&gt;"",TRUE,"")</x:f>
      </x:c>
      <x:c r="K52" s="75" t="str">
        <x:f>IF($A52&lt;&gt;"",FALSE,"")</x:f>
      </x:c>
      <x:c r="L52" s="75" t="str">
        <x:f>IF($A52&lt;&gt;"","Units","")</x:f>
      </x:c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75" t="str">
        <x:f>IF(Katalog_Fiyatlayici!$AC53="Fiyat Hazır",Katalog_Fiyatlayici!$AD53,"")</x:f>
      </x:c>
      <x:c r="B53" s="75" t="str">
        <x:f>IF($A53&lt;&gt;"",Katalog_Fiyatlayici!$AF53,"")</x:f>
      </x:c>
      <x:c r="C53" s="83" t="str">
        <x:f>IF($A53&lt;&gt;"",Katalog_Fiyatlayici!$AA53,"")</x:f>
      </x:c>
      <x:c r="D53" s="83" t="str">
        <x:f>IF($A53&lt;&gt;"",Katalog_Fiyatlayici!$W53,"")</x:f>
      </x:c>
      <x:c r="E53" s="75" t="str">
        <x:f>IF($A53&lt;&gt;"","Service","")</x:f>
      </x:c>
      <x:c r="F53" s="75" t="str">
        <x:f>IF($A53&lt;&gt;"",Katalog_Fiyatlayici!$AE53,"")</x:f>
      </x:c>
      <x:c r="G53" s="75" t="str">
        <x:f>IF($A53&lt;&gt;"",Katalog_Fiyatlayici!$AD53,"")</x:f>
      </x:c>
      <x:c r="H53" s="75" t="str">
        <x:f>IF($A53&lt;&gt;"",Katalog_Fiyatlayici!$B53,"")</x:f>
      </x:c>
      <x:c r="I53" s="75" t="str">
        <x:f>IF($A53&lt;&gt;"","MakerWorld model linkine göre tahmini 3D baskı fiyatı. Gerçek üretimden önce Bambu Studio ile gramaj ve süre doğrulanır.","")</x:f>
      </x:c>
      <x:c r="J53" s="75" t="str">
        <x:f>IF($A53&lt;&gt;"",TRUE,"")</x:f>
      </x:c>
      <x:c r="K53" s="75" t="str">
        <x:f>IF($A53&lt;&gt;"",FALSE,"")</x:f>
      </x:c>
      <x:c r="L53" s="75" t="str">
        <x:f>IF($A53&lt;&gt;"","Units","")</x:f>
      </x:c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75" t="str">
        <x:f>IF(Katalog_Fiyatlayici!$AC54="Fiyat Hazır",Katalog_Fiyatlayici!$AD54,"")</x:f>
      </x:c>
      <x:c r="B54" s="75" t="str">
        <x:f>IF($A54&lt;&gt;"",Katalog_Fiyatlayici!$AF54,"")</x:f>
      </x:c>
      <x:c r="C54" s="83" t="str">
        <x:f>IF($A54&lt;&gt;"",Katalog_Fiyatlayici!$AA54,"")</x:f>
      </x:c>
      <x:c r="D54" s="83" t="str">
        <x:f>IF($A54&lt;&gt;"",Katalog_Fiyatlayici!$W54,"")</x:f>
      </x:c>
      <x:c r="E54" s="75" t="str">
        <x:f>IF($A54&lt;&gt;"","Service","")</x:f>
      </x:c>
      <x:c r="F54" s="75" t="str">
        <x:f>IF($A54&lt;&gt;"",Katalog_Fiyatlayici!$AE54,"")</x:f>
      </x:c>
      <x:c r="G54" s="75" t="str">
        <x:f>IF($A54&lt;&gt;"",Katalog_Fiyatlayici!$AD54,"")</x:f>
      </x:c>
      <x:c r="H54" s="75" t="str">
        <x:f>IF($A54&lt;&gt;"",Katalog_Fiyatlayici!$B54,"")</x:f>
      </x:c>
      <x:c r="I54" s="75" t="str">
        <x:f>IF($A54&lt;&gt;"","MakerWorld model linkine göre tahmini 3D baskı fiyatı. Gerçek üretimden önce Bambu Studio ile gramaj ve süre doğrulanır.","")</x:f>
      </x:c>
      <x:c r="J54" s="75" t="str">
        <x:f>IF($A54&lt;&gt;"",TRUE,"")</x:f>
      </x:c>
      <x:c r="K54" s="75" t="str">
        <x:f>IF($A54&lt;&gt;"",FALSE,"")</x:f>
      </x:c>
      <x:c r="L54" s="75" t="str">
        <x:f>IF($A54&lt;&gt;"","Units","")</x:f>
      </x:c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75" t="str">
        <x:f>IF(Katalog_Fiyatlayici!$AC55="Fiyat Hazır",Katalog_Fiyatlayici!$AD55,"")</x:f>
      </x:c>
      <x:c r="B55" s="75" t="str">
        <x:f>IF($A55&lt;&gt;"",Katalog_Fiyatlayici!$AF55,"")</x:f>
      </x:c>
      <x:c r="C55" s="83" t="str">
        <x:f>IF($A55&lt;&gt;"",Katalog_Fiyatlayici!$AA55,"")</x:f>
      </x:c>
      <x:c r="D55" s="83" t="str">
        <x:f>IF($A55&lt;&gt;"",Katalog_Fiyatlayici!$W55,"")</x:f>
      </x:c>
      <x:c r="E55" s="75" t="str">
        <x:f>IF($A55&lt;&gt;"","Service","")</x:f>
      </x:c>
      <x:c r="F55" s="75" t="str">
        <x:f>IF($A55&lt;&gt;"",Katalog_Fiyatlayici!$AE55,"")</x:f>
      </x:c>
      <x:c r="G55" s="75" t="str">
        <x:f>IF($A55&lt;&gt;"",Katalog_Fiyatlayici!$AD55,"")</x:f>
      </x:c>
      <x:c r="H55" s="75" t="str">
        <x:f>IF($A55&lt;&gt;"",Katalog_Fiyatlayici!$B55,"")</x:f>
      </x:c>
      <x:c r="I55" s="75" t="str">
        <x:f>IF($A55&lt;&gt;"","MakerWorld model linkine göre tahmini 3D baskı fiyatı. Gerçek üretimden önce Bambu Studio ile gramaj ve süre doğrulanır.","")</x:f>
      </x:c>
      <x:c r="J55" s="75" t="str">
        <x:f>IF($A55&lt;&gt;"",TRUE,"")</x:f>
      </x:c>
      <x:c r="K55" s="75" t="str">
        <x:f>IF($A55&lt;&gt;"",FALSE,"")</x:f>
      </x:c>
      <x:c r="L55" s="75" t="str">
        <x:f>IF($A55&lt;&gt;"","Units","")</x:f>
      </x:c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75" t="str">
        <x:f>IF(Katalog_Fiyatlayici!$AC56="Fiyat Hazır",Katalog_Fiyatlayici!$AD56,"")</x:f>
      </x:c>
      <x:c r="B56" s="75" t="str">
        <x:f>IF($A56&lt;&gt;"",Katalog_Fiyatlayici!$AF56,"")</x:f>
      </x:c>
      <x:c r="C56" s="83" t="str">
        <x:f>IF($A56&lt;&gt;"",Katalog_Fiyatlayici!$AA56,"")</x:f>
      </x:c>
      <x:c r="D56" s="83" t="str">
        <x:f>IF($A56&lt;&gt;"",Katalog_Fiyatlayici!$W56,"")</x:f>
      </x:c>
      <x:c r="E56" s="75" t="str">
        <x:f>IF($A56&lt;&gt;"","Service","")</x:f>
      </x:c>
      <x:c r="F56" s="75" t="str">
        <x:f>IF($A56&lt;&gt;"",Katalog_Fiyatlayici!$AE56,"")</x:f>
      </x:c>
      <x:c r="G56" s="75" t="str">
        <x:f>IF($A56&lt;&gt;"",Katalog_Fiyatlayici!$AD56,"")</x:f>
      </x:c>
      <x:c r="H56" s="75" t="str">
        <x:f>IF($A56&lt;&gt;"",Katalog_Fiyatlayici!$B56,"")</x:f>
      </x:c>
      <x:c r="I56" s="75" t="str">
        <x:f>IF($A56&lt;&gt;"","MakerWorld model linkine göre tahmini 3D baskı fiyatı. Gerçek üretimden önce Bambu Studio ile gramaj ve süre doğrulanır.","")</x:f>
      </x:c>
      <x:c r="J56" s="75" t="str">
        <x:f>IF($A56&lt;&gt;"",TRUE,"")</x:f>
      </x:c>
      <x:c r="K56" s="75" t="str">
        <x:f>IF($A56&lt;&gt;"",FALSE,"")</x:f>
      </x:c>
      <x:c r="L56" s="75" t="str">
        <x:f>IF($A56&lt;&gt;"","Units","")</x:f>
      </x:c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75" t="str">
        <x:f>IF(Katalog_Fiyatlayici!$AC57="Fiyat Hazır",Katalog_Fiyatlayici!$AD57,"")</x:f>
      </x:c>
      <x:c r="B57" s="75" t="str">
        <x:f>IF($A57&lt;&gt;"",Katalog_Fiyatlayici!$AF57,"")</x:f>
      </x:c>
      <x:c r="C57" s="83" t="str">
        <x:f>IF($A57&lt;&gt;"",Katalog_Fiyatlayici!$AA57,"")</x:f>
      </x:c>
      <x:c r="D57" s="83" t="str">
        <x:f>IF($A57&lt;&gt;"",Katalog_Fiyatlayici!$W57,"")</x:f>
      </x:c>
      <x:c r="E57" s="75" t="str">
        <x:f>IF($A57&lt;&gt;"","Service","")</x:f>
      </x:c>
      <x:c r="F57" s="75" t="str">
        <x:f>IF($A57&lt;&gt;"",Katalog_Fiyatlayici!$AE57,"")</x:f>
      </x:c>
      <x:c r="G57" s="75" t="str">
        <x:f>IF($A57&lt;&gt;"",Katalog_Fiyatlayici!$AD57,"")</x:f>
      </x:c>
      <x:c r="H57" s="75" t="str">
        <x:f>IF($A57&lt;&gt;"",Katalog_Fiyatlayici!$B57,"")</x:f>
      </x:c>
      <x:c r="I57" s="75" t="str">
        <x:f>IF($A57&lt;&gt;"","MakerWorld model linkine göre tahmini 3D baskı fiyatı. Gerçek üretimden önce Bambu Studio ile gramaj ve süre doğrulanır.","")</x:f>
      </x:c>
      <x:c r="J57" s="75" t="str">
        <x:f>IF($A57&lt;&gt;"",TRUE,"")</x:f>
      </x:c>
      <x:c r="K57" s="75" t="str">
        <x:f>IF($A57&lt;&gt;"",FALSE,"")</x:f>
      </x:c>
      <x:c r="L57" s="75" t="str">
        <x:f>IF($A57&lt;&gt;"","Units","")</x:f>
      </x:c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75" t="str">
        <x:f>IF(Katalog_Fiyatlayici!$AC58="Fiyat Hazır",Katalog_Fiyatlayici!$AD58,"")</x:f>
      </x:c>
      <x:c r="B58" s="75" t="str">
        <x:f>IF($A58&lt;&gt;"",Katalog_Fiyatlayici!$AF58,"")</x:f>
      </x:c>
      <x:c r="C58" s="83" t="str">
        <x:f>IF($A58&lt;&gt;"",Katalog_Fiyatlayici!$AA58,"")</x:f>
      </x:c>
      <x:c r="D58" s="83" t="str">
        <x:f>IF($A58&lt;&gt;"",Katalog_Fiyatlayici!$W58,"")</x:f>
      </x:c>
      <x:c r="E58" s="75" t="str">
        <x:f>IF($A58&lt;&gt;"","Service","")</x:f>
      </x:c>
      <x:c r="F58" s="75" t="str">
        <x:f>IF($A58&lt;&gt;"",Katalog_Fiyatlayici!$AE58,"")</x:f>
      </x:c>
      <x:c r="G58" s="75" t="str">
        <x:f>IF($A58&lt;&gt;"",Katalog_Fiyatlayici!$AD58,"")</x:f>
      </x:c>
      <x:c r="H58" s="75" t="str">
        <x:f>IF($A58&lt;&gt;"",Katalog_Fiyatlayici!$B58,"")</x:f>
      </x:c>
      <x:c r="I58" s="75" t="str">
        <x:f>IF($A58&lt;&gt;"","MakerWorld model linkine göre tahmini 3D baskı fiyatı. Gerçek üretimden önce Bambu Studio ile gramaj ve süre doğrulanır.","")</x:f>
      </x:c>
      <x:c r="J58" s="75" t="str">
        <x:f>IF($A58&lt;&gt;"",TRUE,"")</x:f>
      </x:c>
      <x:c r="K58" s="75" t="str">
        <x:f>IF($A58&lt;&gt;"",FALSE,"")</x:f>
      </x:c>
      <x:c r="L58" s="75" t="str">
        <x:f>IF($A58&lt;&gt;"","Units","")</x:f>
      </x:c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75" t="str">
        <x:f>IF(Katalog_Fiyatlayici!$AC59="Fiyat Hazır",Katalog_Fiyatlayici!$AD59,"")</x:f>
      </x:c>
      <x:c r="B59" s="75" t="str">
        <x:f>IF($A59&lt;&gt;"",Katalog_Fiyatlayici!$AF59,"")</x:f>
      </x:c>
      <x:c r="C59" s="83" t="str">
        <x:f>IF($A59&lt;&gt;"",Katalog_Fiyatlayici!$AA59,"")</x:f>
      </x:c>
      <x:c r="D59" s="83" t="str">
        <x:f>IF($A59&lt;&gt;"",Katalog_Fiyatlayici!$W59,"")</x:f>
      </x:c>
      <x:c r="E59" s="75" t="str">
        <x:f>IF($A59&lt;&gt;"","Service","")</x:f>
      </x:c>
      <x:c r="F59" s="75" t="str">
        <x:f>IF($A59&lt;&gt;"",Katalog_Fiyatlayici!$AE59,"")</x:f>
      </x:c>
      <x:c r="G59" s="75" t="str">
        <x:f>IF($A59&lt;&gt;"",Katalog_Fiyatlayici!$AD59,"")</x:f>
      </x:c>
      <x:c r="H59" s="75" t="str">
        <x:f>IF($A59&lt;&gt;"",Katalog_Fiyatlayici!$B59,"")</x:f>
      </x:c>
      <x:c r="I59" s="75" t="str">
        <x:f>IF($A59&lt;&gt;"","MakerWorld model linkine göre tahmini 3D baskı fiyatı. Gerçek üretimden önce Bambu Studio ile gramaj ve süre doğrulanır.","")</x:f>
      </x:c>
      <x:c r="J59" s="75" t="str">
        <x:f>IF($A59&lt;&gt;"",TRUE,"")</x:f>
      </x:c>
      <x:c r="K59" s="75" t="str">
        <x:f>IF($A59&lt;&gt;"",FALSE,"")</x:f>
      </x:c>
      <x:c r="L59" s="75" t="str">
        <x:f>IF($A59&lt;&gt;"","Units","")</x:f>
      </x:c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75" t="str">
        <x:f>IF(Katalog_Fiyatlayici!$AC60="Fiyat Hazır",Katalog_Fiyatlayici!$AD60,"")</x:f>
      </x:c>
      <x:c r="B60" s="75" t="str">
        <x:f>IF($A60&lt;&gt;"",Katalog_Fiyatlayici!$AF60,"")</x:f>
      </x:c>
      <x:c r="C60" s="83" t="str">
        <x:f>IF($A60&lt;&gt;"",Katalog_Fiyatlayici!$AA60,"")</x:f>
      </x:c>
      <x:c r="D60" s="83" t="str">
        <x:f>IF($A60&lt;&gt;"",Katalog_Fiyatlayici!$W60,"")</x:f>
      </x:c>
      <x:c r="E60" s="75" t="str">
        <x:f>IF($A60&lt;&gt;"","Service","")</x:f>
      </x:c>
      <x:c r="F60" s="75" t="str">
        <x:f>IF($A60&lt;&gt;"",Katalog_Fiyatlayici!$AE60,"")</x:f>
      </x:c>
      <x:c r="G60" s="75" t="str">
        <x:f>IF($A60&lt;&gt;"",Katalog_Fiyatlayici!$AD60,"")</x:f>
      </x:c>
      <x:c r="H60" s="75" t="str">
        <x:f>IF($A60&lt;&gt;"",Katalog_Fiyatlayici!$B60,"")</x:f>
      </x:c>
      <x:c r="I60" s="75" t="str">
        <x:f>IF($A60&lt;&gt;"","MakerWorld model linkine göre tahmini 3D baskı fiyatı. Gerçek üretimden önce Bambu Studio ile gramaj ve süre doğrulanır.","")</x:f>
      </x:c>
      <x:c r="J60" s="75" t="str">
        <x:f>IF($A60&lt;&gt;"",TRUE,"")</x:f>
      </x:c>
      <x:c r="K60" s="75" t="str">
        <x:f>IF($A60&lt;&gt;"",FALSE,"")</x:f>
      </x:c>
      <x:c r="L60" s="75" t="str">
        <x:f>IF($A60&lt;&gt;"","Units","")</x:f>
      </x:c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75" t="str">
        <x:f>IF(Katalog_Fiyatlayici!$AC61="Fiyat Hazır",Katalog_Fiyatlayici!$AD61,"")</x:f>
      </x:c>
      <x:c r="B61" s="75" t="str">
        <x:f>IF($A61&lt;&gt;"",Katalog_Fiyatlayici!$AF61,"")</x:f>
      </x:c>
      <x:c r="C61" s="83" t="str">
        <x:f>IF($A61&lt;&gt;"",Katalog_Fiyatlayici!$AA61,"")</x:f>
      </x:c>
      <x:c r="D61" s="83" t="str">
        <x:f>IF($A61&lt;&gt;"",Katalog_Fiyatlayici!$W61,"")</x:f>
      </x:c>
      <x:c r="E61" s="75" t="str">
        <x:f>IF($A61&lt;&gt;"","Service","")</x:f>
      </x:c>
      <x:c r="F61" s="75" t="str">
        <x:f>IF($A61&lt;&gt;"",Katalog_Fiyatlayici!$AE61,"")</x:f>
      </x:c>
      <x:c r="G61" s="75" t="str">
        <x:f>IF($A61&lt;&gt;"",Katalog_Fiyatlayici!$AD61,"")</x:f>
      </x:c>
      <x:c r="H61" s="75" t="str">
        <x:f>IF($A61&lt;&gt;"",Katalog_Fiyatlayici!$B61,"")</x:f>
      </x:c>
      <x:c r="I61" s="75" t="str">
        <x:f>IF($A61&lt;&gt;"","MakerWorld model linkine göre tahmini 3D baskı fiyatı. Gerçek üretimden önce Bambu Studio ile gramaj ve süre doğrulanır.","")</x:f>
      </x:c>
      <x:c r="J61" s="75" t="str">
        <x:f>IF($A61&lt;&gt;"",TRUE,"")</x:f>
      </x:c>
      <x:c r="K61" s="75" t="str">
        <x:f>IF($A61&lt;&gt;"",FALSE,"")</x:f>
      </x:c>
      <x:c r="L61" s="75" t="str">
        <x:f>IF($A61&lt;&gt;"","Units","")</x:f>
      </x:c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75" t="str">
        <x:f>IF(Katalog_Fiyatlayici!$AC62="Fiyat Hazır",Katalog_Fiyatlayici!$AD62,"")</x:f>
      </x:c>
      <x:c r="B62" s="75" t="str">
        <x:f>IF($A62&lt;&gt;"",Katalog_Fiyatlayici!$AF62,"")</x:f>
      </x:c>
      <x:c r="C62" s="83" t="str">
        <x:f>IF($A62&lt;&gt;"",Katalog_Fiyatlayici!$AA62,"")</x:f>
      </x:c>
      <x:c r="D62" s="83" t="str">
        <x:f>IF($A62&lt;&gt;"",Katalog_Fiyatlayici!$W62,"")</x:f>
      </x:c>
      <x:c r="E62" s="75" t="str">
        <x:f>IF($A62&lt;&gt;"","Service","")</x:f>
      </x:c>
      <x:c r="F62" s="75" t="str">
        <x:f>IF($A62&lt;&gt;"",Katalog_Fiyatlayici!$AE62,"")</x:f>
      </x:c>
      <x:c r="G62" s="75" t="str">
        <x:f>IF($A62&lt;&gt;"",Katalog_Fiyatlayici!$AD62,"")</x:f>
      </x:c>
      <x:c r="H62" s="75" t="str">
        <x:f>IF($A62&lt;&gt;"",Katalog_Fiyatlayici!$B62,"")</x:f>
      </x:c>
      <x:c r="I62" s="75" t="str">
        <x:f>IF($A62&lt;&gt;"","MakerWorld model linkine göre tahmini 3D baskı fiyatı. Gerçek üretimden önce Bambu Studio ile gramaj ve süre doğrulanır.","")</x:f>
      </x:c>
      <x:c r="J62" s="75" t="str">
        <x:f>IF($A62&lt;&gt;"",TRUE,"")</x:f>
      </x:c>
      <x:c r="K62" s="75" t="str">
        <x:f>IF($A62&lt;&gt;"",FALSE,"")</x:f>
      </x:c>
      <x:c r="L62" s="75" t="str">
        <x:f>IF($A62&lt;&gt;"","Units","")</x:f>
      </x:c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75" t="str">
        <x:f>IF(Katalog_Fiyatlayici!$AC63="Fiyat Hazır",Katalog_Fiyatlayici!$AD63,"")</x:f>
      </x:c>
      <x:c r="B63" s="75" t="str">
        <x:f>IF($A63&lt;&gt;"",Katalog_Fiyatlayici!$AF63,"")</x:f>
      </x:c>
      <x:c r="C63" s="83" t="str">
        <x:f>IF($A63&lt;&gt;"",Katalog_Fiyatlayici!$AA63,"")</x:f>
      </x:c>
      <x:c r="D63" s="83" t="str">
        <x:f>IF($A63&lt;&gt;"",Katalog_Fiyatlayici!$W63,"")</x:f>
      </x:c>
      <x:c r="E63" s="75" t="str">
        <x:f>IF($A63&lt;&gt;"","Service","")</x:f>
      </x:c>
      <x:c r="F63" s="75" t="str">
        <x:f>IF($A63&lt;&gt;"",Katalog_Fiyatlayici!$AE63,"")</x:f>
      </x:c>
      <x:c r="G63" s="75" t="str">
        <x:f>IF($A63&lt;&gt;"",Katalog_Fiyatlayici!$AD63,"")</x:f>
      </x:c>
      <x:c r="H63" s="75" t="str">
        <x:f>IF($A63&lt;&gt;"",Katalog_Fiyatlayici!$B63,"")</x:f>
      </x:c>
      <x:c r="I63" s="75" t="str">
        <x:f>IF($A63&lt;&gt;"","MakerWorld model linkine göre tahmini 3D baskı fiyatı. Gerçek üretimden önce Bambu Studio ile gramaj ve süre doğrulanır.","")</x:f>
      </x:c>
      <x:c r="J63" s="75" t="str">
        <x:f>IF($A63&lt;&gt;"",TRUE,"")</x:f>
      </x:c>
      <x:c r="K63" s="75" t="str">
        <x:f>IF($A63&lt;&gt;"",FALSE,"")</x:f>
      </x:c>
      <x:c r="L63" s="75" t="str">
        <x:f>IF($A63&lt;&gt;"","Units","")</x:f>
      </x:c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75" t="str">
        <x:f>IF(Katalog_Fiyatlayici!$AC64="Fiyat Hazır",Katalog_Fiyatlayici!$AD64,"")</x:f>
      </x:c>
      <x:c r="B64" s="75" t="str">
        <x:f>IF($A64&lt;&gt;"",Katalog_Fiyatlayici!$AF64,"")</x:f>
      </x:c>
      <x:c r="C64" s="83" t="str">
        <x:f>IF($A64&lt;&gt;"",Katalog_Fiyatlayici!$AA64,"")</x:f>
      </x:c>
      <x:c r="D64" s="83" t="str">
        <x:f>IF($A64&lt;&gt;"",Katalog_Fiyatlayici!$W64,"")</x:f>
      </x:c>
      <x:c r="E64" s="75" t="str">
        <x:f>IF($A64&lt;&gt;"","Service","")</x:f>
      </x:c>
      <x:c r="F64" s="75" t="str">
        <x:f>IF($A64&lt;&gt;"",Katalog_Fiyatlayici!$AE64,"")</x:f>
      </x:c>
      <x:c r="G64" s="75" t="str">
        <x:f>IF($A64&lt;&gt;"",Katalog_Fiyatlayici!$AD64,"")</x:f>
      </x:c>
      <x:c r="H64" s="75" t="str">
        <x:f>IF($A64&lt;&gt;"",Katalog_Fiyatlayici!$B64,"")</x:f>
      </x:c>
      <x:c r="I64" s="75" t="str">
        <x:f>IF($A64&lt;&gt;"","MakerWorld model linkine göre tahmini 3D baskı fiyatı. Gerçek üretimden önce Bambu Studio ile gramaj ve süre doğrulanır.","")</x:f>
      </x:c>
      <x:c r="J64" s="75" t="str">
        <x:f>IF($A64&lt;&gt;"",TRUE,"")</x:f>
      </x:c>
      <x:c r="K64" s="75" t="str">
        <x:f>IF($A64&lt;&gt;"",FALSE,"")</x:f>
      </x:c>
      <x:c r="L64" s="75" t="str">
        <x:f>IF($A64&lt;&gt;"","Units","")</x:f>
      </x:c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75" t="str">
        <x:f>IF(Katalog_Fiyatlayici!$AC65="Fiyat Hazır",Katalog_Fiyatlayici!$AD65,"")</x:f>
      </x:c>
      <x:c r="B65" s="75" t="str">
        <x:f>IF($A65&lt;&gt;"",Katalog_Fiyatlayici!$AF65,"")</x:f>
      </x:c>
      <x:c r="C65" s="83" t="str">
        <x:f>IF($A65&lt;&gt;"",Katalog_Fiyatlayici!$AA65,"")</x:f>
      </x:c>
      <x:c r="D65" s="83" t="str">
        <x:f>IF($A65&lt;&gt;"",Katalog_Fiyatlayici!$W65,"")</x:f>
      </x:c>
      <x:c r="E65" s="75" t="str">
        <x:f>IF($A65&lt;&gt;"","Service","")</x:f>
      </x:c>
      <x:c r="F65" s="75" t="str">
        <x:f>IF($A65&lt;&gt;"",Katalog_Fiyatlayici!$AE65,"")</x:f>
      </x:c>
      <x:c r="G65" s="75" t="str">
        <x:f>IF($A65&lt;&gt;"",Katalog_Fiyatlayici!$AD65,"")</x:f>
      </x:c>
      <x:c r="H65" s="75" t="str">
        <x:f>IF($A65&lt;&gt;"",Katalog_Fiyatlayici!$B65,"")</x:f>
      </x:c>
      <x:c r="I65" s="75" t="str">
        <x:f>IF($A65&lt;&gt;"","MakerWorld model linkine göre tahmini 3D baskı fiyatı. Gerçek üretimden önce Bambu Studio ile gramaj ve süre doğrulanır.","")</x:f>
      </x:c>
      <x:c r="J65" s="75" t="str">
        <x:f>IF($A65&lt;&gt;"",TRUE,"")</x:f>
      </x:c>
      <x:c r="K65" s="75" t="str">
        <x:f>IF($A65&lt;&gt;"",FALSE,"")</x:f>
      </x:c>
      <x:c r="L65" s="75" t="str">
        <x:f>IF($A65&lt;&gt;"","Units","")</x:f>
      </x:c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75" t="str">
        <x:f>IF(Katalog_Fiyatlayici!$AC66="Fiyat Hazır",Katalog_Fiyatlayici!$AD66,"")</x:f>
      </x:c>
      <x:c r="B66" s="75" t="str">
        <x:f>IF($A66&lt;&gt;"",Katalog_Fiyatlayici!$AF66,"")</x:f>
      </x:c>
      <x:c r="C66" s="83" t="str">
        <x:f>IF($A66&lt;&gt;"",Katalog_Fiyatlayici!$AA66,"")</x:f>
      </x:c>
      <x:c r="D66" s="83" t="str">
        <x:f>IF($A66&lt;&gt;"",Katalog_Fiyatlayici!$W66,"")</x:f>
      </x:c>
      <x:c r="E66" s="75" t="str">
        <x:f>IF($A66&lt;&gt;"","Service","")</x:f>
      </x:c>
      <x:c r="F66" s="75" t="str">
        <x:f>IF($A66&lt;&gt;"",Katalog_Fiyatlayici!$AE66,"")</x:f>
      </x:c>
      <x:c r="G66" s="75" t="str">
        <x:f>IF($A66&lt;&gt;"",Katalog_Fiyatlayici!$AD66,"")</x:f>
      </x:c>
      <x:c r="H66" s="75" t="str">
        <x:f>IF($A66&lt;&gt;"",Katalog_Fiyatlayici!$B66,"")</x:f>
      </x:c>
      <x:c r="I66" s="75" t="str">
        <x:f>IF($A66&lt;&gt;"","MakerWorld model linkine göre tahmini 3D baskı fiyatı. Gerçek üretimden önce Bambu Studio ile gramaj ve süre doğrulanır.","")</x:f>
      </x:c>
      <x:c r="J66" s="75" t="str">
        <x:f>IF($A66&lt;&gt;"",TRUE,"")</x:f>
      </x:c>
      <x:c r="K66" s="75" t="str">
        <x:f>IF($A66&lt;&gt;"",FALSE,"")</x:f>
      </x:c>
      <x:c r="L66" s="75" t="str">
        <x:f>IF($A66&lt;&gt;"","Units","")</x:f>
      </x:c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75" t="str">
        <x:f>IF(Katalog_Fiyatlayici!$AC67="Fiyat Hazır",Katalog_Fiyatlayici!$AD67,"")</x:f>
      </x:c>
      <x:c r="B67" s="75" t="str">
        <x:f>IF($A67&lt;&gt;"",Katalog_Fiyatlayici!$AF67,"")</x:f>
      </x:c>
      <x:c r="C67" s="83" t="str">
        <x:f>IF($A67&lt;&gt;"",Katalog_Fiyatlayici!$AA67,"")</x:f>
      </x:c>
      <x:c r="D67" s="83" t="str">
        <x:f>IF($A67&lt;&gt;"",Katalog_Fiyatlayici!$W67,"")</x:f>
      </x:c>
      <x:c r="E67" s="75" t="str">
        <x:f>IF($A67&lt;&gt;"","Service","")</x:f>
      </x:c>
      <x:c r="F67" s="75" t="str">
        <x:f>IF($A67&lt;&gt;"",Katalog_Fiyatlayici!$AE67,"")</x:f>
      </x:c>
      <x:c r="G67" s="75" t="str">
        <x:f>IF($A67&lt;&gt;"",Katalog_Fiyatlayici!$AD67,"")</x:f>
      </x:c>
      <x:c r="H67" s="75" t="str">
        <x:f>IF($A67&lt;&gt;"",Katalog_Fiyatlayici!$B67,"")</x:f>
      </x:c>
      <x:c r="I67" s="75" t="str">
        <x:f>IF($A67&lt;&gt;"","MakerWorld model linkine göre tahmini 3D baskı fiyatı. Gerçek üretimden önce Bambu Studio ile gramaj ve süre doğrulanır.","")</x:f>
      </x:c>
      <x:c r="J67" s="75" t="str">
        <x:f>IF($A67&lt;&gt;"",TRUE,"")</x:f>
      </x:c>
      <x:c r="K67" s="75" t="str">
        <x:f>IF($A67&lt;&gt;"",FALSE,"")</x:f>
      </x:c>
      <x:c r="L67" s="75" t="str">
        <x:f>IF($A67&lt;&gt;"","Units","")</x:f>
      </x:c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75" t="str">
        <x:f>IF(Katalog_Fiyatlayici!$AC68="Fiyat Hazır",Katalog_Fiyatlayici!$AD68,"")</x:f>
      </x:c>
      <x:c r="B68" s="75" t="str">
        <x:f>IF($A68&lt;&gt;"",Katalog_Fiyatlayici!$AF68,"")</x:f>
      </x:c>
      <x:c r="C68" s="83" t="str">
        <x:f>IF($A68&lt;&gt;"",Katalog_Fiyatlayici!$AA68,"")</x:f>
      </x:c>
      <x:c r="D68" s="83" t="str">
        <x:f>IF($A68&lt;&gt;"",Katalog_Fiyatlayici!$W68,"")</x:f>
      </x:c>
      <x:c r="E68" s="75" t="str">
        <x:f>IF($A68&lt;&gt;"","Service","")</x:f>
      </x:c>
      <x:c r="F68" s="75" t="str">
        <x:f>IF($A68&lt;&gt;"",Katalog_Fiyatlayici!$AE68,"")</x:f>
      </x:c>
      <x:c r="G68" s="75" t="str">
        <x:f>IF($A68&lt;&gt;"",Katalog_Fiyatlayici!$AD68,"")</x:f>
      </x:c>
      <x:c r="H68" s="75" t="str">
        <x:f>IF($A68&lt;&gt;"",Katalog_Fiyatlayici!$B68,"")</x:f>
      </x:c>
      <x:c r="I68" s="75" t="str">
        <x:f>IF($A68&lt;&gt;"","MakerWorld model linkine göre tahmini 3D baskı fiyatı. Gerçek üretimden önce Bambu Studio ile gramaj ve süre doğrulanır.","")</x:f>
      </x:c>
      <x:c r="J68" s="75" t="str">
        <x:f>IF($A68&lt;&gt;"",TRUE,"")</x:f>
      </x:c>
      <x:c r="K68" s="75" t="str">
        <x:f>IF($A68&lt;&gt;"",FALSE,"")</x:f>
      </x:c>
      <x:c r="L68" s="75" t="str">
        <x:f>IF($A68&lt;&gt;"","Units","")</x:f>
      </x:c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75" t="str">
        <x:f>IF(Katalog_Fiyatlayici!$AC69="Fiyat Hazır",Katalog_Fiyatlayici!$AD69,"")</x:f>
      </x:c>
      <x:c r="B69" s="75" t="str">
        <x:f>IF($A69&lt;&gt;"",Katalog_Fiyatlayici!$AF69,"")</x:f>
      </x:c>
      <x:c r="C69" s="83" t="str">
        <x:f>IF($A69&lt;&gt;"",Katalog_Fiyatlayici!$AA69,"")</x:f>
      </x:c>
      <x:c r="D69" s="83" t="str">
        <x:f>IF($A69&lt;&gt;"",Katalog_Fiyatlayici!$W69,"")</x:f>
      </x:c>
      <x:c r="E69" s="75" t="str">
        <x:f>IF($A69&lt;&gt;"","Service","")</x:f>
      </x:c>
      <x:c r="F69" s="75" t="str">
        <x:f>IF($A69&lt;&gt;"",Katalog_Fiyatlayici!$AE69,"")</x:f>
      </x:c>
      <x:c r="G69" s="75" t="str">
        <x:f>IF($A69&lt;&gt;"",Katalog_Fiyatlayici!$AD69,"")</x:f>
      </x:c>
      <x:c r="H69" s="75" t="str">
        <x:f>IF($A69&lt;&gt;"",Katalog_Fiyatlayici!$B69,"")</x:f>
      </x:c>
      <x:c r="I69" s="75" t="str">
        <x:f>IF($A69&lt;&gt;"","MakerWorld model linkine göre tahmini 3D baskı fiyatı. Gerçek üretimden önce Bambu Studio ile gramaj ve süre doğrulanır.","")</x:f>
      </x:c>
      <x:c r="J69" s="75" t="str">
        <x:f>IF($A69&lt;&gt;"",TRUE,"")</x:f>
      </x:c>
      <x:c r="K69" s="75" t="str">
        <x:f>IF($A69&lt;&gt;"",FALSE,"")</x:f>
      </x:c>
      <x:c r="L69" s="75" t="str">
        <x:f>IF($A69&lt;&gt;"","Units","")</x:f>
      </x:c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75" t="str">
        <x:f>IF(Katalog_Fiyatlayici!$AC70="Fiyat Hazır",Katalog_Fiyatlayici!$AD70,"")</x:f>
      </x:c>
      <x:c r="B70" s="75" t="str">
        <x:f>IF($A70&lt;&gt;"",Katalog_Fiyatlayici!$AF70,"")</x:f>
      </x:c>
      <x:c r="C70" s="83" t="str">
        <x:f>IF($A70&lt;&gt;"",Katalog_Fiyatlayici!$AA70,"")</x:f>
      </x:c>
      <x:c r="D70" s="83" t="str">
        <x:f>IF($A70&lt;&gt;"",Katalog_Fiyatlayici!$W70,"")</x:f>
      </x:c>
      <x:c r="E70" s="75" t="str">
        <x:f>IF($A70&lt;&gt;"","Service","")</x:f>
      </x:c>
      <x:c r="F70" s="75" t="str">
        <x:f>IF($A70&lt;&gt;"",Katalog_Fiyatlayici!$AE70,"")</x:f>
      </x:c>
      <x:c r="G70" s="75" t="str">
        <x:f>IF($A70&lt;&gt;"",Katalog_Fiyatlayici!$AD70,"")</x:f>
      </x:c>
      <x:c r="H70" s="75" t="str">
        <x:f>IF($A70&lt;&gt;"",Katalog_Fiyatlayici!$B70,"")</x:f>
      </x:c>
      <x:c r="I70" s="75" t="str">
        <x:f>IF($A70&lt;&gt;"","MakerWorld model linkine göre tahmini 3D baskı fiyatı. Gerçek üretimden önce Bambu Studio ile gramaj ve süre doğrulanır.","")</x:f>
      </x:c>
      <x:c r="J70" s="75" t="str">
        <x:f>IF($A70&lt;&gt;"",TRUE,"")</x:f>
      </x:c>
      <x:c r="K70" s="75" t="str">
        <x:f>IF($A70&lt;&gt;"",FALSE,"")</x:f>
      </x:c>
      <x:c r="L70" s="75" t="str">
        <x:f>IF($A70&lt;&gt;"","Units","")</x:f>
      </x:c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75" t="str">
        <x:f>IF(Katalog_Fiyatlayici!$AC71="Fiyat Hazır",Katalog_Fiyatlayici!$AD71,"")</x:f>
      </x:c>
      <x:c r="B71" s="75" t="str">
        <x:f>IF($A71&lt;&gt;"",Katalog_Fiyatlayici!$AF71,"")</x:f>
      </x:c>
      <x:c r="C71" s="83" t="str">
        <x:f>IF($A71&lt;&gt;"",Katalog_Fiyatlayici!$AA71,"")</x:f>
      </x:c>
      <x:c r="D71" s="83" t="str">
        <x:f>IF($A71&lt;&gt;"",Katalog_Fiyatlayici!$W71,"")</x:f>
      </x:c>
      <x:c r="E71" s="75" t="str">
        <x:f>IF($A71&lt;&gt;"","Service","")</x:f>
      </x:c>
      <x:c r="F71" s="75" t="str">
        <x:f>IF($A71&lt;&gt;"",Katalog_Fiyatlayici!$AE71,"")</x:f>
      </x:c>
      <x:c r="G71" s="75" t="str">
        <x:f>IF($A71&lt;&gt;"",Katalog_Fiyatlayici!$AD71,"")</x:f>
      </x:c>
      <x:c r="H71" s="75" t="str">
        <x:f>IF($A71&lt;&gt;"",Katalog_Fiyatlayici!$B71,"")</x:f>
      </x:c>
      <x:c r="I71" s="75" t="str">
        <x:f>IF($A71&lt;&gt;"","MakerWorld model linkine göre tahmini 3D baskı fiyatı. Gerçek üretimden önce Bambu Studio ile gramaj ve süre doğrulanır.","")</x:f>
      </x:c>
      <x:c r="J71" s="75" t="str">
        <x:f>IF($A71&lt;&gt;"",TRUE,"")</x:f>
      </x:c>
      <x:c r="K71" s="75" t="str">
        <x:f>IF($A71&lt;&gt;"",FALSE,"")</x:f>
      </x:c>
      <x:c r="L71" s="75" t="str">
        <x:f>IF($A71&lt;&gt;"","Units","")</x:f>
      </x:c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75" t="str">
        <x:f>IF(Katalog_Fiyatlayici!$AC72="Fiyat Hazır",Katalog_Fiyatlayici!$AD72,"")</x:f>
      </x:c>
      <x:c r="B72" s="75" t="str">
        <x:f>IF($A72&lt;&gt;"",Katalog_Fiyatlayici!$AF72,"")</x:f>
      </x:c>
      <x:c r="C72" s="83" t="str">
        <x:f>IF($A72&lt;&gt;"",Katalog_Fiyatlayici!$AA72,"")</x:f>
      </x:c>
      <x:c r="D72" s="83" t="str">
        <x:f>IF($A72&lt;&gt;"",Katalog_Fiyatlayici!$W72,"")</x:f>
      </x:c>
      <x:c r="E72" s="75" t="str">
        <x:f>IF($A72&lt;&gt;"","Service","")</x:f>
      </x:c>
      <x:c r="F72" s="75" t="str">
        <x:f>IF($A72&lt;&gt;"",Katalog_Fiyatlayici!$AE72,"")</x:f>
      </x:c>
      <x:c r="G72" s="75" t="str">
        <x:f>IF($A72&lt;&gt;"",Katalog_Fiyatlayici!$AD72,"")</x:f>
      </x:c>
      <x:c r="H72" s="75" t="str">
        <x:f>IF($A72&lt;&gt;"",Katalog_Fiyatlayici!$B72,"")</x:f>
      </x:c>
      <x:c r="I72" s="75" t="str">
        <x:f>IF($A72&lt;&gt;"","MakerWorld model linkine göre tahmini 3D baskı fiyatı. Gerçek üretimden önce Bambu Studio ile gramaj ve süre doğrulanır.","")</x:f>
      </x:c>
      <x:c r="J72" s="75" t="str">
        <x:f>IF($A72&lt;&gt;"",TRUE,"")</x:f>
      </x:c>
      <x:c r="K72" s="75" t="str">
        <x:f>IF($A72&lt;&gt;"",FALSE,"")</x:f>
      </x:c>
      <x:c r="L72" s="75" t="str">
        <x:f>IF($A72&lt;&gt;"","Units","")</x:f>
      </x:c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75" t="str">
        <x:f>IF(Katalog_Fiyatlayici!$AC73="Fiyat Hazır",Katalog_Fiyatlayici!$AD73,"")</x:f>
      </x:c>
      <x:c r="B73" s="75" t="str">
        <x:f>IF($A73&lt;&gt;"",Katalog_Fiyatlayici!$AF73,"")</x:f>
      </x:c>
      <x:c r="C73" s="83" t="str">
        <x:f>IF($A73&lt;&gt;"",Katalog_Fiyatlayici!$AA73,"")</x:f>
      </x:c>
      <x:c r="D73" s="83" t="str">
        <x:f>IF($A73&lt;&gt;"",Katalog_Fiyatlayici!$W73,"")</x:f>
      </x:c>
      <x:c r="E73" s="75" t="str">
        <x:f>IF($A73&lt;&gt;"","Service","")</x:f>
      </x:c>
      <x:c r="F73" s="75" t="str">
        <x:f>IF($A73&lt;&gt;"",Katalog_Fiyatlayici!$AE73,"")</x:f>
      </x:c>
      <x:c r="G73" s="75" t="str">
        <x:f>IF($A73&lt;&gt;"",Katalog_Fiyatlayici!$AD73,"")</x:f>
      </x:c>
      <x:c r="H73" s="75" t="str">
        <x:f>IF($A73&lt;&gt;"",Katalog_Fiyatlayici!$B73,"")</x:f>
      </x:c>
      <x:c r="I73" s="75" t="str">
        <x:f>IF($A73&lt;&gt;"","MakerWorld model linkine göre tahmini 3D baskı fiyatı. Gerçek üretimden önce Bambu Studio ile gramaj ve süre doğrulanır.","")</x:f>
      </x:c>
      <x:c r="J73" s="75" t="str">
        <x:f>IF($A73&lt;&gt;"",TRUE,"")</x:f>
      </x:c>
      <x:c r="K73" s="75" t="str">
        <x:f>IF($A73&lt;&gt;"",FALSE,"")</x:f>
      </x:c>
      <x:c r="L73" s="75" t="str">
        <x:f>IF($A73&lt;&gt;"","Units","")</x:f>
      </x:c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75" t="str">
        <x:f>IF(Katalog_Fiyatlayici!$AC74="Fiyat Hazır",Katalog_Fiyatlayici!$AD74,"")</x:f>
      </x:c>
      <x:c r="B74" s="75" t="str">
        <x:f>IF($A74&lt;&gt;"",Katalog_Fiyatlayici!$AF74,"")</x:f>
      </x:c>
      <x:c r="C74" s="83" t="str">
        <x:f>IF($A74&lt;&gt;"",Katalog_Fiyatlayici!$AA74,"")</x:f>
      </x:c>
      <x:c r="D74" s="83" t="str">
        <x:f>IF($A74&lt;&gt;"",Katalog_Fiyatlayici!$W74,"")</x:f>
      </x:c>
      <x:c r="E74" s="75" t="str">
        <x:f>IF($A74&lt;&gt;"","Service","")</x:f>
      </x:c>
      <x:c r="F74" s="75" t="str">
        <x:f>IF($A74&lt;&gt;"",Katalog_Fiyatlayici!$AE74,"")</x:f>
      </x:c>
      <x:c r="G74" s="75" t="str">
        <x:f>IF($A74&lt;&gt;"",Katalog_Fiyatlayici!$AD74,"")</x:f>
      </x:c>
      <x:c r="H74" s="75" t="str">
        <x:f>IF($A74&lt;&gt;"",Katalog_Fiyatlayici!$B74,"")</x:f>
      </x:c>
      <x:c r="I74" s="75" t="str">
        <x:f>IF($A74&lt;&gt;"","MakerWorld model linkine göre tahmini 3D baskı fiyatı. Gerçek üretimden önce Bambu Studio ile gramaj ve süre doğrulanır.","")</x:f>
      </x:c>
      <x:c r="J74" s="75" t="str">
        <x:f>IF($A74&lt;&gt;"",TRUE,"")</x:f>
      </x:c>
      <x:c r="K74" s="75" t="str">
        <x:f>IF($A74&lt;&gt;"",FALSE,"")</x:f>
      </x:c>
      <x:c r="L74" s="75" t="str">
        <x:f>IF($A74&lt;&gt;"","Units","")</x:f>
      </x:c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75" t="str">
        <x:f>IF(Katalog_Fiyatlayici!$AC75="Fiyat Hazır",Katalog_Fiyatlayici!$AD75,"")</x:f>
      </x:c>
      <x:c r="B75" s="75" t="str">
        <x:f>IF($A75&lt;&gt;"",Katalog_Fiyatlayici!$AF75,"")</x:f>
      </x:c>
      <x:c r="C75" s="83" t="str">
        <x:f>IF($A75&lt;&gt;"",Katalog_Fiyatlayici!$AA75,"")</x:f>
      </x:c>
      <x:c r="D75" s="83" t="str">
        <x:f>IF($A75&lt;&gt;"",Katalog_Fiyatlayici!$W75,"")</x:f>
      </x:c>
      <x:c r="E75" s="75" t="str">
        <x:f>IF($A75&lt;&gt;"","Service","")</x:f>
      </x:c>
      <x:c r="F75" s="75" t="str">
        <x:f>IF($A75&lt;&gt;"",Katalog_Fiyatlayici!$AE75,"")</x:f>
      </x:c>
      <x:c r="G75" s="75" t="str">
        <x:f>IF($A75&lt;&gt;"",Katalog_Fiyatlayici!$AD75,"")</x:f>
      </x:c>
      <x:c r="H75" s="75" t="str">
        <x:f>IF($A75&lt;&gt;"",Katalog_Fiyatlayici!$B75,"")</x:f>
      </x:c>
      <x:c r="I75" s="75" t="str">
        <x:f>IF($A75&lt;&gt;"","MakerWorld model linkine göre tahmini 3D baskı fiyatı. Gerçek üretimden önce Bambu Studio ile gramaj ve süre doğrulanır.","")</x:f>
      </x:c>
      <x:c r="J75" s="75" t="str">
        <x:f>IF($A75&lt;&gt;"",TRUE,"")</x:f>
      </x:c>
      <x:c r="K75" s="75" t="str">
        <x:f>IF($A75&lt;&gt;"",FALSE,"")</x:f>
      </x:c>
      <x:c r="L75" s="75" t="str">
        <x:f>IF($A75&lt;&gt;"","Units","")</x:f>
      </x:c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75" t="str">
        <x:f>IF(Katalog_Fiyatlayici!$AC76="Fiyat Hazır",Katalog_Fiyatlayici!$AD76,"")</x:f>
      </x:c>
      <x:c r="B76" s="75" t="str">
        <x:f>IF($A76&lt;&gt;"",Katalog_Fiyatlayici!$AF76,"")</x:f>
      </x:c>
      <x:c r="C76" s="83" t="str">
        <x:f>IF($A76&lt;&gt;"",Katalog_Fiyatlayici!$AA76,"")</x:f>
      </x:c>
      <x:c r="D76" s="83" t="str">
        <x:f>IF($A76&lt;&gt;"",Katalog_Fiyatlayici!$W76,"")</x:f>
      </x:c>
      <x:c r="E76" s="75" t="str">
        <x:f>IF($A76&lt;&gt;"","Service","")</x:f>
      </x:c>
      <x:c r="F76" s="75" t="str">
        <x:f>IF($A76&lt;&gt;"",Katalog_Fiyatlayici!$AE76,"")</x:f>
      </x:c>
      <x:c r="G76" s="75" t="str">
        <x:f>IF($A76&lt;&gt;"",Katalog_Fiyatlayici!$AD76,"")</x:f>
      </x:c>
      <x:c r="H76" s="75" t="str">
        <x:f>IF($A76&lt;&gt;"",Katalog_Fiyatlayici!$B76,"")</x:f>
      </x:c>
      <x:c r="I76" s="75" t="str">
        <x:f>IF($A76&lt;&gt;"","MakerWorld model linkine göre tahmini 3D baskı fiyatı. Gerçek üretimden önce Bambu Studio ile gramaj ve süre doğrulanır.","")</x:f>
      </x:c>
      <x:c r="J76" s="75" t="str">
        <x:f>IF($A76&lt;&gt;"",TRUE,"")</x:f>
      </x:c>
      <x:c r="K76" s="75" t="str">
        <x:f>IF($A76&lt;&gt;"",FALSE,"")</x:f>
      </x:c>
      <x:c r="L76" s="75" t="str">
        <x:f>IF($A76&lt;&gt;"","Units","")</x:f>
      </x:c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75" t="str">
        <x:f>IF(Katalog_Fiyatlayici!$AC77="Fiyat Hazır",Katalog_Fiyatlayici!$AD77,"")</x:f>
      </x:c>
      <x:c r="B77" s="75" t="str">
        <x:f>IF($A77&lt;&gt;"",Katalog_Fiyatlayici!$AF77,"")</x:f>
      </x:c>
      <x:c r="C77" s="83" t="str">
        <x:f>IF($A77&lt;&gt;"",Katalog_Fiyatlayici!$AA77,"")</x:f>
      </x:c>
      <x:c r="D77" s="83" t="str">
        <x:f>IF($A77&lt;&gt;"",Katalog_Fiyatlayici!$W77,"")</x:f>
      </x:c>
      <x:c r="E77" s="75" t="str">
        <x:f>IF($A77&lt;&gt;"","Service","")</x:f>
      </x:c>
      <x:c r="F77" s="75" t="str">
        <x:f>IF($A77&lt;&gt;"",Katalog_Fiyatlayici!$AE77,"")</x:f>
      </x:c>
      <x:c r="G77" s="75" t="str">
        <x:f>IF($A77&lt;&gt;"",Katalog_Fiyatlayici!$AD77,"")</x:f>
      </x:c>
      <x:c r="H77" s="75" t="str">
        <x:f>IF($A77&lt;&gt;"",Katalog_Fiyatlayici!$B77,"")</x:f>
      </x:c>
      <x:c r="I77" s="75" t="str">
        <x:f>IF($A77&lt;&gt;"","MakerWorld model linkine göre tahmini 3D baskı fiyatı. Gerçek üretimden önce Bambu Studio ile gramaj ve süre doğrulanır.","")</x:f>
      </x:c>
      <x:c r="J77" s="75" t="str">
        <x:f>IF($A77&lt;&gt;"",TRUE,"")</x:f>
      </x:c>
      <x:c r="K77" s="75" t="str">
        <x:f>IF($A77&lt;&gt;"",FALSE,"")</x:f>
      </x:c>
      <x:c r="L77" s="75" t="str">
        <x:f>IF($A77&lt;&gt;"","Units","")</x:f>
      </x:c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75" t="str">
        <x:f>IF(Katalog_Fiyatlayici!$AC78="Fiyat Hazır",Katalog_Fiyatlayici!$AD78,"")</x:f>
      </x:c>
      <x:c r="B78" s="75" t="str">
        <x:f>IF($A78&lt;&gt;"",Katalog_Fiyatlayici!$AF78,"")</x:f>
      </x:c>
      <x:c r="C78" s="83" t="str">
        <x:f>IF($A78&lt;&gt;"",Katalog_Fiyatlayici!$AA78,"")</x:f>
      </x:c>
      <x:c r="D78" s="83" t="str">
        <x:f>IF($A78&lt;&gt;"",Katalog_Fiyatlayici!$W78,"")</x:f>
      </x:c>
      <x:c r="E78" s="75" t="str">
        <x:f>IF($A78&lt;&gt;"","Service","")</x:f>
      </x:c>
      <x:c r="F78" s="75" t="str">
        <x:f>IF($A78&lt;&gt;"",Katalog_Fiyatlayici!$AE78,"")</x:f>
      </x:c>
      <x:c r="G78" s="75" t="str">
        <x:f>IF($A78&lt;&gt;"",Katalog_Fiyatlayici!$AD78,"")</x:f>
      </x:c>
      <x:c r="H78" s="75" t="str">
        <x:f>IF($A78&lt;&gt;"",Katalog_Fiyatlayici!$B78,"")</x:f>
      </x:c>
      <x:c r="I78" s="75" t="str">
        <x:f>IF($A78&lt;&gt;"","MakerWorld model linkine göre tahmini 3D baskı fiyatı. Gerçek üretimden önce Bambu Studio ile gramaj ve süre doğrulanır.","")</x:f>
      </x:c>
      <x:c r="J78" s="75" t="str">
        <x:f>IF($A78&lt;&gt;"",TRUE,"")</x:f>
      </x:c>
      <x:c r="K78" s="75" t="str">
        <x:f>IF($A78&lt;&gt;"",FALSE,"")</x:f>
      </x:c>
      <x:c r="L78" s="75" t="str">
        <x:f>IF($A78&lt;&gt;"","Units","")</x:f>
      </x:c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75" t="str">
        <x:f>IF(Katalog_Fiyatlayici!$AC79="Fiyat Hazır",Katalog_Fiyatlayici!$AD79,"")</x:f>
      </x:c>
      <x:c r="B79" s="75" t="str">
        <x:f>IF($A79&lt;&gt;"",Katalog_Fiyatlayici!$AF79,"")</x:f>
      </x:c>
      <x:c r="C79" s="83" t="str">
        <x:f>IF($A79&lt;&gt;"",Katalog_Fiyatlayici!$AA79,"")</x:f>
      </x:c>
      <x:c r="D79" s="83" t="str">
        <x:f>IF($A79&lt;&gt;"",Katalog_Fiyatlayici!$W79,"")</x:f>
      </x:c>
      <x:c r="E79" s="75" t="str">
        <x:f>IF($A79&lt;&gt;"","Service","")</x:f>
      </x:c>
      <x:c r="F79" s="75" t="str">
        <x:f>IF($A79&lt;&gt;"",Katalog_Fiyatlayici!$AE79,"")</x:f>
      </x:c>
      <x:c r="G79" s="75" t="str">
        <x:f>IF($A79&lt;&gt;"",Katalog_Fiyatlayici!$AD79,"")</x:f>
      </x:c>
      <x:c r="H79" s="75" t="str">
        <x:f>IF($A79&lt;&gt;"",Katalog_Fiyatlayici!$B79,"")</x:f>
      </x:c>
      <x:c r="I79" s="75" t="str">
        <x:f>IF($A79&lt;&gt;"","MakerWorld model linkine göre tahmini 3D baskı fiyatı. Gerçek üretimden önce Bambu Studio ile gramaj ve süre doğrulanır.","")</x:f>
      </x:c>
      <x:c r="J79" s="75" t="str">
        <x:f>IF($A79&lt;&gt;"",TRUE,"")</x:f>
      </x:c>
      <x:c r="K79" s="75" t="str">
        <x:f>IF($A79&lt;&gt;"",FALSE,"")</x:f>
      </x:c>
      <x:c r="L79" s="75" t="str">
        <x:f>IF($A79&lt;&gt;"","Units","")</x:f>
      </x:c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75" t="str">
        <x:f>IF(Katalog_Fiyatlayici!$AC80="Fiyat Hazır",Katalog_Fiyatlayici!$AD80,"")</x:f>
      </x:c>
      <x:c r="B80" s="75" t="str">
        <x:f>IF($A80&lt;&gt;"",Katalog_Fiyatlayici!$AF80,"")</x:f>
      </x:c>
      <x:c r="C80" s="83" t="str">
        <x:f>IF($A80&lt;&gt;"",Katalog_Fiyatlayici!$AA80,"")</x:f>
      </x:c>
      <x:c r="D80" s="83" t="str">
        <x:f>IF($A80&lt;&gt;"",Katalog_Fiyatlayici!$W80,"")</x:f>
      </x:c>
      <x:c r="E80" s="75" t="str">
        <x:f>IF($A80&lt;&gt;"","Service","")</x:f>
      </x:c>
      <x:c r="F80" s="75" t="str">
        <x:f>IF($A80&lt;&gt;"",Katalog_Fiyatlayici!$AE80,"")</x:f>
      </x:c>
      <x:c r="G80" s="75" t="str">
        <x:f>IF($A80&lt;&gt;"",Katalog_Fiyatlayici!$AD80,"")</x:f>
      </x:c>
      <x:c r="H80" s="75" t="str">
        <x:f>IF($A80&lt;&gt;"",Katalog_Fiyatlayici!$B80,"")</x:f>
      </x:c>
      <x:c r="I80" s="75" t="str">
        <x:f>IF($A80&lt;&gt;"","MakerWorld model linkine göre tahmini 3D baskı fiyatı. Gerçek üretimden önce Bambu Studio ile gramaj ve süre doğrulanır.","")</x:f>
      </x:c>
      <x:c r="J80" s="75" t="str">
        <x:f>IF($A80&lt;&gt;"",TRUE,"")</x:f>
      </x:c>
      <x:c r="K80" s="75" t="str">
        <x:f>IF($A80&lt;&gt;"",FALSE,"")</x:f>
      </x:c>
      <x:c r="L80" s="75" t="str">
        <x:f>IF($A80&lt;&gt;"","Units","")</x:f>
      </x:c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75" t="str">
        <x:f>IF(Katalog_Fiyatlayici!$AC81="Fiyat Hazır",Katalog_Fiyatlayici!$AD81,"")</x:f>
      </x:c>
      <x:c r="B81" s="75" t="str">
        <x:f>IF($A81&lt;&gt;"",Katalog_Fiyatlayici!$AF81,"")</x:f>
      </x:c>
      <x:c r="C81" s="83" t="str">
        <x:f>IF($A81&lt;&gt;"",Katalog_Fiyatlayici!$AA81,"")</x:f>
      </x:c>
      <x:c r="D81" s="83" t="str">
        <x:f>IF($A81&lt;&gt;"",Katalog_Fiyatlayici!$W81,"")</x:f>
      </x:c>
      <x:c r="E81" s="75" t="str">
        <x:f>IF($A81&lt;&gt;"","Service","")</x:f>
      </x:c>
      <x:c r="F81" s="75" t="str">
        <x:f>IF($A81&lt;&gt;"",Katalog_Fiyatlayici!$AE81,"")</x:f>
      </x:c>
      <x:c r="G81" s="75" t="str">
        <x:f>IF($A81&lt;&gt;"",Katalog_Fiyatlayici!$AD81,"")</x:f>
      </x:c>
      <x:c r="H81" s="75" t="str">
        <x:f>IF($A81&lt;&gt;"",Katalog_Fiyatlayici!$B81,"")</x:f>
      </x:c>
      <x:c r="I81" s="75" t="str">
        <x:f>IF($A81&lt;&gt;"","MakerWorld model linkine göre tahmini 3D baskı fiyatı. Gerçek üretimden önce Bambu Studio ile gramaj ve süre doğrulanır.","")</x:f>
      </x:c>
      <x:c r="J81" s="75" t="str">
        <x:f>IF($A81&lt;&gt;"",TRUE,"")</x:f>
      </x:c>
      <x:c r="K81" s="75" t="str">
        <x:f>IF($A81&lt;&gt;"",FALSE,"")</x:f>
      </x:c>
      <x:c r="L81" s="75" t="str">
        <x:f>IF($A81&lt;&gt;"","Units","")</x:f>
      </x:c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75" t="str">
        <x:f>IF(Katalog_Fiyatlayici!$AC82="Fiyat Hazır",Katalog_Fiyatlayici!$AD82,"")</x:f>
      </x:c>
      <x:c r="B82" s="75" t="str">
        <x:f>IF($A82&lt;&gt;"",Katalog_Fiyatlayici!$AF82,"")</x:f>
      </x:c>
      <x:c r="C82" s="83" t="str">
        <x:f>IF($A82&lt;&gt;"",Katalog_Fiyatlayici!$AA82,"")</x:f>
      </x:c>
      <x:c r="D82" s="83" t="str">
        <x:f>IF($A82&lt;&gt;"",Katalog_Fiyatlayici!$W82,"")</x:f>
      </x:c>
      <x:c r="E82" s="75" t="str">
        <x:f>IF($A82&lt;&gt;"","Service","")</x:f>
      </x:c>
      <x:c r="F82" s="75" t="str">
        <x:f>IF($A82&lt;&gt;"",Katalog_Fiyatlayici!$AE82,"")</x:f>
      </x:c>
      <x:c r="G82" s="75" t="str">
        <x:f>IF($A82&lt;&gt;"",Katalog_Fiyatlayici!$AD82,"")</x:f>
      </x:c>
      <x:c r="H82" s="75" t="str">
        <x:f>IF($A82&lt;&gt;"",Katalog_Fiyatlayici!$B82,"")</x:f>
      </x:c>
      <x:c r="I82" s="75" t="str">
        <x:f>IF($A82&lt;&gt;"","MakerWorld model linkine göre tahmini 3D baskı fiyatı. Gerçek üretimden önce Bambu Studio ile gramaj ve süre doğrulanır.","")</x:f>
      </x:c>
      <x:c r="J82" s="75" t="str">
        <x:f>IF($A82&lt;&gt;"",TRUE,"")</x:f>
      </x:c>
      <x:c r="K82" s="75" t="str">
        <x:f>IF($A82&lt;&gt;"",FALSE,"")</x:f>
      </x:c>
      <x:c r="L82" s="75" t="str">
        <x:f>IF($A82&lt;&gt;"","Units","")</x:f>
      </x:c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75" t="str">
        <x:f>IF(Katalog_Fiyatlayici!$AC83="Fiyat Hazır",Katalog_Fiyatlayici!$AD83,"")</x:f>
      </x:c>
      <x:c r="B83" s="75" t="str">
        <x:f>IF($A83&lt;&gt;"",Katalog_Fiyatlayici!$AF83,"")</x:f>
      </x:c>
      <x:c r="C83" s="83" t="str">
        <x:f>IF($A83&lt;&gt;"",Katalog_Fiyatlayici!$AA83,"")</x:f>
      </x:c>
      <x:c r="D83" s="83" t="str">
        <x:f>IF($A83&lt;&gt;"",Katalog_Fiyatlayici!$W83,"")</x:f>
      </x:c>
      <x:c r="E83" s="75" t="str">
        <x:f>IF($A83&lt;&gt;"","Service","")</x:f>
      </x:c>
      <x:c r="F83" s="75" t="str">
        <x:f>IF($A83&lt;&gt;"",Katalog_Fiyatlayici!$AE83,"")</x:f>
      </x:c>
      <x:c r="G83" s="75" t="str">
        <x:f>IF($A83&lt;&gt;"",Katalog_Fiyatlayici!$AD83,"")</x:f>
      </x:c>
      <x:c r="H83" s="75" t="str">
        <x:f>IF($A83&lt;&gt;"",Katalog_Fiyatlayici!$B83,"")</x:f>
      </x:c>
      <x:c r="I83" s="75" t="str">
        <x:f>IF($A83&lt;&gt;"","MakerWorld model linkine göre tahmini 3D baskı fiyatı. Gerçek üretimden önce Bambu Studio ile gramaj ve süre doğrulanır.","")</x:f>
      </x:c>
      <x:c r="J83" s="75" t="str">
        <x:f>IF($A83&lt;&gt;"",TRUE,"")</x:f>
      </x:c>
      <x:c r="K83" s="75" t="str">
        <x:f>IF($A83&lt;&gt;"",FALSE,"")</x:f>
      </x:c>
      <x:c r="L83" s="75" t="str">
        <x:f>IF($A83&lt;&gt;"","Units","")</x:f>
      </x:c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75" t="str">
        <x:f>IF(Katalog_Fiyatlayici!$AC84="Fiyat Hazır",Katalog_Fiyatlayici!$AD84,"")</x:f>
      </x:c>
      <x:c r="B84" s="75" t="str">
        <x:f>IF($A84&lt;&gt;"",Katalog_Fiyatlayici!$AF84,"")</x:f>
      </x:c>
      <x:c r="C84" s="83" t="str">
        <x:f>IF($A84&lt;&gt;"",Katalog_Fiyatlayici!$AA84,"")</x:f>
      </x:c>
      <x:c r="D84" s="83" t="str">
        <x:f>IF($A84&lt;&gt;"",Katalog_Fiyatlayici!$W84,"")</x:f>
      </x:c>
      <x:c r="E84" s="75" t="str">
        <x:f>IF($A84&lt;&gt;"","Service","")</x:f>
      </x:c>
      <x:c r="F84" s="75" t="str">
        <x:f>IF($A84&lt;&gt;"",Katalog_Fiyatlayici!$AE84,"")</x:f>
      </x:c>
      <x:c r="G84" s="75" t="str">
        <x:f>IF($A84&lt;&gt;"",Katalog_Fiyatlayici!$AD84,"")</x:f>
      </x:c>
      <x:c r="H84" s="75" t="str">
        <x:f>IF($A84&lt;&gt;"",Katalog_Fiyatlayici!$B84,"")</x:f>
      </x:c>
      <x:c r="I84" s="75" t="str">
        <x:f>IF($A84&lt;&gt;"","MakerWorld model linkine göre tahmini 3D baskı fiyatı. Gerçek üretimden önce Bambu Studio ile gramaj ve süre doğrulanır.","")</x:f>
      </x:c>
      <x:c r="J84" s="75" t="str">
        <x:f>IF($A84&lt;&gt;"",TRUE,"")</x:f>
      </x:c>
      <x:c r="K84" s="75" t="str">
        <x:f>IF($A84&lt;&gt;"",FALSE,"")</x:f>
      </x:c>
      <x:c r="L84" s="75" t="str">
        <x:f>IF($A84&lt;&gt;"","Units","")</x:f>
      </x:c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75" t="str">
        <x:f>IF(Katalog_Fiyatlayici!$AC85="Fiyat Hazır",Katalog_Fiyatlayici!$AD85,"")</x:f>
      </x:c>
      <x:c r="B85" s="75" t="str">
        <x:f>IF($A85&lt;&gt;"",Katalog_Fiyatlayici!$AF85,"")</x:f>
      </x:c>
      <x:c r="C85" s="83" t="str">
        <x:f>IF($A85&lt;&gt;"",Katalog_Fiyatlayici!$AA85,"")</x:f>
      </x:c>
      <x:c r="D85" s="83" t="str">
        <x:f>IF($A85&lt;&gt;"",Katalog_Fiyatlayici!$W85,"")</x:f>
      </x:c>
      <x:c r="E85" s="75" t="str">
        <x:f>IF($A85&lt;&gt;"","Service","")</x:f>
      </x:c>
      <x:c r="F85" s="75" t="str">
        <x:f>IF($A85&lt;&gt;"",Katalog_Fiyatlayici!$AE85,"")</x:f>
      </x:c>
      <x:c r="G85" s="75" t="str">
        <x:f>IF($A85&lt;&gt;"",Katalog_Fiyatlayici!$AD85,"")</x:f>
      </x:c>
      <x:c r="H85" s="75" t="str">
        <x:f>IF($A85&lt;&gt;"",Katalog_Fiyatlayici!$B85,"")</x:f>
      </x:c>
      <x:c r="I85" s="75" t="str">
        <x:f>IF($A85&lt;&gt;"","MakerWorld model linkine göre tahmini 3D baskı fiyatı. Gerçek üretimden önce Bambu Studio ile gramaj ve süre doğrulanır.","")</x:f>
      </x:c>
      <x:c r="J85" s="75" t="str">
        <x:f>IF($A85&lt;&gt;"",TRUE,"")</x:f>
      </x:c>
      <x:c r="K85" s="75" t="str">
        <x:f>IF($A85&lt;&gt;"",FALSE,"")</x:f>
      </x:c>
      <x:c r="L85" s="75" t="str">
        <x:f>IF($A85&lt;&gt;"","Units","")</x:f>
      </x:c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75" t="str">
        <x:f>IF(Katalog_Fiyatlayici!$AC86="Fiyat Hazır",Katalog_Fiyatlayici!$AD86,"")</x:f>
      </x:c>
      <x:c r="B86" s="75" t="str">
        <x:f>IF($A86&lt;&gt;"",Katalog_Fiyatlayici!$AF86,"")</x:f>
      </x:c>
      <x:c r="C86" s="83" t="str">
        <x:f>IF($A86&lt;&gt;"",Katalog_Fiyatlayici!$AA86,"")</x:f>
      </x:c>
      <x:c r="D86" s="83" t="str">
        <x:f>IF($A86&lt;&gt;"",Katalog_Fiyatlayici!$W86,"")</x:f>
      </x:c>
      <x:c r="E86" s="75" t="str">
        <x:f>IF($A86&lt;&gt;"","Service","")</x:f>
      </x:c>
      <x:c r="F86" s="75" t="str">
        <x:f>IF($A86&lt;&gt;"",Katalog_Fiyatlayici!$AE86,"")</x:f>
      </x:c>
      <x:c r="G86" s="75" t="str">
        <x:f>IF($A86&lt;&gt;"",Katalog_Fiyatlayici!$AD86,"")</x:f>
      </x:c>
      <x:c r="H86" s="75" t="str">
        <x:f>IF($A86&lt;&gt;"",Katalog_Fiyatlayici!$B86,"")</x:f>
      </x:c>
      <x:c r="I86" s="75" t="str">
        <x:f>IF($A86&lt;&gt;"","MakerWorld model linkine göre tahmini 3D baskı fiyatı. Gerçek üretimden önce Bambu Studio ile gramaj ve süre doğrulanır.","")</x:f>
      </x:c>
      <x:c r="J86" s="75" t="str">
        <x:f>IF($A86&lt;&gt;"",TRUE,"")</x:f>
      </x:c>
      <x:c r="K86" s="75" t="str">
        <x:f>IF($A86&lt;&gt;"",FALSE,"")</x:f>
      </x:c>
      <x:c r="L86" s="75" t="str">
        <x:f>IF($A86&lt;&gt;"","Units","")</x:f>
      </x:c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75" t="str">
        <x:f>IF(Katalog_Fiyatlayici!$AC87="Fiyat Hazır",Katalog_Fiyatlayici!$AD87,"")</x:f>
      </x:c>
      <x:c r="B87" s="75" t="str">
        <x:f>IF($A87&lt;&gt;"",Katalog_Fiyatlayici!$AF87,"")</x:f>
      </x:c>
      <x:c r="C87" s="83" t="str">
        <x:f>IF($A87&lt;&gt;"",Katalog_Fiyatlayici!$AA87,"")</x:f>
      </x:c>
      <x:c r="D87" s="83" t="str">
        <x:f>IF($A87&lt;&gt;"",Katalog_Fiyatlayici!$W87,"")</x:f>
      </x:c>
      <x:c r="E87" s="75" t="str">
        <x:f>IF($A87&lt;&gt;"","Service","")</x:f>
      </x:c>
      <x:c r="F87" s="75" t="str">
        <x:f>IF($A87&lt;&gt;"",Katalog_Fiyatlayici!$AE87,"")</x:f>
      </x:c>
      <x:c r="G87" s="75" t="str">
        <x:f>IF($A87&lt;&gt;"",Katalog_Fiyatlayici!$AD87,"")</x:f>
      </x:c>
      <x:c r="H87" s="75" t="str">
        <x:f>IF($A87&lt;&gt;"",Katalog_Fiyatlayici!$B87,"")</x:f>
      </x:c>
      <x:c r="I87" s="75" t="str">
        <x:f>IF($A87&lt;&gt;"","MakerWorld model linkine göre tahmini 3D baskı fiyatı. Gerçek üretimden önce Bambu Studio ile gramaj ve süre doğrulanır.","")</x:f>
      </x:c>
      <x:c r="J87" s="75" t="str">
        <x:f>IF($A87&lt;&gt;"",TRUE,"")</x:f>
      </x:c>
      <x:c r="K87" s="75" t="str">
        <x:f>IF($A87&lt;&gt;"",FALSE,"")</x:f>
      </x:c>
      <x:c r="L87" s="75" t="str">
        <x:f>IF($A87&lt;&gt;"","Units","")</x:f>
      </x:c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75" t="str">
        <x:f>IF(Katalog_Fiyatlayici!$AC88="Fiyat Hazır",Katalog_Fiyatlayici!$AD88,"")</x:f>
      </x:c>
      <x:c r="B88" s="75" t="str">
        <x:f>IF($A88&lt;&gt;"",Katalog_Fiyatlayici!$AF88,"")</x:f>
      </x:c>
      <x:c r="C88" s="83" t="str">
        <x:f>IF($A88&lt;&gt;"",Katalog_Fiyatlayici!$AA88,"")</x:f>
      </x:c>
      <x:c r="D88" s="83" t="str">
        <x:f>IF($A88&lt;&gt;"",Katalog_Fiyatlayici!$W88,"")</x:f>
      </x:c>
      <x:c r="E88" s="75" t="str">
        <x:f>IF($A88&lt;&gt;"","Service","")</x:f>
      </x:c>
      <x:c r="F88" s="75" t="str">
        <x:f>IF($A88&lt;&gt;"",Katalog_Fiyatlayici!$AE88,"")</x:f>
      </x:c>
      <x:c r="G88" s="75" t="str">
        <x:f>IF($A88&lt;&gt;"",Katalog_Fiyatlayici!$AD88,"")</x:f>
      </x:c>
      <x:c r="H88" s="75" t="str">
        <x:f>IF($A88&lt;&gt;"",Katalog_Fiyatlayici!$B88,"")</x:f>
      </x:c>
      <x:c r="I88" s="75" t="str">
        <x:f>IF($A88&lt;&gt;"","MakerWorld model linkine göre tahmini 3D baskı fiyatı. Gerçek üretimden önce Bambu Studio ile gramaj ve süre doğrulanır.","")</x:f>
      </x:c>
      <x:c r="J88" s="75" t="str">
        <x:f>IF($A88&lt;&gt;"",TRUE,"")</x:f>
      </x:c>
      <x:c r="K88" s="75" t="str">
        <x:f>IF($A88&lt;&gt;"",FALSE,"")</x:f>
      </x:c>
      <x:c r="L88" s="75" t="str">
        <x:f>IF($A88&lt;&gt;"","Units","")</x:f>
      </x:c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75" t="str">
        <x:f>IF(Katalog_Fiyatlayici!$AC89="Fiyat Hazır",Katalog_Fiyatlayici!$AD89,"")</x:f>
      </x:c>
      <x:c r="B89" s="75" t="str">
        <x:f>IF($A89&lt;&gt;"",Katalog_Fiyatlayici!$AF89,"")</x:f>
      </x:c>
      <x:c r="C89" s="83" t="str">
        <x:f>IF($A89&lt;&gt;"",Katalog_Fiyatlayici!$AA89,"")</x:f>
      </x:c>
      <x:c r="D89" s="83" t="str">
        <x:f>IF($A89&lt;&gt;"",Katalog_Fiyatlayici!$W89,"")</x:f>
      </x:c>
      <x:c r="E89" s="75" t="str">
        <x:f>IF($A89&lt;&gt;"","Service","")</x:f>
      </x:c>
      <x:c r="F89" s="75" t="str">
        <x:f>IF($A89&lt;&gt;"",Katalog_Fiyatlayici!$AE89,"")</x:f>
      </x:c>
      <x:c r="G89" s="75" t="str">
        <x:f>IF($A89&lt;&gt;"",Katalog_Fiyatlayici!$AD89,"")</x:f>
      </x:c>
      <x:c r="H89" s="75" t="str">
        <x:f>IF($A89&lt;&gt;"",Katalog_Fiyatlayici!$B89,"")</x:f>
      </x:c>
      <x:c r="I89" s="75" t="str">
        <x:f>IF($A89&lt;&gt;"","MakerWorld model linkine göre tahmini 3D baskı fiyatı. Gerçek üretimden önce Bambu Studio ile gramaj ve süre doğrulanır.","")</x:f>
      </x:c>
      <x:c r="J89" s="75" t="str">
        <x:f>IF($A89&lt;&gt;"",TRUE,"")</x:f>
      </x:c>
      <x:c r="K89" s="75" t="str">
        <x:f>IF($A89&lt;&gt;"",FALSE,"")</x:f>
      </x:c>
      <x:c r="L89" s="75" t="str">
        <x:f>IF($A89&lt;&gt;"","Units","")</x:f>
      </x:c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75" t="str">
        <x:f>IF(Katalog_Fiyatlayici!$AC90="Fiyat Hazır",Katalog_Fiyatlayici!$AD90,"")</x:f>
      </x:c>
      <x:c r="B90" s="75" t="str">
        <x:f>IF($A90&lt;&gt;"",Katalog_Fiyatlayici!$AF90,"")</x:f>
      </x:c>
      <x:c r="C90" s="83" t="str">
        <x:f>IF($A90&lt;&gt;"",Katalog_Fiyatlayici!$AA90,"")</x:f>
      </x:c>
      <x:c r="D90" s="83" t="str">
        <x:f>IF($A90&lt;&gt;"",Katalog_Fiyatlayici!$W90,"")</x:f>
      </x:c>
      <x:c r="E90" s="75" t="str">
        <x:f>IF($A90&lt;&gt;"","Service","")</x:f>
      </x:c>
      <x:c r="F90" s="75" t="str">
        <x:f>IF($A90&lt;&gt;"",Katalog_Fiyatlayici!$AE90,"")</x:f>
      </x:c>
      <x:c r="G90" s="75" t="str">
        <x:f>IF($A90&lt;&gt;"",Katalog_Fiyatlayici!$AD90,"")</x:f>
      </x:c>
      <x:c r="H90" s="75" t="str">
        <x:f>IF($A90&lt;&gt;"",Katalog_Fiyatlayici!$B90,"")</x:f>
      </x:c>
      <x:c r="I90" s="75" t="str">
        <x:f>IF($A90&lt;&gt;"","MakerWorld model linkine göre tahmini 3D baskı fiyatı. Gerçek üretimden önce Bambu Studio ile gramaj ve süre doğrulanır.","")</x:f>
      </x:c>
      <x:c r="J90" s="75" t="str">
        <x:f>IF($A90&lt;&gt;"",TRUE,"")</x:f>
      </x:c>
      <x:c r="K90" s="75" t="str">
        <x:f>IF($A90&lt;&gt;"",FALSE,"")</x:f>
      </x:c>
      <x:c r="L90" s="75" t="str">
        <x:f>IF($A90&lt;&gt;"","Units","")</x:f>
      </x:c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75" t="str">
        <x:f>IF(Katalog_Fiyatlayici!$AC91="Fiyat Hazır",Katalog_Fiyatlayici!$AD91,"")</x:f>
      </x:c>
      <x:c r="B91" s="75" t="str">
        <x:f>IF($A91&lt;&gt;"",Katalog_Fiyatlayici!$AF91,"")</x:f>
      </x:c>
      <x:c r="C91" s="83" t="str">
        <x:f>IF($A91&lt;&gt;"",Katalog_Fiyatlayici!$AA91,"")</x:f>
      </x:c>
      <x:c r="D91" s="83" t="str">
        <x:f>IF($A91&lt;&gt;"",Katalog_Fiyatlayici!$W91,"")</x:f>
      </x:c>
      <x:c r="E91" s="75" t="str">
        <x:f>IF($A91&lt;&gt;"","Service","")</x:f>
      </x:c>
      <x:c r="F91" s="75" t="str">
        <x:f>IF($A91&lt;&gt;"",Katalog_Fiyatlayici!$AE91,"")</x:f>
      </x:c>
      <x:c r="G91" s="75" t="str">
        <x:f>IF($A91&lt;&gt;"",Katalog_Fiyatlayici!$AD91,"")</x:f>
      </x:c>
      <x:c r="H91" s="75" t="str">
        <x:f>IF($A91&lt;&gt;"",Katalog_Fiyatlayici!$B91,"")</x:f>
      </x:c>
      <x:c r="I91" s="75" t="str">
        <x:f>IF($A91&lt;&gt;"","MakerWorld model linkine göre tahmini 3D baskı fiyatı. Gerçek üretimden önce Bambu Studio ile gramaj ve süre doğrulanır.","")</x:f>
      </x:c>
      <x:c r="J91" s="75" t="str">
        <x:f>IF($A91&lt;&gt;"",TRUE,"")</x:f>
      </x:c>
      <x:c r="K91" s="75" t="str">
        <x:f>IF($A91&lt;&gt;"",FALSE,"")</x:f>
      </x:c>
      <x:c r="L91" s="75" t="str">
        <x:f>IF($A91&lt;&gt;"","Units","")</x:f>
      </x:c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75" t="str">
        <x:f>IF(Katalog_Fiyatlayici!$AC92="Fiyat Hazır",Katalog_Fiyatlayici!$AD92,"")</x:f>
      </x:c>
      <x:c r="B92" s="75" t="str">
        <x:f>IF($A92&lt;&gt;"",Katalog_Fiyatlayici!$AF92,"")</x:f>
      </x:c>
      <x:c r="C92" s="83" t="str">
        <x:f>IF($A92&lt;&gt;"",Katalog_Fiyatlayici!$AA92,"")</x:f>
      </x:c>
      <x:c r="D92" s="83" t="str">
        <x:f>IF($A92&lt;&gt;"",Katalog_Fiyatlayici!$W92,"")</x:f>
      </x:c>
      <x:c r="E92" s="75" t="str">
        <x:f>IF($A92&lt;&gt;"","Service","")</x:f>
      </x:c>
      <x:c r="F92" s="75" t="str">
        <x:f>IF($A92&lt;&gt;"",Katalog_Fiyatlayici!$AE92,"")</x:f>
      </x:c>
      <x:c r="G92" s="75" t="str">
        <x:f>IF($A92&lt;&gt;"",Katalog_Fiyatlayici!$AD92,"")</x:f>
      </x:c>
      <x:c r="H92" s="75" t="str">
        <x:f>IF($A92&lt;&gt;"",Katalog_Fiyatlayici!$B92,"")</x:f>
      </x:c>
      <x:c r="I92" s="75" t="str">
        <x:f>IF($A92&lt;&gt;"","MakerWorld model linkine göre tahmini 3D baskı fiyatı. Gerçek üretimden önce Bambu Studio ile gramaj ve süre doğrulanır.","")</x:f>
      </x:c>
      <x:c r="J92" s="75" t="str">
        <x:f>IF($A92&lt;&gt;"",TRUE,"")</x:f>
      </x:c>
      <x:c r="K92" s="75" t="str">
        <x:f>IF($A92&lt;&gt;"",FALSE,"")</x:f>
      </x:c>
      <x:c r="L92" s="75" t="str">
        <x:f>IF($A92&lt;&gt;"","Units","")</x:f>
      </x:c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75" t="str">
        <x:f>IF(Katalog_Fiyatlayici!$AC93="Fiyat Hazır",Katalog_Fiyatlayici!$AD93,"")</x:f>
      </x:c>
      <x:c r="B93" s="75" t="str">
        <x:f>IF($A93&lt;&gt;"",Katalog_Fiyatlayici!$AF93,"")</x:f>
      </x:c>
      <x:c r="C93" s="83" t="str">
        <x:f>IF($A93&lt;&gt;"",Katalog_Fiyatlayici!$AA93,"")</x:f>
      </x:c>
      <x:c r="D93" s="83" t="str">
        <x:f>IF($A93&lt;&gt;"",Katalog_Fiyatlayici!$W93,"")</x:f>
      </x:c>
      <x:c r="E93" s="75" t="str">
        <x:f>IF($A93&lt;&gt;"","Service","")</x:f>
      </x:c>
      <x:c r="F93" s="75" t="str">
        <x:f>IF($A93&lt;&gt;"",Katalog_Fiyatlayici!$AE93,"")</x:f>
      </x:c>
      <x:c r="G93" s="75" t="str">
        <x:f>IF($A93&lt;&gt;"",Katalog_Fiyatlayici!$AD93,"")</x:f>
      </x:c>
      <x:c r="H93" s="75" t="str">
        <x:f>IF($A93&lt;&gt;"",Katalog_Fiyatlayici!$B93,"")</x:f>
      </x:c>
      <x:c r="I93" s="75" t="str">
        <x:f>IF($A93&lt;&gt;"","MakerWorld model linkine göre tahmini 3D baskı fiyatı. Gerçek üretimden önce Bambu Studio ile gramaj ve süre doğrulanır.","")</x:f>
      </x:c>
      <x:c r="J93" s="75" t="str">
        <x:f>IF($A93&lt;&gt;"",TRUE,"")</x:f>
      </x:c>
      <x:c r="K93" s="75" t="str">
        <x:f>IF($A93&lt;&gt;"",FALSE,"")</x:f>
      </x:c>
      <x:c r="L93" s="75" t="str">
        <x:f>IF($A93&lt;&gt;"","Units","")</x:f>
      </x:c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75" t="str">
        <x:f>IF(Katalog_Fiyatlayici!$AC94="Fiyat Hazır",Katalog_Fiyatlayici!$AD94,"")</x:f>
      </x:c>
      <x:c r="B94" s="75" t="str">
        <x:f>IF($A94&lt;&gt;"",Katalog_Fiyatlayici!$AF94,"")</x:f>
      </x:c>
      <x:c r="C94" s="83" t="str">
        <x:f>IF($A94&lt;&gt;"",Katalog_Fiyatlayici!$AA94,"")</x:f>
      </x:c>
      <x:c r="D94" s="83" t="str">
        <x:f>IF($A94&lt;&gt;"",Katalog_Fiyatlayici!$W94,"")</x:f>
      </x:c>
      <x:c r="E94" s="75" t="str">
        <x:f>IF($A94&lt;&gt;"","Service","")</x:f>
      </x:c>
      <x:c r="F94" s="75" t="str">
        <x:f>IF($A94&lt;&gt;"",Katalog_Fiyatlayici!$AE94,"")</x:f>
      </x:c>
      <x:c r="G94" s="75" t="str">
        <x:f>IF($A94&lt;&gt;"",Katalog_Fiyatlayici!$AD94,"")</x:f>
      </x:c>
      <x:c r="H94" s="75" t="str">
        <x:f>IF($A94&lt;&gt;"",Katalog_Fiyatlayici!$B94,"")</x:f>
      </x:c>
      <x:c r="I94" s="75" t="str">
        <x:f>IF($A94&lt;&gt;"","MakerWorld model linkine göre tahmini 3D baskı fiyatı. Gerçek üretimden önce Bambu Studio ile gramaj ve süre doğrulanır.","")</x:f>
      </x:c>
      <x:c r="J94" s="75" t="str">
        <x:f>IF($A94&lt;&gt;"",TRUE,"")</x:f>
      </x:c>
      <x:c r="K94" s="75" t="str">
        <x:f>IF($A94&lt;&gt;"",FALSE,"")</x:f>
      </x:c>
      <x:c r="L94" s="75" t="str">
        <x:f>IF($A94&lt;&gt;"","Units","")</x:f>
      </x:c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75" t="str">
        <x:f>IF(Katalog_Fiyatlayici!$AC95="Fiyat Hazır",Katalog_Fiyatlayici!$AD95,"")</x:f>
      </x:c>
      <x:c r="B95" s="75" t="str">
        <x:f>IF($A95&lt;&gt;"",Katalog_Fiyatlayici!$AF95,"")</x:f>
      </x:c>
      <x:c r="C95" s="83" t="str">
        <x:f>IF($A95&lt;&gt;"",Katalog_Fiyatlayici!$AA95,"")</x:f>
      </x:c>
      <x:c r="D95" s="83" t="str">
        <x:f>IF($A95&lt;&gt;"",Katalog_Fiyatlayici!$W95,"")</x:f>
      </x:c>
      <x:c r="E95" s="75" t="str">
        <x:f>IF($A95&lt;&gt;"","Service","")</x:f>
      </x:c>
      <x:c r="F95" s="75" t="str">
        <x:f>IF($A95&lt;&gt;"",Katalog_Fiyatlayici!$AE95,"")</x:f>
      </x:c>
      <x:c r="G95" s="75" t="str">
        <x:f>IF($A95&lt;&gt;"",Katalog_Fiyatlayici!$AD95,"")</x:f>
      </x:c>
      <x:c r="H95" s="75" t="str">
        <x:f>IF($A95&lt;&gt;"",Katalog_Fiyatlayici!$B95,"")</x:f>
      </x:c>
      <x:c r="I95" s="75" t="str">
        <x:f>IF($A95&lt;&gt;"","MakerWorld model linkine göre tahmini 3D baskı fiyatı. Gerçek üretimden önce Bambu Studio ile gramaj ve süre doğrulanır.","")</x:f>
      </x:c>
      <x:c r="J95" s="75" t="str">
        <x:f>IF($A95&lt;&gt;"",TRUE,"")</x:f>
      </x:c>
      <x:c r="K95" s="75" t="str">
        <x:f>IF($A95&lt;&gt;"",FALSE,"")</x:f>
      </x:c>
      <x:c r="L95" s="75" t="str">
        <x:f>IF($A95&lt;&gt;"","Units","")</x:f>
      </x:c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75" t="str">
        <x:f>IF(Katalog_Fiyatlayici!$AC96="Fiyat Hazır",Katalog_Fiyatlayici!$AD96,"")</x:f>
      </x:c>
      <x:c r="B96" s="75" t="str">
        <x:f>IF($A96&lt;&gt;"",Katalog_Fiyatlayici!$AF96,"")</x:f>
      </x:c>
      <x:c r="C96" s="83" t="str">
        <x:f>IF($A96&lt;&gt;"",Katalog_Fiyatlayici!$AA96,"")</x:f>
      </x:c>
      <x:c r="D96" s="83" t="str">
        <x:f>IF($A96&lt;&gt;"",Katalog_Fiyatlayici!$W96,"")</x:f>
      </x:c>
      <x:c r="E96" s="75" t="str">
        <x:f>IF($A96&lt;&gt;"","Service","")</x:f>
      </x:c>
      <x:c r="F96" s="75" t="str">
        <x:f>IF($A96&lt;&gt;"",Katalog_Fiyatlayici!$AE96,"")</x:f>
      </x:c>
      <x:c r="G96" s="75" t="str">
        <x:f>IF($A96&lt;&gt;"",Katalog_Fiyatlayici!$AD96,"")</x:f>
      </x:c>
      <x:c r="H96" s="75" t="str">
        <x:f>IF($A96&lt;&gt;"",Katalog_Fiyatlayici!$B96,"")</x:f>
      </x:c>
      <x:c r="I96" s="75" t="str">
        <x:f>IF($A96&lt;&gt;"","MakerWorld model linkine göre tahmini 3D baskı fiyatı. Gerçek üretimden önce Bambu Studio ile gramaj ve süre doğrulanır.","")</x:f>
      </x:c>
      <x:c r="J96" s="75" t="str">
        <x:f>IF($A96&lt;&gt;"",TRUE,"")</x:f>
      </x:c>
      <x:c r="K96" s="75" t="str">
        <x:f>IF($A96&lt;&gt;"",FALSE,"")</x:f>
      </x:c>
      <x:c r="L96" s="75" t="str">
        <x:f>IF($A96&lt;&gt;"","Units","")</x:f>
      </x:c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75" t="str">
        <x:f>IF(Katalog_Fiyatlayici!$AC97="Fiyat Hazır",Katalog_Fiyatlayici!$AD97,"")</x:f>
      </x:c>
      <x:c r="B97" s="75" t="str">
        <x:f>IF($A97&lt;&gt;"",Katalog_Fiyatlayici!$AF97,"")</x:f>
      </x:c>
      <x:c r="C97" s="83" t="str">
        <x:f>IF($A97&lt;&gt;"",Katalog_Fiyatlayici!$AA97,"")</x:f>
      </x:c>
      <x:c r="D97" s="83" t="str">
        <x:f>IF($A97&lt;&gt;"",Katalog_Fiyatlayici!$W97,"")</x:f>
      </x:c>
      <x:c r="E97" s="75" t="str">
        <x:f>IF($A97&lt;&gt;"","Service","")</x:f>
      </x:c>
      <x:c r="F97" s="75" t="str">
        <x:f>IF($A97&lt;&gt;"",Katalog_Fiyatlayici!$AE97,"")</x:f>
      </x:c>
      <x:c r="G97" s="75" t="str">
        <x:f>IF($A97&lt;&gt;"",Katalog_Fiyatlayici!$AD97,"")</x:f>
      </x:c>
      <x:c r="H97" s="75" t="str">
        <x:f>IF($A97&lt;&gt;"",Katalog_Fiyatlayici!$B97,"")</x:f>
      </x:c>
      <x:c r="I97" s="75" t="str">
        <x:f>IF($A97&lt;&gt;"","MakerWorld model linkine göre tahmini 3D baskı fiyatı. Gerçek üretimden önce Bambu Studio ile gramaj ve süre doğrulanır.","")</x:f>
      </x:c>
      <x:c r="J97" s="75" t="str">
        <x:f>IF($A97&lt;&gt;"",TRUE,"")</x:f>
      </x:c>
      <x:c r="K97" s="75" t="str">
        <x:f>IF($A97&lt;&gt;"",FALSE,"")</x:f>
      </x:c>
      <x:c r="L97" s="75" t="str">
        <x:f>IF($A97&lt;&gt;"","Units","")</x:f>
      </x:c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75" t="str">
        <x:f>IF(Katalog_Fiyatlayici!$AC98="Fiyat Hazır",Katalog_Fiyatlayici!$AD98,"")</x:f>
      </x:c>
      <x:c r="B98" s="75" t="str">
        <x:f>IF($A98&lt;&gt;"",Katalog_Fiyatlayici!$AF98,"")</x:f>
      </x:c>
      <x:c r="C98" s="83" t="str">
        <x:f>IF($A98&lt;&gt;"",Katalog_Fiyatlayici!$AA98,"")</x:f>
      </x:c>
      <x:c r="D98" s="83" t="str">
        <x:f>IF($A98&lt;&gt;"",Katalog_Fiyatlayici!$W98,"")</x:f>
      </x:c>
      <x:c r="E98" s="75" t="str">
        <x:f>IF($A98&lt;&gt;"","Service","")</x:f>
      </x:c>
      <x:c r="F98" s="75" t="str">
        <x:f>IF($A98&lt;&gt;"",Katalog_Fiyatlayici!$AE98,"")</x:f>
      </x:c>
      <x:c r="G98" s="75" t="str">
        <x:f>IF($A98&lt;&gt;"",Katalog_Fiyatlayici!$AD98,"")</x:f>
      </x:c>
      <x:c r="H98" s="75" t="str">
        <x:f>IF($A98&lt;&gt;"",Katalog_Fiyatlayici!$B98,"")</x:f>
      </x:c>
      <x:c r="I98" s="75" t="str">
        <x:f>IF($A98&lt;&gt;"","MakerWorld model linkine göre tahmini 3D baskı fiyatı. Gerçek üretimden önce Bambu Studio ile gramaj ve süre doğrulanır.","")</x:f>
      </x:c>
      <x:c r="J98" s="75" t="str">
        <x:f>IF($A98&lt;&gt;"",TRUE,"")</x:f>
      </x:c>
      <x:c r="K98" s="75" t="str">
        <x:f>IF($A98&lt;&gt;"",FALSE,"")</x:f>
      </x:c>
      <x:c r="L98" s="75" t="str">
        <x:f>IF($A98&lt;&gt;"","Units","")</x:f>
      </x:c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75" t="str">
        <x:f>IF(Katalog_Fiyatlayici!$AC99="Fiyat Hazır",Katalog_Fiyatlayici!$AD99,"")</x:f>
      </x:c>
      <x:c r="B99" s="75" t="str">
        <x:f>IF($A99&lt;&gt;"",Katalog_Fiyatlayici!$AF99,"")</x:f>
      </x:c>
      <x:c r="C99" s="83" t="str">
        <x:f>IF($A99&lt;&gt;"",Katalog_Fiyatlayici!$AA99,"")</x:f>
      </x:c>
      <x:c r="D99" s="83" t="str">
        <x:f>IF($A99&lt;&gt;"",Katalog_Fiyatlayici!$W99,"")</x:f>
      </x:c>
      <x:c r="E99" s="75" t="str">
        <x:f>IF($A99&lt;&gt;"","Service","")</x:f>
      </x:c>
      <x:c r="F99" s="75" t="str">
        <x:f>IF($A99&lt;&gt;"",Katalog_Fiyatlayici!$AE99,"")</x:f>
      </x:c>
      <x:c r="G99" s="75" t="str">
        <x:f>IF($A99&lt;&gt;"",Katalog_Fiyatlayici!$AD99,"")</x:f>
      </x:c>
      <x:c r="H99" s="75" t="str">
        <x:f>IF($A99&lt;&gt;"",Katalog_Fiyatlayici!$B99,"")</x:f>
      </x:c>
      <x:c r="I99" s="75" t="str">
        <x:f>IF($A99&lt;&gt;"","MakerWorld model linkine göre tahmini 3D baskı fiyatı. Gerçek üretimden önce Bambu Studio ile gramaj ve süre doğrulanır.","")</x:f>
      </x:c>
      <x:c r="J99" s="75" t="str">
        <x:f>IF($A99&lt;&gt;"",TRUE,"")</x:f>
      </x:c>
      <x:c r="K99" s="75" t="str">
        <x:f>IF($A99&lt;&gt;"",FALSE,"")</x:f>
      </x:c>
      <x:c r="L99" s="75" t="str">
        <x:f>IF($A99&lt;&gt;"","Units","")</x:f>
      </x:c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75" t="str">
        <x:f>IF(Katalog_Fiyatlayici!$AC100="Fiyat Hazır",Katalog_Fiyatlayici!$AD100,"")</x:f>
      </x:c>
      <x:c r="B100" s="75" t="str">
        <x:f>IF($A100&lt;&gt;"",Katalog_Fiyatlayici!$AF100,"")</x:f>
      </x:c>
      <x:c r="C100" s="83" t="str">
        <x:f>IF($A100&lt;&gt;"",Katalog_Fiyatlayici!$AA100,"")</x:f>
      </x:c>
      <x:c r="D100" s="83" t="str">
        <x:f>IF($A100&lt;&gt;"",Katalog_Fiyatlayici!$W100,"")</x:f>
      </x:c>
      <x:c r="E100" s="75" t="str">
        <x:f>IF($A100&lt;&gt;"","Service","")</x:f>
      </x:c>
      <x:c r="F100" s="75" t="str">
        <x:f>IF($A100&lt;&gt;"",Katalog_Fiyatlayici!$AE100,"")</x:f>
      </x:c>
      <x:c r="G100" s="75" t="str">
        <x:f>IF($A100&lt;&gt;"",Katalog_Fiyatlayici!$AD100,"")</x:f>
      </x:c>
      <x:c r="H100" s="75" t="str">
        <x:f>IF($A100&lt;&gt;"",Katalog_Fiyatlayici!$B100,"")</x:f>
      </x:c>
      <x:c r="I100" s="75" t="str">
        <x:f>IF($A100&lt;&gt;"","MakerWorld model linkine göre tahmini 3D baskı fiyatı. Gerçek üretimden önce Bambu Studio ile gramaj ve süre doğrulanır.","")</x:f>
      </x:c>
      <x:c r="J100" s="75" t="str">
        <x:f>IF($A100&lt;&gt;"",TRUE,"")</x:f>
      </x:c>
      <x:c r="K100" s="75" t="str">
        <x:f>IF($A100&lt;&gt;"",FALSE,"")</x:f>
      </x:c>
      <x:c r="L100" s="75" t="str">
        <x:f>IF($A100&lt;&gt;"","Units","")</x:f>
      </x:c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75" t="str">
        <x:f>IF(Katalog_Fiyatlayici!$AC101="Fiyat Hazır",Katalog_Fiyatlayici!$AD101,"")</x:f>
      </x:c>
      <x:c r="B101" s="75" t="str">
        <x:f>IF($A101&lt;&gt;"",Katalog_Fiyatlayici!$AF101,"")</x:f>
      </x:c>
      <x:c r="C101" s="83" t="str">
        <x:f>IF($A101&lt;&gt;"",Katalog_Fiyatlayici!$AA101,"")</x:f>
      </x:c>
      <x:c r="D101" s="83" t="str">
        <x:f>IF($A101&lt;&gt;"",Katalog_Fiyatlayici!$W101,"")</x:f>
      </x:c>
      <x:c r="E101" s="75" t="str">
        <x:f>IF($A101&lt;&gt;"","Service","")</x:f>
      </x:c>
      <x:c r="F101" s="75" t="str">
        <x:f>IF($A101&lt;&gt;"",Katalog_Fiyatlayici!$AE101,"")</x:f>
      </x:c>
      <x:c r="G101" s="75" t="str">
        <x:f>IF($A101&lt;&gt;"",Katalog_Fiyatlayici!$AD101,"")</x:f>
      </x:c>
      <x:c r="H101" s="75" t="str">
        <x:f>IF($A101&lt;&gt;"",Katalog_Fiyatlayici!$B101,"")</x:f>
      </x:c>
      <x:c r="I101" s="75" t="str">
        <x:f>IF($A101&lt;&gt;"","MakerWorld model linkine göre tahmini 3D baskı fiyatı. Gerçek üretimden önce Bambu Studio ile gramaj ve süre doğrulanır.","")</x:f>
      </x:c>
      <x:c r="J101" s="75" t="str">
        <x:f>IF($A101&lt;&gt;"",TRUE,"")</x:f>
      </x:c>
      <x:c r="K101" s="75" t="str">
        <x:f>IF($A101&lt;&gt;"",FALSE,"")</x:f>
      </x:c>
      <x:c r="L101" s="75" t="str">
        <x:f>IF($A101&lt;&gt;"","Units","")</x:f>
      </x:c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75" t="str">
        <x:f>IF(Katalog_Fiyatlayici!$AC102="Fiyat Hazır",Katalog_Fiyatlayici!$AD102,"")</x:f>
      </x:c>
      <x:c r="B102" s="75" t="str">
        <x:f>IF($A102&lt;&gt;"",Katalog_Fiyatlayici!$AF102,"")</x:f>
      </x:c>
      <x:c r="C102" s="83" t="str">
        <x:f>IF($A102&lt;&gt;"",Katalog_Fiyatlayici!$AA102,"")</x:f>
      </x:c>
      <x:c r="D102" s="83" t="str">
        <x:f>IF($A102&lt;&gt;"",Katalog_Fiyatlayici!$W102,"")</x:f>
      </x:c>
      <x:c r="E102" s="75" t="str">
        <x:f>IF($A102&lt;&gt;"","Service","")</x:f>
      </x:c>
      <x:c r="F102" s="75" t="str">
        <x:f>IF($A102&lt;&gt;"",Katalog_Fiyatlayici!$AE102,"")</x:f>
      </x:c>
      <x:c r="G102" s="75" t="str">
        <x:f>IF($A102&lt;&gt;"",Katalog_Fiyatlayici!$AD102,"")</x:f>
      </x:c>
      <x:c r="H102" s="75" t="str">
        <x:f>IF($A102&lt;&gt;"",Katalog_Fiyatlayici!$B102,"")</x:f>
      </x:c>
      <x:c r="I102" s="75" t="str">
        <x:f>IF($A102&lt;&gt;"","MakerWorld model linkine göre tahmini 3D baskı fiyatı. Gerçek üretimden önce Bambu Studio ile gramaj ve süre doğrulanır.","")</x:f>
      </x:c>
      <x:c r="J102" s="75" t="str">
        <x:f>IF($A102&lt;&gt;"",TRUE,"")</x:f>
      </x:c>
      <x:c r="K102" s="75" t="str">
        <x:f>IF($A102&lt;&gt;"",FALSE,"")</x:f>
      </x:c>
      <x:c r="L102" s="75" t="str">
        <x:f>IF($A102&lt;&gt;"","Units","")</x:f>
      </x:c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75" t="str">
        <x:f>IF(Katalog_Fiyatlayici!$AC103="Fiyat Hazır",Katalog_Fiyatlayici!$AD103,"")</x:f>
      </x:c>
      <x:c r="B103" s="75" t="str">
        <x:f>IF($A103&lt;&gt;"",Katalog_Fiyatlayici!$AF103,"")</x:f>
      </x:c>
      <x:c r="C103" s="83" t="str">
        <x:f>IF($A103&lt;&gt;"",Katalog_Fiyatlayici!$AA103,"")</x:f>
      </x:c>
      <x:c r="D103" s="83" t="str">
        <x:f>IF($A103&lt;&gt;"",Katalog_Fiyatlayici!$W103,"")</x:f>
      </x:c>
      <x:c r="E103" s="75" t="str">
        <x:f>IF($A103&lt;&gt;"","Service","")</x:f>
      </x:c>
      <x:c r="F103" s="75" t="str">
        <x:f>IF($A103&lt;&gt;"",Katalog_Fiyatlayici!$AE103,"")</x:f>
      </x:c>
      <x:c r="G103" s="75" t="str">
        <x:f>IF($A103&lt;&gt;"",Katalog_Fiyatlayici!$AD103,"")</x:f>
      </x:c>
      <x:c r="H103" s="75" t="str">
        <x:f>IF($A103&lt;&gt;"",Katalog_Fiyatlayici!$B103,"")</x:f>
      </x:c>
      <x:c r="I103" s="75" t="str">
        <x:f>IF($A103&lt;&gt;"","MakerWorld model linkine göre tahmini 3D baskı fiyatı. Gerçek üretimden önce Bambu Studio ile gramaj ve süre doğrulanır.","")</x:f>
      </x:c>
      <x:c r="J103" s="75" t="str">
        <x:f>IF($A103&lt;&gt;"",TRUE,"")</x:f>
      </x:c>
      <x:c r="K103" s="75" t="str">
        <x:f>IF($A103&lt;&gt;"",FALSE,"")</x:f>
      </x:c>
      <x:c r="L103" s="75" t="str">
        <x:f>IF($A103&lt;&gt;"","Units","")</x:f>
      </x:c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75" t="str">
        <x:f>IF(Katalog_Fiyatlayici!$AC104="Fiyat Hazır",Katalog_Fiyatlayici!$AD104,"")</x:f>
      </x:c>
      <x:c r="B104" s="75" t="str">
        <x:f>IF($A104&lt;&gt;"",Katalog_Fiyatlayici!$AF104,"")</x:f>
      </x:c>
      <x:c r="C104" s="83" t="str">
        <x:f>IF($A104&lt;&gt;"",Katalog_Fiyatlayici!$AA104,"")</x:f>
      </x:c>
      <x:c r="D104" s="83" t="str">
        <x:f>IF($A104&lt;&gt;"",Katalog_Fiyatlayici!$W104,"")</x:f>
      </x:c>
      <x:c r="E104" s="75" t="str">
        <x:f>IF($A104&lt;&gt;"","Service","")</x:f>
      </x:c>
      <x:c r="F104" s="75" t="str">
        <x:f>IF($A104&lt;&gt;"",Katalog_Fiyatlayici!$AE104,"")</x:f>
      </x:c>
      <x:c r="G104" s="75" t="str">
        <x:f>IF($A104&lt;&gt;"",Katalog_Fiyatlayici!$AD104,"")</x:f>
      </x:c>
      <x:c r="H104" s="75" t="str">
        <x:f>IF($A104&lt;&gt;"",Katalog_Fiyatlayici!$B104,"")</x:f>
      </x:c>
      <x:c r="I104" s="75" t="str">
        <x:f>IF($A104&lt;&gt;"","MakerWorld model linkine göre tahmini 3D baskı fiyatı. Gerçek üretimden önce Bambu Studio ile gramaj ve süre doğrulanır.","")</x:f>
      </x:c>
      <x:c r="J104" s="75" t="str">
        <x:f>IF($A104&lt;&gt;"",TRUE,"")</x:f>
      </x:c>
      <x:c r="K104" s="75" t="str">
        <x:f>IF($A104&lt;&gt;"",FALSE,"")</x:f>
      </x:c>
      <x:c r="L104" s="75" t="str">
        <x:f>IF($A104&lt;&gt;"","Units","")</x:f>
      </x:c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75" t="str">
        <x:f>IF(Katalog_Fiyatlayici!$AC105="Fiyat Hazır",Katalog_Fiyatlayici!$AD105,"")</x:f>
      </x:c>
      <x:c r="B105" s="75" t="str">
        <x:f>IF($A105&lt;&gt;"",Katalog_Fiyatlayici!$AF105,"")</x:f>
      </x:c>
      <x:c r="C105" s="83" t="str">
        <x:f>IF($A105&lt;&gt;"",Katalog_Fiyatlayici!$AA105,"")</x:f>
      </x:c>
      <x:c r="D105" s="83" t="str">
        <x:f>IF($A105&lt;&gt;"",Katalog_Fiyatlayici!$W105,"")</x:f>
      </x:c>
      <x:c r="E105" s="75" t="str">
        <x:f>IF($A105&lt;&gt;"","Service","")</x:f>
      </x:c>
      <x:c r="F105" s="75" t="str">
        <x:f>IF($A105&lt;&gt;"",Katalog_Fiyatlayici!$AE105,"")</x:f>
      </x:c>
      <x:c r="G105" s="75" t="str">
        <x:f>IF($A105&lt;&gt;"",Katalog_Fiyatlayici!$AD105,"")</x:f>
      </x:c>
      <x:c r="H105" s="75" t="str">
        <x:f>IF($A105&lt;&gt;"",Katalog_Fiyatlayici!$B105,"")</x:f>
      </x:c>
      <x:c r="I105" s="75" t="str">
        <x:f>IF($A105&lt;&gt;"","MakerWorld model linkine göre tahmini 3D baskı fiyatı. Gerçek üretimden önce Bambu Studio ile gramaj ve süre doğrulanır.","")</x:f>
      </x:c>
      <x:c r="J105" s="75" t="str">
        <x:f>IF($A105&lt;&gt;"",TRUE,"")</x:f>
      </x:c>
      <x:c r="K105" s="75" t="str">
        <x:f>IF($A105&lt;&gt;"",FALSE,"")</x:f>
      </x:c>
      <x:c r="L105" s="75" t="str">
        <x:f>IF($A105&lt;&gt;"","Units","")</x:f>
      </x:c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75" t="str">
        <x:f>IF(Katalog_Fiyatlayici!$AC106="Fiyat Hazır",Katalog_Fiyatlayici!$AD106,"")</x:f>
      </x:c>
      <x:c r="B106" s="75" t="str">
        <x:f>IF($A106&lt;&gt;"",Katalog_Fiyatlayici!$AF106,"")</x:f>
      </x:c>
      <x:c r="C106" s="83" t="str">
        <x:f>IF($A106&lt;&gt;"",Katalog_Fiyatlayici!$AA106,"")</x:f>
      </x:c>
      <x:c r="D106" s="83" t="str">
        <x:f>IF($A106&lt;&gt;"",Katalog_Fiyatlayici!$W106,"")</x:f>
      </x:c>
      <x:c r="E106" s="75" t="str">
        <x:f>IF($A106&lt;&gt;"","Service","")</x:f>
      </x:c>
      <x:c r="F106" s="75" t="str">
        <x:f>IF($A106&lt;&gt;"",Katalog_Fiyatlayici!$AE106,"")</x:f>
      </x:c>
      <x:c r="G106" s="75" t="str">
        <x:f>IF($A106&lt;&gt;"",Katalog_Fiyatlayici!$AD106,"")</x:f>
      </x:c>
      <x:c r="H106" s="75" t="str">
        <x:f>IF($A106&lt;&gt;"",Katalog_Fiyatlayici!$B106,"")</x:f>
      </x:c>
      <x:c r="I106" s="75" t="str">
        <x:f>IF($A106&lt;&gt;"","MakerWorld model linkine göre tahmini 3D baskı fiyatı. Gerçek üretimden önce Bambu Studio ile gramaj ve süre doğrulanır.","")</x:f>
      </x:c>
      <x:c r="J106" s="75" t="str">
        <x:f>IF($A106&lt;&gt;"",TRUE,"")</x:f>
      </x:c>
      <x:c r="K106" s="75" t="str">
        <x:f>IF($A106&lt;&gt;"",FALSE,"")</x:f>
      </x:c>
      <x:c r="L106" s="75" t="str">
        <x:f>IF($A106&lt;&gt;"","Units","")</x:f>
      </x:c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75" t="str">
        <x:f>IF(Katalog_Fiyatlayici!$AC107="Fiyat Hazır",Katalog_Fiyatlayici!$AD107,"")</x:f>
      </x:c>
      <x:c r="B107" s="75" t="str">
        <x:f>IF($A107&lt;&gt;"",Katalog_Fiyatlayici!$AF107,"")</x:f>
      </x:c>
      <x:c r="C107" s="83" t="str">
        <x:f>IF($A107&lt;&gt;"",Katalog_Fiyatlayici!$AA107,"")</x:f>
      </x:c>
      <x:c r="D107" s="83" t="str">
        <x:f>IF($A107&lt;&gt;"",Katalog_Fiyatlayici!$W107,"")</x:f>
      </x:c>
      <x:c r="E107" s="75" t="str">
        <x:f>IF($A107&lt;&gt;"","Service","")</x:f>
      </x:c>
      <x:c r="F107" s="75" t="str">
        <x:f>IF($A107&lt;&gt;"",Katalog_Fiyatlayici!$AE107,"")</x:f>
      </x:c>
      <x:c r="G107" s="75" t="str">
        <x:f>IF($A107&lt;&gt;"",Katalog_Fiyatlayici!$AD107,"")</x:f>
      </x:c>
      <x:c r="H107" s="75" t="str">
        <x:f>IF($A107&lt;&gt;"",Katalog_Fiyatlayici!$B107,"")</x:f>
      </x:c>
      <x:c r="I107" s="75" t="str">
        <x:f>IF($A107&lt;&gt;"","MakerWorld model linkine göre tahmini 3D baskı fiyatı. Gerçek üretimden önce Bambu Studio ile gramaj ve süre doğrulanır.","")</x:f>
      </x:c>
      <x:c r="J107" s="75" t="str">
        <x:f>IF($A107&lt;&gt;"",TRUE,"")</x:f>
      </x:c>
      <x:c r="K107" s="75" t="str">
        <x:f>IF($A107&lt;&gt;"",FALSE,"")</x:f>
      </x:c>
      <x:c r="L107" s="75" t="str">
        <x:f>IF($A107&lt;&gt;"","Units","")</x:f>
      </x:c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75" t="str">
        <x:f>IF(Katalog_Fiyatlayici!$AC108="Fiyat Hazır",Katalog_Fiyatlayici!$AD108,"")</x:f>
      </x:c>
      <x:c r="B108" s="75" t="str">
        <x:f>IF($A108&lt;&gt;"",Katalog_Fiyatlayici!$AF108,"")</x:f>
      </x:c>
      <x:c r="C108" s="83" t="str">
        <x:f>IF($A108&lt;&gt;"",Katalog_Fiyatlayici!$AA108,"")</x:f>
      </x:c>
      <x:c r="D108" s="83" t="str">
        <x:f>IF($A108&lt;&gt;"",Katalog_Fiyatlayici!$W108,"")</x:f>
      </x:c>
      <x:c r="E108" s="75" t="str">
        <x:f>IF($A108&lt;&gt;"","Service","")</x:f>
      </x:c>
      <x:c r="F108" s="75" t="str">
        <x:f>IF($A108&lt;&gt;"",Katalog_Fiyatlayici!$AE108,"")</x:f>
      </x:c>
      <x:c r="G108" s="75" t="str">
        <x:f>IF($A108&lt;&gt;"",Katalog_Fiyatlayici!$AD108,"")</x:f>
      </x:c>
      <x:c r="H108" s="75" t="str">
        <x:f>IF($A108&lt;&gt;"",Katalog_Fiyatlayici!$B108,"")</x:f>
      </x:c>
      <x:c r="I108" s="75" t="str">
        <x:f>IF($A108&lt;&gt;"","MakerWorld model linkine göre tahmini 3D baskı fiyatı. Gerçek üretimden önce Bambu Studio ile gramaj ve süre doğrulanır.","")</x:f>
      </x:c>
      <x:c r="J108" s="75" t="str">
        <x:f>IF($A108&lt;&gt;"",TRUE,"")</x:f>
      </x:c>
      <x:c r="K108" s="75" t="str">
        <x:f>IF($A108&lt;&gt;"",FALSE,"")</x:f>
      </x:c>
      <x:c r="L108" s="75" t="str">
        <x:f>IF($A108&lt;&gt;"","Units","")</x:f>
      </x:c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75" t="str">
        <x:f>IF(Katalog_Fiyatlayici!$AC109="Fiyat Hazır",Katalog_Fiyatlayici!$AD109,"")</x:f>
      </x:c>
      <x:c r="B109" s="75" t="str">
        <x:f>IF($A109&lt;&gt;"",Katalog_Fiyatlayici!$AF109,"")</x:f>
      </x:c>
      <x:c r="C109" s="83" t="str">
        <x:f>IF($A109&lt;&gt;"",Katalog_Fiyatlayici!$AA109,"")</x:f>
      </x:c>
      <x:c r="D109" s="83" t="str">
        <x:f>IF($A109&lt;&gt;"",Katalog_Fiyatlayici!$W109,"")</x:f>
      </x:c>
      <x:c r="E109" s="75" t="str">
        <x:f>IF($A109&lt;&gt;"","Service","")</x:f>
      </x:c>
      <x:c r="F109" s="75" t="str">
        <x:f>IF($A109&lt;&gt;"",Katalog_Fiyatlayici!$AE109,"")</x:f>
      </x:c>
      <x:c r="G109" s="75" t="str">
        <x:f>IF($A109&lt;&gt;"",Katalog_Fiyatlayici!$AD109,"")</x:f>
      </x:c>
      <x:c r="H109" s="75" t="str">
        <x:f>IF($A109&lt;&gt;"",Katalog_Fiyatlayici!$B109,"")</x:f>
      </x:c>
      <x:c r="I109" s="75" t="str">
        <x:f>IF($A109&lt;&gt;"","MakerWorld model linkine göre tahmini 3D baskı fiyatı. Gerçek üretimden önce Bambu Studio ile gramaj ve süre doğrulanır.","")</x:f>
      </x:c>
      <x:c r="J109" s="75" t="str">
        <x:f>IF($A109&lt;&gt;"",TRUE,"")</x:f>
      </x:c>
      <x:c r="K109" s="75" t="str">
        <x:f>IF($A109&lt;&gt;"",FALSE,"")</x:f>
      </x:c>
      <x:c r="L109" s="75" t="str">
        <x:f>IF($A109&lt;&gt;"","Units","")</x:f>
      </x:c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75" t="str">
        <x:f>IF(Katalog_Fiyatlayici!$AC110="Fiyat Hazır",Katalog_Fiyatlayici!$AD110,"")</x:f>
      </x:c>
      <x:c r="B110" s="75" t="str">
        <x:f>IF($A110&lt;&gt;"",Katalog_Fiyatlayici!$AF110,"")</x:f>
      </x:c>
      <x:c r="C110" s="83" t="str">
        <x:f>IF($A110&lt;&gt;"",Katalog_Fiyatlayici!$AA110,"")</x:f>
      </x:c>
      <x:c r="D110" s="83" t="str">
        <x:f>IF($A110&lt;&gt;"",Katalog_Fiyatlayici!$W110,"")</x:f>
      </x:c>
      <x:c r="E110" s="75" t="str">
        <x:f>IF($A110&lt;&gt;"","Service","")</x:f>
      </x:c>
      <x:c r="F110" s="75" t="str">
        <x:f>IF($A110&lt;&gt;"",Katalog_Fiyatlayici!$AE110,"")</x:f>
      </x:c>
      <x:c r="G110" s="75" t="str">
        <x:f>IF($A110&lt;&gt;"",Katalog_Fiyatlayici!$AD110,"")</x:f>
      </x:c>
      <x:c r="H110" s="75" t="str">
        <x:f>IF($A110&lt;&gt;"",Katalog_Fiyatlayici!$B110,"")</x:f>
      </x:c>
      <x:c r="I110" s="75" t="str">
        <x:f>IF($A110&lt;&gt;"","MakerWorld model linkine göre tahmini 3D baskı fiyatı. Gerçek üretimden önce Bambu Studio ile gramaj ve süre doğrulanır.","")</x:f>
      </x:c>
      <x:c r="J110" s="75" t="str">
        <x:f>IF($A110&lt;&gt;"",TRUE,"")</x:f>
      </x:c>
      <x:c r="K110" s="75" t="str">
        <x:f>IF($A110&lt;&gt;"",FALSE,"")</x:f>
      </x:c>
      <x:c r="L110" s="75" t="str">
        <x:f>IF($A110&lt;&gt;"","Units","")</x:f>
      </x:c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75" t="str">
        <x:f>IF(Katalog_Fiyatlayici!$AC111="Fiyat Hazır",Katalog_Fiyatlayici!$AD111,"")</x:f>
      </x:c>
      <x:c r="B111" s="75" t="str">
        <x:f>IF($A111&lt;&gt;"",Katalog_Fiyatlayici!$AF111,"")</x:f>
      </x:c>
      <x:c r="C111" s="83" t="str">
        <x:f>IF($A111&lt;&gt;"",Katalog_Fiyatlayici!$AA111,"")</x:f>
      </x:c>
      <x:c r="D111" s="83" t="str">
        <x:f>IF($A111&lt;&gt;"",Katalog_Fiyatlayici!$W111,"")</x:f>
      </x:c>
      <x:c r="E111" s="75" t="str">
        <x:f>IF($A111&lt;&gt;"","Service","")</x:f>
      </x:c>
      <x:c r="F111" s="75" t="str">
        <x:f>IF($A111&lt;&gt;"",Katalog_Fiyatlayici!$AE111,"")</x:f>
      </x:c>
      <x:c r="G111" s="75" t="str">
        <x:f>IF($A111&lt;&gt;"",Katalog_Fiyatlayici!$AD111,"")</x:f>
      </x:c>
      <x:c r="H111" s="75" t="str">
        <x:f>IF($A111&lt;&gt;"",Katalog_Fiyatlayici!$B111,"")</x:f>
      </x:c>
      <x:c r="I111" s="75" t="str">
        <x:f>IF($A111&lt;&gt;"","MakerWorld model linkine göre tahmini 3D baskı fiyatı. Gerçek üretimden önce Bambu Studio ile gramaj ve süre doğrulanır.","")</x:f>
      </x:c>
      <x:c r="J111" s="75" t="str">
        <x:f>IF($A111&lt;&gt;"",TRUE,"")</x:f>
      </x:c>
      <x:c r="K111" s="75" t="str">
        <x:f>IF($A111&lt;&gt;"",FALSE,"")</x:f>
      </x:c>
      <x:c r="L111" s="75" t="str">
        <x:f>IF($A111&lt;&gt;"","Units","")</x:f>
      </x:c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75" t="str">
        <x:f>IF(Katalog_Fiyatlayici!$AC112="Fiyat Hazır",Katalog_Fiyatlayici!$AD112,"")</x:f>
      </x:c>
      <x:c r="B112" s="75" t="str">
        <x:f>IF($A112&lt;&gt;"",Katalog_Fiyatlayici!$AF112,"")</x:f>
      </x:c>
      <x:c r="C112" s="83" t="str">
        <x:f>IF($A112&lt;&gt;"",Katalog_Fiyatlayici!$AA112,"")</x:f>
      </x:c>
      <x:c r="D112" s="83" t="str">
        <x:f>IF($A112&lt;&gt;"",Katalog_Fiyatlayici!$W112,"")</x:f>
      </x:c>
      <x:c r="E112" s="75" t="str">
        <x:f>IF($A112&lt;&gt;"","Service","")</x:f>
      </x:c>
      <x:c r="F112" s="75" t="str">
        <x:f>IF($A112&lt;&gt;"",Katalog_Fiyatlayici!$AE112,"")</x:f>
      </x:c>
      <x:c r="G112" s="75" t="str">
        <x:f>IF($A112&lt;&gt;"",Katalog_Fiyatlayici!$AD112,"")</x:f>
      </x:c>
      <x:c r="H112" s="75" t="str">
        <x:f>IF($A112&lt;&gt;"",Katalog_Fiyatlayici!$B112,"")</x:f>
      </x:c>
      <x:c r="I112" s="75" t="str">
        <x:f>IF($A112&lt;&gt;"","MakerWorld model linkine göre tahmini 3D baskı fiyatı. Gerçek üretimden önce Bambu Studio ile gramaj ve süre doğrulanır.","")</x:f>
      </x:c>
      <x:c r="J112" s="75" t="str">
        <x:f>IF($A112&lt;&gt;"",TRUE,"")</x:f>
      </x:c>
      <x:c r="K112" s="75" t="str">
        <x:f>IF($A112&lt;&gt;"",FALSE,"")</x:f>
      </x:c>
      <x:c r="L112" s="75" t="str">
        <x:f>IF($A112&lt;&gt;"","Units","")</x:f>
      </x:c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75" t="str">
        <x:f>IF(Katalog_Fiyatlayici!$AC113="Fiyat Hazır",Katalog_Fiyatlayici!$AD113,"")</x:f>
      </x:c>
      <x:c r="B113" s="75" t="str">
        <x:f>IF($A113&lt;&gt;"",Katalog_Fiyatlayici!$AF113,"")</x:f>
      </x:c>
      <x:c r="C113" s="83" t="str">
        <x:f>IF($A113&lt;&gt;"",Katalog_Fiyatlayici!$AA113,"")</x:f>
      </x:c>
      <x:c r="D113" s="83" t="str">
        <x:f>IF($A113&lt;&gt;"",Katalog_Fiyatlayici!$W113,"")</x:f>
      </x:c>
      <x:c r="E113" s="75" t="str">
        <x:f>IF($A113&lt;&gt;"","Service","")</x:f>
      </x:c>
      <x:c r="F113" s="75" t="str">
        <x:f>IF($A113&lt;&gt;"",Katalog_Fiyatlayici!$AE113,"")</x:f>
      </x:c>
      <x:c r="G113" s="75" t="str">
        <x:f>IF($A113&lt;&gt;"",Katalog_Fiyatlayici!$AD113,"")</x:f>
      </x:c>
      <x:c r="H113" s="75" t="str">
        <x:f>IF($A113&lt;&gt;"",Katalog_Fiyatlayici!$B113,"")</x:f>
      </x:c>
      <x:c r="I113" s="75" t="str">
        <x:f>IF($A113&lt;&gt;"","MakerWorld model linkine göre tahmini 3D baskı fiyatı. Gerçek üretimden önce Bambu Studio ile gramaj ve süre doğrulanır.","")</x:f>
      </x:c>
      <x:c r="J113" s="75" t="str">
        <x:f>IF($A113&lt;&gt;"",TRUE,"")</x:f>
      </x:c>
      <x:c r="K113" s="75" t="str">
        <x:f>IF($A113&lt;&gt;"",FALSE,"")</x:f>
      </x:c>
      <x:c r="L113" s="75" t="str">
        <x:f>IF($A113&lt;&gt;"","Units","")</x:f>
      </x:c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75" t="str">
        <x:f>IF(Katalog_Fiyatlayici!$AC114="Fiyat Hazır",Katalog_Fiyatlayici!$AD114,"")</x:f>
      </x:c>
      <x:c r="B114" s="75" t="str">
        <x:f>IF($A114&lt;&gt;"",Katalog_Fiyatlayici!$AF114,"")</x:f>
      </x:c>
      <x:c r="C114" s="83" t="str">
        <x:f>IF($A114&lt;&gt;"",Katalog_Fiyatlayici!$AA114,"")</x:f>
      </x:c>
      <x:c r="D114" s="83" t="str">
        <x:f>IF($A114&lt;&gt;"",Katalog_Fiyatlayici!$W114,"")</x:f>
      </x:c>
      <x:c r="E114" s="75" t="str">
        <x:f>IF($A114&lt;&gt;"","Service","")</x:f>
      </x:c>
      <x:c r="F114" s="75" t="str">
        <x:f>IF($A114&lt;&gt;"",Katalog_Fiyatlayici!$AE114,"")</x:f>
      </x:c>
      <x:c r="G114" s="75" t="str">
        <x:f>IF($A114&lt;&gt;"",Katalog_Fiyatlayici!$AD114,"")</x:f>
      </x:c>
      <x:c r="H114" s="75" t="str">
        <x:f>IF($A114&lt;&gt;"",Katalog_Fiyatlayici!$B114,"")</x:f>
      </x:c>
      <x:c r="I114" s="75" t="str">
        <x:f>IF($A114&lt;&gt;"","MakerWorld model linkine göre tahmini 3D baskı fiyatı. Gerçek üretimden önce Bambu Studio ile gramaj ve süre doğrulanır.","")</x:f>
      </x:c>
      <x:c r="J114" s="75" t="str">
        <x:f>IF($A114&lt;&gt;"",TRUE,"")</x:f>
      </x:c>
      <x:c r="K114" s="75" t="str">
        <x:f>IF($A114&lt;&gt;"",FALSE,"")</x:f>
      </x:c>
      <x:c r="L114" s="75" t="str">
        <x:f>IF($A114&lt;&gt;"","Units","")</x:f>
      </x:c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75" t="str">
        <x:f>IF(Katalog_Fiyatlayici!$AC115="Fiyat Hazır",Katalog_Fiyatlayici!$AD115,"")</x:f>
      </x:c>
      <x:c r="B115" s="75" t="str">
        <x:f>IF($A115&lt;&gt;"",Katalog_Fiyatlayici!$AF115,"")</x:f>
      </x:c>
      <x:c r="C115" s="83" t="str">
        <x:f>IF($A115&lt;&gt;"",Katalog_Fiyatlayici!$AA115,"")</x:f>
      </x:c>
      <x:c r="D115" s="83" t="str">
        <x:f>IF($A115&lt;&gt;"",Katalog_Fiyatlayici!$W115,"")</x:f>
      </x:c>
      <x:c r="E115" s="75" t="str">
        <x:f>IF($A115&lt;&gt;"","Service","")</x:f>
      </x:c>
      <x:c r="F115" s="75" t="str">
        <x:f>IF($A115&lt;&gt;"",Katalog_Fiyatlayici!$AE115,"")</x:f>
      </x:c>
      <x:c r="G115" s="75" t="str">
        <x:f>IF($A115&lt;&gt;"",Katalog_Fiyatlayici!$AD115,"")</x:f>
      </x:c>
      <x:c r="H115" s="75" t="str">
        <x:f>IF($A115&lt;&gt;"",Katalog_Fiyatlayici!$B115,"")</x:f>
      </x:c>
      <x:c r="I115" s="75" t="str">
        <x:f>IF($A115&lt;&gt;"","MakerWorld model linkine göre tahmini 3D baskı fiyatı. Gerçek üretimden önce Bambu Studio ile gramaj ve süre doğrulanır.","")</x:f>
      </x:c>
      <x:c r="J115" s="75" t="str">
        <x:f>IF($A115&lt;&gt;"",TRUE,"")</x:f>
      </x:c>
      <x:c r="K115" s="75" t="str">
        <x:f>IF($A115&lt;&gt;"",FALSE,"")</x:f>
      </x:c>
      <x:c r="L115" s="75" t="str">
        <x:f>IF($A115&lt;&gt;"","Units","")</x:f>
      </x:c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75" t="str">
        <x:f>IF(Katalog_Fiyatlayici!$AC116="Fiyat Hazır",Katalog_Fiyatlayici!$AD116,"")</x:f>
      </x:c>
      <x:c r="B116" s="75" t="str">
        <x:f>IF($A116&lt;&gt;"",Katalog_Fiyatlayici!$AF116,"")</x:f>
      </x:c>
      <x:c r="C116" s="83" t="str">
        <x:f>IF($A116&lt;&gt;"",Katalog_Fiyatlayici!$AA116,"")</x:f>
      </x:c>
      <x:c r="D116" s="83" t="str">
        <x:f>IF($A116&lt;&gt;"",Katalog_Fiyatlayici!$W116,"")</x:f>
      </x:c>
      <x:c r="E116" s="75" t="str">
        <x:f>IF($A116&lt;&gt;"","Service","")</x:f>
      </x:c>
      <x:c r="F116" s="75" t="str">
        <x:f>IF($A116&lt;&gt;"",Katalog_Fiyatlayici!$AE116,"")</x:f>
      </x:c>
      <x:c r="G116" s="75" t="str">
        <x:f>IF($A116&lt;&gt;"",Katalog_Fiyatlayici!$AD116,"")</x:f>
      </x:c>
      <x:c r="H116" s="75" t="str">
        <x:f>IF($A116&lt;&gt;"",Katalog_Fiyatlayici!$B116,"")</x:f>
      </x:c>
      <x:c r="I116" s="75" t="str">
        <x:f>IF($A116&lt;&gt;"","MakerWorld model linkine göre tahmini 3D baskı fiyatı. Gerçek üretimden önce Bambu Studio ile gramaj ve süre doğrulanır.","")</x:f>
      </x:c>
      <x:c r="J116" s="75" t="str">
        <x:f>IF($A116&lt;&gt;"",TRUE,"")</x:f>
      </x:c>
      <x:c r="K116" s="75" t="str">
        <x:f>IF($A116&lt;&gt;"",FALSE,"")</x:f>
      </x:c>
      <x:c r="L116" s="75" t="str">
        <x:f>IF($A116&lt;&gt;"","Units","")</x:f>
      </x:c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75" t="str">
        <x:f>IF(Katalog_Fiyatlayici!$AC117="Fiyat Hazır",Katalog_Fiyatlayici!$AD117,"")</x:f>
      </x:c>
      <x:c r="B117" s="75" t="str">
        <x:f>IF($A117&lt;&gt;"",Katalog_Fiyatlayici!$AF117,"")</x:f>
      </x:c>
      <x:c r="C117" s="83" t="str">
        <x:f>IF($A117&lt;&gt;"",Katalog_Fiyatlayici!$AA117,"")</x:f>
      </x:c>
      <x:c r="D117" s="83" t="str">
        <x:f>IF($A117&lt;&gt;"",Katalog_Fiyatlayici!$W117,"")</x:f>
      </x:c>
      <x:c r="E117" s="75" t="str">
        <x:f>IF($A117&lt;&gt;"","Service","")</x:f>
      </x:c>
      <x:c r="F117" s="75" t="str">
        <x:f>IF($A117&lt;&gt;"",Katalog_Fiyatlayici!$AE117,"")</x:f>
      </x:c>
      <x:c r="G117" s="75" t="str">
        <x:f>IF($A117&lt;&gt;"",Katalog_Fiyatlayici!$AD117,"")</x:f>
      </x:c>
      <x:c r="H117" s="75" t="str">
        <x:f>IF($A117&lt;&gt;"",Katalog_Fiyatlayici!$B117,"")</x:f>
      </x:c>
      <x:c r="I117" s="75" t="str">
        <x:f>IF($A117&lt;&gt;"","MakerWorld model linkine göre tahmini 3D baskı fiyatı. Gerçek üretimden önce Bambu Studio ile gramaj ve süre doğrulanır.","")</x:f>
      </x:c>
      <x:c r="J117" s="75" t="str">
        <x:f>IF($A117&lt;&gt;"",TRUE,"")</x:f>
      </x:c>
      <x:c r="K117" s="75" t="str">
        <x:f>IF($A117&lt;&gt;"",FALSE,"")</x:f>
      </x:c>
      <x:c r="L117" s="75" t="str">
        <x:f>IF($A117&lt;&gt;"","Units","")</x:f>
      </x:c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75" t="str">
        <x:f>IF(Katalog_Fiyatlayici!$AC118="Fiyat Hazır",Katalog_Fiyatlayici!$AD118,"")</x:f>
      </x:c>
      <x:c r="B118" s="75" t="str">
        <x:f>IF($A118&lt;&gt;"",Katalog_Fiyatlayici!$AF118,"")</x:f>
      </x:c>
      <x:c r="C118" s="83" t="str">
        <x:f>IF($A118&lt;&gt;"",Katalog_Fiyatlayici!$AA118,"")</x:f>
      </x:c>
      <x:c r="D118" s="83" t="str">
        <x:f>IF($A118&lt;&gt;"",Katalog_Fiyatlayici!$W118,"")</x:f>
      </x:c>
      <x:c r="E118" s="75" t="str">
        <x:f>IF($A118&lt;&gt;"","Service","")</x:f>
      </x:c>
      <x:c r="F118" s="75" t="str">
        <x:f>IF($A118&lt;&gt;"",Katalog_Fiyatlayici!$AE118,"")</x:f>
      </x:c>
      <x:c r="G118" s="75" t="str">
        <x:f>IF($A118&lt;&gt;"",Katalog_Fiyatlayici!$AD118,"")</x:f>
      </x:c>
      <x:c r="H118" s="75" t="str">
        <x:f>IF($A118&lt;&gt;"",Katalog_Fiyatlayici!$B118,"")</x:f>
      </x:c>
      <x:c r="I118" s="75" t="str">
        <x:f>IF($A118&lt;&gt;"","MakerWorld model linkine göre tahmini 3D baskı fiyatı. Gerçek üretimden önce Bambu Studio ile gramaj ve süre doğrulanır.","")</x:f>
      </x:c>
      <x:c r="J118" s="75" t="str">
        <x:f>IF($A118&lt;&gt;"",TRUE,"")</x:f>
      </x:c>
      <x:c r="K118" s="75" t="str">
        <x:f>IF($A118&lt;&gt;"",FALSE,"")</x:f>
      </x:c>
      <x:c r="L118" s="75" t="str">
        <x:f>IF($A118&lt;&gt;"","Units","")</x:f>
      </x:c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75" t="str">
        <x:f>IF(Katalog_Fiyatlayici!$AC119="Fiyat Hazır",Katalog_Fiyatlayici!$AD119,"")</x:f>
      </x:c>
      <x:c r="B119" s="75" t="str">
        <x:f>IF($A119&lt;&gt;"",Katalog_Fiyatlayici!$AF119,"")</x:f>
      </x:c>
      <x:c r="C119" s="83" t="str">
        <x:f>IF($A119&lt;&gt;"",Katalog_Fiyatlayici!$AA119,"")</x:f>
      </x:c>
      <x:c r="D119" s="83" t="str">
        <x:f>IF($A119&lt;&gt;"",Katalog_Fiyatlayici!$W119,"")</x:f>
      </x:c>
      <x:c r="E119" s="75" t="str">
        <x:f>IF($A119&lt;&gt;"","Service","")</x:f>
      </x:c>
      <x:c r="F119" s="75" t="str">
        <x:f>IF($A119&lt;&gt;"",Katalog_Fiyatlayici!$AE119,"")</x:f>
      </x:c>
      <x:c r="G119" s="75" t="str">
        <x:f>IF($A119&lt;&gt;"",Katalog_Fiyatlayici!$AD119,"")</x:f>
      </x:c>
      <x:c r="H119" s="75" t="str">
        <x:f>IF($A119&lt;&gt;"",Katalog_Fiyatlayici!$B119,"")</x:f>
      </x:c>
      <x:c r="I119" s="75" t="str">
        <x:f>IF($A119&lt;&gt;"","MakerWorld model linkine göre tahmini 3D baskı fiyatı. Gerçek üretimden önce Bambu Studio ile gramaj ve süre doğrulanır.","")</x:f>
      </x:c>
      <x:c r="J119" s="75" t="str">
        <x:f>IF($A119&lt;&gt;"",TRUE,"")</x:f>
      </x:c>
      <x:c r="K119" s="75" t="str">
        <x:f>IF($A119&lt;&gt;"",FALSE,"")</x:f>
      </x:c>
      <x:c r="L119" s="75" t="str">
        <x:f>IF($A119&lt;&gt;"","Units","")</x:f>
      </x:c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75" t="str">
        <x:f>IF(Katalog_Fiyatlayici!$AC120="Fiyat Hazır",Katalog_Fiyatlayici!$AD120,"")</x:f>
      </x:c>
      <x:c r="B120" s="75" t="str">
        <x:f>IF($A120&lt;&gt;"",Katalog_Fiyatlayici!$AF120,"")</x:f>
      </x:c>
      <x:c r="C120" s="83" t="str">
        <x:f>IF($A120&lt;&gt;"",Katalog_Fiyatlayici!$AA120,"")</x:f>
      </x:c>
      <x:c r="D120" s="83" t="str">
        <x:f>IF($A120&lt;&gt;"",Katalog_Fiyatlayici!$W120,"")</x:f>
      </x:c>
      <x:c r="E120" s="75" t="str">
        <x:f>IF($A120&lt;&gt;"","Service","")</x:f>
      </x:c>
      <x:c r="F120" s="75" t="str">
        <x:f>IF($A120&lt;&gt;"",Katalog_Fiyatlayici!$AE120,"")</x:f>
      </x:c>
      <x:c r="G120" s="75" t="str">
        <x:f>IF($A120&lt;&gt;"",Katalog_Fiyatlayici!$AD120,"")</x:f>
      </x:c>
      <x:c r="H120" s="75" t="str">
        <x:f>IF($A120&lt;&gt;"",Katalog_Fiyatlayici!$B120,"")</x:f>
      </x:c>
      <x:c r="I120" s="75" t="str">
        <x:f>IF($A120&lt;&gt;"","MakerWorld model linkine göre tahmini 3D baskı fiyatı. Gerçek üretimden önce Bambu Studio ile gramaj ve süre doğrulanır.","")</x:f>
      </x:c>
      <x:c r="J120" s="75" t="str">
        <x:f>IF($A120&lt;&gt;"",TRUE,"")</x:f>
      </x:c>
      <x:c r="K120" s="75" t="str">
        <x:f>IF($A120&lt;&gt;"",FALSE,"")</x:f>
      </x:c>
      <x:c r="L120" s="75" t="str">
        <x:f>IF($A120&lt;&gt;"","Units","")</x:f>
      </x:c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75" t="str">
        <x:f>IF(Katalog_Fiyatlayici!$AC121="Fiyat Hazır",Katalog_Fiyatlayici!$AD121,"")</x:f>
      </x:c>
      <x:c r="B121" s="75" t="str">
        <x:f>IF($A121&lt;&gt;"",Katalog_Fiyatlayici!$AF121,"")</x:f>
      </x:c>
      <x:c r="C121" s="83" t="str">
        <x:f>IF($A121&lt;&gt;"",Katalog_Fiyatlayici!$AA121,"")</x:f>
      </x:c>
      <x:c r="D121" s="83" t="str">
        <x:f>IF($A121&lt;&gt;"",Katalog_Fiyatlayici!$W121,"")</x:f>
      </x:c>
      <x:c r="E121" s="75" t="str">
        <x:f>IF($A121&lt;&gt;"","Service","")</x:f>
      </x:c>
      <x:c r="F121" s="75" t="str">
        <x:f>IF($A121&lt;&gt;"",Katalog_Fiyatlayici!$AE121,"")</x:f>
      </x:c>
      <x:c r="G121" s="75" t="str">
        <x:f>IF($A121&lt;&gt;"",Katalog_Fiyatlayici!$AD121,"")</x:f>
      </x:c>
      <x:c r="H121" s="75" t="str">
        <x:f>IF($A121&lt;&gt;"",Katalog_Fiyatlayici!$B121,"")</x:f>
      </x:c>
      <x:c r="I121" s="75" t="str">
        <x:f>IF($A121&lt;&gt;"","MakerWorld model linkine göre tahmini 3D baskı fiyatı. Gerçek üretimden önce Bambu Studio ile gramaj ve süre doğrulanır.","")</x:f>
      </x:c>
      <x:c r="J121" s="75" t="str">
        <x:f>IF($A121&lt;&gt;"",TRUE,"")</x:f>
      </x:c>
      <x:c r="K121" s="75" t="str">
        <x:f>IF($A121&lt;&gt;"",FALSE,"")</x:f>
      </x:c>
      <x:c r="L121" s="75" t="str">
        <x:f>IF($A121&lt;&gt;"","Units","")</x:f>
      </x:c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75" t="str">
        <x:f>IF(Katalog_Fiyatlayici!$AC122="Fiyat Hazır",Katalog_Fiyatlayici!$AD122,"")</x:f>
      </x:c>
      <x:c r="B122" s="75" t="str">
        <x:f>IF($A122&lt;&gt;"",Katalog_Fiyatlayici!$AF122,"")</x:f>
      </x:c>
      <x:c r="C122" s="83" t="str">
        <x:f>IF($A122&lt;&gt;"",Katalog_Fiyatlayici!$AA122,"")</x:f>
      </x:c>
      <x:c r="D122" s="83" t="str">
        <x:f>IF($A122&lt;&gt;"",Katalog_Fiyatlayici!$W122,"")</x:f>
      </x:c>
      <x:c r="E122" s="75" t="str">
        <x:f>IF($A122&lt;&gt;"","Service","")</x:f>
      </x:c>
      <x:c r="F122" s="75" t="str">
        <x:f>IF($A122&lt;&gt;"",Katalog_Fiyatlayici!$AE122,"")</x:f>
      </x:c>
      <x:c r="G122" s="75" t="str">
        <x:f>IF($A122&lt;&gt;"",Katalog_Fiyatlayici!$AD122,"")</x:f>
      </x:c>
      <x:c r="H122" s="75" t="str">
        <x:f>IF($A122&lt;&gt;"",Katalog_Fiyatlayici!$B122,"")</x:f>
      </x:c>
      <x:c r="I122" s="75" t="str">
        <x:f>IF($A122&lt;&gt;"","MakerWorld model linkine göre tahmini 3D baskı fiyatı. Gerçek üretimden önce Bambu Studio ile gramaj ve süre doğrulanır.","")</x:f>
      </x:c>
      <x:c r="J122" s="75" t="str">
        <x:f>IF($A122&lt;&gt;"",TRUE,"")</x:f>
      </x:c>
      <x:c r="K122" s="75" t="str">
        <x:f>IF($A122&lt;&gt;"",FALSE,"")</x:f>
      </x:c>
      <x:c r="L122" s="75" t="str">
        <x:f>IF($A122&lt;&gt;"","Units","")</x:f>
      </x:c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75" t="str">
        <x:f>IF(Katalog_Fiyatlayici!$AC123="Fiyat Hazır",Katalog_Fiyatlayici!$AD123,"")</x:f>
      </x:c>
      <x:c r="B123" s="75" t="str">
        <x:f>IF($A123&lt;&gt;"",Katalog_Fiyatlayici!$AF123,"")</x:f>
      </x:c>
      <x:c r="C123" s="83" t="str">
        <x:f>IF($A123&lt;&gt;"",Katalog_Fiyatlayici!$AA123,"")</x:f>
      </x:c>
      <x:c r="D123" s="83" t="str">
        <x:f>IF($A123&lt;&gt;"",Katalog_Fiyatlayici!$W123,"")</x:f>
      </x:c>
      <x:c r="E123" s="75" t="str">
        <x:f>IF($A123&lt;&gt;"","Service","")</x:f>
      </x:c>
      <x:c r="F123" s="75" t="str">
        <x:f>IF($A123&lt;&gt;"",Katalog_Fiyatlayici!$AE123,"")</x:f>
      </x:c>
      <x:c r="G123" s="75" t="str">
        <x:f>IF($A123&lt;&gt;"",Katalog_Fiyatlayici!$AD123,"")</x:f>
      </x:c>
      <x:c r="H123" s="75" t="str">
        <x:f>IF($A123&lt;&gt;"",Katalog_Fiyatlayici!$B123,"")</x:f>
      </x:c>
      <x:c r="I123" s="75" t="str">
        <x:f>IF($A123&lt;&gt;"","MakerWorld model linkine göre tahmini 3D baskı fiyatı. Gerçek üretimden önce Bambu Studio ile gramaj ve süre doğrulanır.","")</x:f>
      </x:c>
      <x:c r="J123" s="75" t="str">
        <x:f>IF($A123&lt;&gt;"",TRUE,"")</x:f>
      </x:c>
      <x:c r="K123" s="75" t="str">
        <x:f>IF($A123&lt;&gt;"",FALSE,"")</x:f>
      </x:c>
      <x:c r="L123" s="75" t="str">
        <x:f>IF($A123&lt;&gt;"","Units","")</x:f>
      </x:c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75" t="str">
        <x:f>IF(Katalog_Fiyatlayici!$AC124="Fiyat Hazır",Katalog_Fiyatlayici!$AD124,"")</x:f>
      </x:c>
      <x:c r="B124" s="75" t="str">
        <x:f>IF($A124&lt;&gt;"",Katalog_Fiyatlayici!$AF124,"")</x:f>
      </x:c>
      <x:c r="C124" s="83" t="str">
        <x:f>IF($A124&lt;&gt;"",Katalog_Fiyatlayici!$AA124,"")</x:f>
      </x:c>
      <x:c r="D124" s="83" t="str">
        <x:f>IF($A124&lt;&gt;"",Katalog_Fiyatlayici!$W124,"")</x:f>
      </x:c>
      <x:c r="E124" s="75" t="str">
        <x:f>IF($A124&lt;&gt;"","Service","")</x:f>
      </x:c>
      <x:c r="F124" s="75" t="str">
        <x:f>IF($A124&lt;&gt;"",Katalog_Fiyatlayici!$AE124,"")</x:f>
      </x:c>
      <x:c r="G124" s="75" t="str">
        <x:f>IF($A124&lt;&gt;"",Katalog_Fiyatlayici!$AD124,"")</x:f>
      </x:c>
      <x:c r="H124" s="75" t="str">
        <x:f>IF($A124&lt;&gt;"",Katalog_Fiyatlayici!$B124,"")</x:f>
      </x:c>
      <x:c r="I124" s="75" t="str">
        <x:f>IF($A124&lt;&gt;"","MakerWorld model linkine göre tahmini 3D baskı fiyatı. Gerçek üretimden önce Bambu Studio ile gramaj ve süre doğrulanır.","")</x:f>
      </x:c>
      <x:c r="J124" s="75" t="str">
        <x:f>IF($A124&lt;&gt;"",TRUE,"")</x:f>
      </x:c>
      <x:c r="K124" s="75" t="str">
        <x:f>IF($A124&lt;&gt;"",FALSE,"")</x:f>
      </x:c>
      <x:c r="L124" s="75" t="str">
        <x:f>IF($A124&lt;&gt;"","Units","")</x:f>
      </x:c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75" t="str">
        <x:f>IF(Katalog_Fiyatlayici!$AC125="Fiyat Hazır",Katalog_Fiyatlayici!$AD125,"")</x:f>
      </x:c>
      <x:c r="B125" s="75" t="str">
        <x:f>IF($A125&lt;&gt;"",Katalog_Fiyatlayici!$AF125,"")</x:f>
      </x:c>
      <x:c r="C125" s="83" t="str">
        <x:f>IF($A125&lt;&gt;"",Katalog_Fiyatlayici!$AA125,"")</x:f>
      </x:c>
      <x:c r="D125" s="83" t="str">
        <x:f>IF($A125&lt;&gt;"",Katalog_Fiyatlayici!$W125,"")</x:f>
      </x:c>
      <x:c r="E125" s="75" t="str">
        <x:f>IF($A125&lt;&gt;"","Service","")</x:f>
      </x:c>
      <x:c r="F125" s="75" t="str">
        <x:f>IF($A125&lt;&gt;"",Katalog_Fiyatlayici!$AE125,"")</x:f>
      </x:c>
      <x:c r="G125" s="75" t="str">
        <x:f>IF($A125&lt;&gt;"",Katalog_Fiyatlayici!$AD125,"")</x:f>
      </x:c>
      <x:c r="H125" s="75" t="str">
        <x:f>IF($A125&lt;&gt;"",Katalog_Fiyatlayici!$B125,"")</x:f>
      </x:c>
      <x:c r="I125" s="75" t="str">
        <x:f>IF($A125&lt;&gt;"","MakerWorld model linkine göre tahmini 3D baskı fiyatı. Gerçek üretimden önce Bambu Studio ile gramaj ve süre doğrulanır.","")</x:f>
      </x:c>
      <x:c r="J125" s="75" t="str">
        <x:f>IF($A125&lt;&gt;"",TRUE,"")</x:f>
      </x:c>
      <x:c r="K125" s="75" t="str">
        <x:f>IF($A125&lt;&gt;"",FALSE,"")</x:f>
      </x:c>
      <x:c r="L125" s="75" t="str">
        <x:f>IF($A125&lt;&gt;"","Units","")</x:f>
      </x:c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75" t="str">
        <x:f>IF(Katalog_Fiyatlayici!$AC126="Fiyat Hazır",Katalog_Fiyatlayici!$AD126,"")</x:f>
      </x:c>
      <x:c r="B126" s="75" t="str">
        <x:f>IF($A126&lt;&gt;"",Katalog_Fiyatlayici!$AF126,"")</x:f>
      </x:c>
      <x:c r="C126" s="83" t="str">
        <x:f>IF($A126&lt;&gt;"",Katalog_Fiyatlayici!$AA126,"")</x:f>
      </x:c>
      <x:c r="D126" s="83" t="str">
        <x:f>IF($A126&lt;&gt;"",Katalog_Fiyatlayici!$W126,"")</x:f>
      </x:c>
      <x:c r="E126" s="75" t="str">
        <x:f>IF($A126&lt;&gt;"","Service","")</x:f>
      </x:c>
      <x:c r="F126" s="75" t="str">
        <x:f>IF($A126&lt;&gt;"",Katalog_Fiyatlayici!$AE126,"")</x:f>
      </x:c>
      <x:c r="G126" s="75" t="str">
        <x:f>IF($A126&lt;&gt;"",Katalog_Fiyatlayici!$AD126,"")</x:f>
      </x:c>
      <x:c r="H126" s="75" t="str">
        <x:f>IF($A126&lt;&gt;"",Katalog_Fiyatlayici!$B126,"")</x:f>
      </x:c>
      <x:c r="I126" s="75" t="str">
        <x:f>IF($A126&lt;&gt;"","MakerWorld model linkine göre tahmini 3D baskı fiyatı. Gerçek üretimden önce Bambu Studio ile gramaj ve süre doğrulanır.","")</x:f>
      </x:c>
      <x:c r="J126" s="75" t="str">
        <x:f>IF($A126&lt;&gt;"",TRUE,"")</x:f>
      </x:c>
      <x:c r="K126" s="75" t="str">
        <x:f>IF($A126&lt;&gt;"",FALSE,"")</x:f>
      </x:c>
      <x:c r="L126" s="75" t="str">
        <x:f>IF($A126&lt;&gt;"","Units","")</x:f>
      </x:c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75" t="str">
        <x:f>IF(Katalog_Fiyatlayici!$AC127="Fiyat Hazır",Katalog_Fiyatlayici!$AD127,"")</x:f>
      </x:c>
      <x:c r="B127" s="75" t="str">
        <x:f>IF($A127&lt;&gt;"",Katalog_Fiyatlayici!$AF127,"")</x:f>
      </x:c>
      <x:c r="C127" s="83" t="str">
        <x:f>IF($A127&lt;&gt;"",Katalog_Fiyatlayici!$AA127,"")</x:f>
      </x:c>
      <x:c r="D127" s="83" t="str">
        <x:f>IF($A127&lt;&gt;"",Katalog_Fiyatlayici!$W127,"")</x:f>
      </x:c>
      <x:c r="E127" s="75" t="str">
        <x:f>IF($A127&lt;&gt;"","Service","")</x:f>
      </x:c>
      <x:c r="F127" s="75" t="str">
        <x:f>IF($A127&lt;&gt;"",Katalog_Fiyatlayici!$AE127,"")</x:f>
      </x:c>
      <x:c r="G127" s="75" t="str">
        <x:f>IF($A127&lt;&gt;"",Katalog_Fiyatlayici!$AD127,"")</x:f>
      </x:c>
      <x:c r="H127" s="75" t="str">
        <x:f>IF($A127&lt;&gt;"",Katalog_Fiyatlayici!$B127,"")</x:f>
      </x:c>
      <x:c r="I127" s="75" t="str">
        <x:f>IF($A127&lt;&gt;"","MakerWorld model linkine göre tahmini 3D baskı fiyatı. Gerçek üretimden önce Bambu Studio ile gramaj ve süre doğrulanır.","")</x:f>
      </x:c>
      <x:c r="J127" s="75" t="str">
        <x:f>IF($A127&lt;&gt;"",TRUE,"")</x:f>
      </x:c>
      <x:c r="K127" s="75" t="str">
        <x:f>IF($A127&lt;&gt;"",FALSE,"")</x:f>
      </x:c>
      <x:c r="L127" s="75" t="str">
        <x:f>IF($A127&lt;&gt;"","Units","")</x:f>
      </x:c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75" t="str">
        <x:f>IF(Katalog_Fiyatlayici!$AC128="Fiyat Hazır",Katalog_Fiyatlayici!$AD128,"")</x:f>
      </x:c>
      <x:c r="B128" s="75" t="str">
        <x:f>IF($A128&lt;&gt;"",Katalog_Fiyatlayici!$AF128,"")</x:f>
      </x:c>
      <x:c r="C128" s="83" t="str">
        <x:f>IF($A128&lt;&gt;"",Katalog_Fiyatlayici!$AA128,"")</x:f>
      </x:c>
      <x:c r="D128" s="83" t="str">
        <x:f>IF($A128&lt;&gt;"",Katalog_Fiyatlayici!$W128,"")</x:f>
      </x:c>
      <x:c r="E128" s="75" t="str">
        <x:f>IF($A128&lt;&gt;"","Service","")</x:f>
      </x:c>
      <x:c r="F128" s="75" t="str">
        <x:f>IF($A128&lt;&gt;"",Katalog_Fiyatlayici!$AE128,"")</x:f>
      </x:c>
      <x:c r="G128" s="75" t="str">
        <x:f>IF($A128&lt;&gt;"",Katalog_Fiyatlayici!$AD128,"")</x:f>
      </x:c>
      <x:c r="H128" s="75" t="str">
        <x:f>IF($A128&lt;&gt;"",Katalog_Fiyatlayici!$B128,"")</x:f>
      </x:c>
      <x:c r="I128" s="75" t="str">
        <x:f>IF($A128&lt;&gt;"","MakerWorld model linkine göre tahmini 3D baskı fiyatı. Gerçek üretimden önce Bambu Studio ile gramaj ve süre doğrulanır.","")</x:f>
      </x:c>
      <x:c r="J128" s="75" t="str">
        <x:f>IF($A128&lt;&gt;"",TRUE,"")</x:f>
      </x:c>
      <x:c r="K128" s="75" t="str">
        <x:f>IF($A128&lt;&gt;"",FALSE,"")</x:f>
      </x:c>
      <x:c r="L128" s="75" t="str">
        <x:f>IF($A128&lt;&gt;"","Units","")</x:f>
      </x:c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75" t="str">
        <x:f>IF(Katalog_Fiyatlayici!$AC129="Fiyat Hazır",Katalog_Fiyatlayici!$AD129,"")</x:f>
      </x:c>
      <x:c r="B129" s="75" t="str">
        <x:f>IF($A129&lt;&gt;"",Katalog_Fiyatlayici!$AF129,"")</x:f>
      </x:c>
      <x:c r="C129" s="83" t="str">
        <x:f>IF($A129&lt;&gt;"",Katalog_Fiyatlayici!$AA129,"")</x:f>
      </x:c>
      <x:c r="D129" s="83" t="str">
        <x:f>IF($A129&lt;&gt;"",Katalog_Fiyatlayici!$W129,"")</x:f>
      </x:c>
      <x:c r="E129" s="75" t="str">
        <x:f>IF($A129&lt;&gt;"","Service","")</x:f>
      </x:c>
      <x:c r="F129" s="75" t="str">
        <x:f>IF($A129&lt;&gt;"",Katalog_Fiyatlayici!$AE129,"")</x:f>
      </x:c>
      <x:c r="G129" s="75" t="str">
        <x:f>IF($A129&lt;&gt;"",Katalog_Fiyatlayici!$AD129,"")</x:f>
      </x:c>
      <x:c r="H129" s="75" t="str">
        <x:f>IF($A129&lt;&gt;"",Katalog_Fiyatlayici!$B129,"")</x:f>
      </x:c>
      <x:c r="I129" s="75" t="str">
        <x:f>IF($A129&lt;&gt;"","MakerWorld model linkine göre tahmini 3D baskı fiyatı. Gerçek üretimden önce Bambu Studio ile gramaj ve süre doğrulanır.","")</x:f>
      </x:c>
      <x:c r="J129" s="75" t="str">
        <x:f>IF($A129&lt;&gt;"",TRUE,"")</x:f>
      </x:c>
      <x:c r="K129" s="75" t="str">
        <x:f>IF($A129&lt;&gt;"",FALSE,"")</x:f>
      </x:c>
      <x:c r="L129" s="75" t="str">
        <x:f>IF($A129&lt;&gt;"","Units","")</x:f>
      </x:c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75" t="str">
        <x:f>IF(Katalog_Fiyatlayici!$AC130="Fiyat Hazır",Katalog_Fiyatlayici!$AD130,"")</x:f>
      </x:c>
      <x:c r="B130" s="75" t="str">
        <x:f>IF($A130&lt;&gt;"",Katalog_Fiyatlayici!$AF130,"")</x:f>
      </x:c>
      <x:c r="C130" s="83" t="str">
        <x:f>IF($A130&lt;&gt;"",Katalog_Fiyatlayici!$AA130,"")</x:f>
      </x:c>
      <x:c r="D130" s="83" t="str">
        <x:f>IF($A130&lt;&gt;"",Katalog_Fiyatlayici!$W130,"")</x:f>
      </x:c>
      <x:c r="E130" s="75" t="str">
        <x:f>IF($A130&lt;&gt;"","Service","")</x:f>
      </x:c>
      <x:c r="F130" s="75" t="str">
        <x:f>IF($A130&lt;&gt;"",Katalog_Fiyatlayici!$AE130,"")</x:f>
      </x:c>
      <x:c r="G130" s="75" t="str">
        <x:f>IF($A130&lt;&gt;"",Katalog_Fiyatlayici!$AD130,"")</x:f>
      </x:c>
      <x:c r="H130" s="75" t="str">
        <x:f>IF($A130&lt;&gt;"",Katalog_Fiyatlayici!$B130,"")</x:f>
      </x:c>
      <x:c r="I130" s="75" t="str">
        <x:f>IF($A130&lt;&gt;"","MakerWorld model linkine göre tahmini 3D baskı fiyatı. Gerçek üretimden önce Bambu Studio ile gramaj ve süre doğrulanır.","")</x:f>
      </x:c>
      <x:c r="J130" s="75" t="str">
        <x:f>IF($A130&lt;&gt;"",TRUE,"")</x:f>
      </x:c>
      <x:c r="K130" s="75" t="str">
        <x:f>IF($A130&lt;&gt;"",FALSE,"")</x:f>
      </x:c>
      <x:c r="L130" s="75" t="str">
        <x:f>IF($A130&lt;&gt;"","Units","")</x:f>
      </x:c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75" t="str">
        <x:f>IF(Katalog_Fiyatlayici!$AC131="Fiyat Hazır",Katalog_Fiyatlayici!$AD131,"")</x:f>
      </x:c>
      <x:c r="B131" s="75" t="str">
        <x:f>IF($A131&lt;&gt;"",Katalog_Fiyatlayici!$AF131,"")</x:f>
      </x:c>
      <x:c r="C131" s="83" t="str">
        <x:f>IF($A131&lt;&gt;"",Katalog_Fiyatlayici!$AA131,"")</x:f>
      </x:c>
      <x:c r="D131" s="83" t="str">
        <x:f>IF($A131&lt;&gt;"",Katalog_Fiyatlayici!$W131,"")</x:f>
      </x:c>
      <x:c r="E131" s="75" t="str">
        <x:f>IF($A131&lt;&gt;"","Service","")</x:f>
      </x:c>
      <x:c r="F131" s="75" t="str">
        <x:f>IF($A131&lt;&gt;"",Katalog_Fiyatlayici!$AE131,"")</x:f>
      </x:c>
      <x:c r="G131" s="75" t="str">
        <x:f>IF($A131&lt;&gt;"",Katalog_Fiyatlayici!$AD131,"")</x:f>
      </x:c>
      <x:c r="H131" s="75" t="str">
        <x:f>IF($A131&lt;&gt;"",Katalog_Fiyatlayici!$B131,"")</x:f>
      </x:c>
      <x:c r="I131" s="75" t="str">
        <x:f>IF($A131&lt;&gt;"","MakerWorld model linkine göre tahmini 3D baskı fiyatı. Gerçek üretimden önce Bambu Studio ile gramaj ve süre doğrulanır.","")</x:f>
      </x:c>
      <x:c r="J131" s="75" t="str">
        <x:f>IF($A131&lt;&gt;"",TRUE,"")</x:f>
      </x:c>
      <x:c r="K131" s="75" t="str">
        <x:f>IF($A131&lt;&gt;"",FALSE,"")</x:f>
      </x:c>
      <x:c r="L131" s="75" t="str">
        <x:f>IF($A131&lt;&gt;"","Units","")</x:f>
      </x:c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75" t="str">
        <x:f>IF(Katalog_Fiyatlayici!$AC132="Fiyat Hazır",Katalog_Fiyatlayici!$AD132,"")</x:f>
      </x:c>
      <x:c r="B132" s="75" t="str">
        <x:f>IF($A132&lt;&gt;"",Katalog_Fiyatlayici!$AF132,"")</x:f>
      </x:c>
      <x:c r="C132" s="83" t="str">
        <x:f>IF($A132&lt;&gt;"",Katalog_Fiyatlayici!$AA132,"")</x:f>
      </x:c>
      <x:c r="D132" s="83" t="str">
        <x:f>IF($A132&lt;&gt;"",Katalog_Fiyatlayici!$W132,"")</x:f>
      </x:c>
      <x:c r="E132" s="75" t="str">
        <x:f>IF($A132&lt;&gt;"","Service","")</x:f>
      </x:c>
      <x:c r="F132" s="75" t="str">
        <x:f>IF($A132&lt;&gt;"",Katalog_Fiyatlayici!$AE132,"")</x:f>
      </x:c>
      <x:c r="G132" s="75" t="str">
        <x:f>IF($A132&lt;&gt;"",Katalog_Fiyatlayici!$AD132,"")</x:f>
      </x:c>
      <x:c r="H132" s="75" t="str">
        <x:f>IF($A132&lt;&gt;"",Katalog_Fiyatlayici!$B132,"")</x:f>
      </x:c>
      <x:c r="I132" s="75" t="str">
        <x:f>IF($A132&lt;&gt;"","MakerWorld model linkine göre tahmini 3D baskı fiyatı. Gerçek üretimden önce Bambu Studio ile gramaj ve süre doğrulanır.","")</x:f>
      </x:c>
      <x:c r="J132" s="75" t="str">
        <x:f>IF($A132&lt;&gt;"",TRUE,"")</x:f>
      </x:c>
      <x:c r="K132" s="75" t="str">
        <x:f>IF($A132&lt;&gt;"",FALSE,"")</x:f>
      </x:c>
      <x:c r="L132" s="75" t="str">
        <x:f>IF($A132&lt;&gt;"","Units","")</x:f>
      </x:c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75" t="str">
        <x:f>IF(Katalog_Fiyatlayici!$AC133="Fiyat Hazır",Katalog_Fiyatlayici!$AD133,"")</x:f>
      </x:c>
      <x:c r="B133" s="75" t="str">
        <x:f>IF($A133&lt;&gt;"",Katalog_Fiyatlayici!$AF133,"")</x:f>
      </x:c>
      <x:c r="C133" s="83" t="str">
        <x:f>IF($A133&lt;&gt;"",Katalog_Fiyatlayici!$AA133,"")</x:f>
      </x:c>
      <x:c r="D133" s="83" t="str">
        <x:f>IF($A133&lt;&gt;"",Katalog_Fiyatlayici!$W133,"")</x:f>
      </x:c>
      <x:c r="E133" s="75" t="str">
        <x:f>IF($A133&lt;&gt;"","Service","")</x:f>
      </x:c>
      <x:c r="F133" s="75" t="str">
        <x:f>IF($A133&lt;&gt;"",Katalog_Fiyatlayici!$AE133,"")</x:f>
      </x:c>
      <x:c r="G133" s="75" t="str">
        <x:f>IF($A133&lt;&gt;"",Katalog_Fiyatlayici!$AD133,"")</x:f>
      </x:c>
      <x:c r="H133" s="75" t="str">
        <x:f>IF($A133&lt;&gt;"",Katalog_Fiyatlayici!$B133,"")</x:f>
      </x:c>
      <x:c r="I133" s="75" t="str">
        <x:f>IF($A133&lt;&gt;"","MakerWorld model linkine göre tahmini 3D baskı fiyatı. Gerçek üretimden önce Bambu Studio ile gramaj ve süre doğrulanır.","")</x:f>
      </x:c>
      <x:c r="J133" s="75" t="str">
        <x:f>IF($A133&lt;&gt;"",TRUE,"")</x:f>
      </x:c>
      <x:c r="K133" s="75" t="str">
        <x:f>IF($A133&lt;&gt;"",FALSE,"")</x:f>
      </x:c>
      <x:c r="L133" s="75" t="str">
        <x:f>IF($A133&lt;&gt;"","Units","")</x:f>
      </x:c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75" t="str">
        <x:f>IF(Katalog_Fiyatlayici!$AC134="Fiyat Hazır",Katalog_Fiyatlayici!$AD134,"")</x:f>
      </x:c>
      <x:c r="B134" s="75" t="str">
        <x:f>IF($A134&lt;&gt;"",Katalog_Fiyatlayici!$AF134,"")</x:f>
      </x:c>
      <x:c r="C134" s="83" t="str">
        <x:f>IF($A134&lt;&gt;"",Katalog_Fiyatlayici!$AA134,"")</x:f>
      </x:c>
      <x:c r="D134" s="83" t="str">
        <x:f>IF($A134&lt;&gt;"",Katalog_Fiyatlayici!$W134,"")</x:f>
      </x:c>
      <x:c r="E134" s="75" t="str">
        <x:f>IF($A134&lt;&gt;"","Service","")</x:f>
      </x:c>
      <x:c r="F134" s="75" t="str">
        <x:f>IF($A134&lt;&gt;"",Katalog_Fiyatlayici!$AE134,"")</x:f>
      </x:c>
      <x:c r="G134" s="75" t="str">
        <x:f>IF($A134&lt;&gt;"",Katalog_Fiyatlayici!$AD134,"")</x:f>
      </x:c>
      <x:c r="H134" s="75" t="str">
        <x:f>IF($A134&lt;&gt;"",Katalog_Fiyatlayici!$B134,"")</x:f>
      </x:c>
      <x:c r="I134" s="75" t="str">
        <x:f>IF($A134&lt;&gt;"","MakerWorld model linkine göre tahmini 3D baskı fiyatı. Gerçek üretimden önce Bambu Studio ile gramaj ve süre doğrulanır.","")</x:f>
      </x:c>
      <x:c r="J134" s="75" t="str">
        <x:f>IF($A134&lt;&gt;"",TRUE,"")</x:f>
      </x:c>
      <x:c r="K134" s="75" t="str">
        <x:f>IF($A134&lt;&gt;"",FALSE,"")</x:f>
      </x:c>
      <x:c r="L134" s="75" t="str">
        <x:f>IF($A134&lt;&gt;"","Units","")</x:f>
      </x:c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75" t="str">
        <x:f>IF(Katalog_Fiyatlayici!$AC135="Fiyat Hazır",Katalog_Fiyatlayici!$AD135,"")</x:f>
      </x:c>
      <x:c r="B135" s="75" t="str">
        <x:f>IF($A135&lt;&gt;"",Katalog_Fiyatlayici!$AF135,"")</x:f>
      </x:c>
      <x:c r="C135" s="83" t="str">
        <x:f>IF($A135&lt;&gt;"",Katalog_Fiyatlayici!$AA135,"")</x:f>
      </x:c>
      <x:c r="D135" s="83" t="str">
        <x:f>IF($A135&lt;&gt;"",Katalog_Fiyatlayici!$W135,"")</x:f>
      </x:c>
      <x:c r="E135" s="75" t="str">
        <x:f>IF($A135&lt;&gt;"","Service","")</x:f>
      </x:c>
      <x:c r="F135" s="75" t="str">
        <x:f>IF($A135&lt;&gt;"",Katalog_Fiyatlayici!$AE135,"")</x:f>
      </x:c>
      <x:c r="G135" s="75" t="str">
        <x:f>IF($A135&lt;&gt;"",Katalog_Fiyatlayici!$AD135,"")</x:f>
      </x:c>
      <x:c r="H135" s="75" t="str">
        <x:f>IF($A135&lt;&gt;"",Katalog_Fiyatlayici!$B135,"")</x:f>
      </x:c>
      <x:c r="I135" s="75" t="str">
        <x:f>IF($A135&lt;&gt;"","MakerWorld model linkine göre tahmini 3D baskı fiyatı. Gerçek üretimden önce Bambu Studio ile gramaj ve süre doğrulanır.","")</x:f>
      </x:c>
      <x:c r="J135" s="75" t="str">
        <x:f>IF($A135&lt;&gt;"",TRUE,"")</x:f>
      </x:c>
      <x:c r="K135" s="75" t="str">
        <x:f>IF($A135&lt;&gt;"",FALSE,"")</x:f>
      </x:c>
      <x:c r="L135" s="75" t="str">
        <x:f>IF($A135&lt;&gt;"","Units","")</x:f>
      </x:c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75" t="str">
        <x:f>IF(Katalog_Fiyatlayici!$AC136="Fiyat Hazır",Katalog_Fiyatlayici!$AD136,"")</x:f>
      </x:c>
      <x:c r="B136" s="75" t="str">
        <x:f>IF($A136&lt;&gt;"",Katalog_Fiyatlayici!$AF136,"")</x:f>
      </x:c>
      <x:c r="C136" s="83" t="str">
        <x:f>IF($A136&lt;&gt;"",Katalog_Fiyatlayici!$AA136,"")</x:f>
      </x:c>
      <x:c r="D136" s="83" t="str">
        <x:f>IF($A136&lt;&gt;"",Katalog_Fiyatlayici!$W136,"")</x:f>
      </x:c>
      <x:c r="E136" s="75" t="str">
        <x:f>IF($A136&lt;&gt;"","Service","")</x:f>
      </x:c>
      <x:c r="F136" s="75" t="str">
        <x:f>IF($A136&lt;&gt;"",Katalog_Fiyatlayici!$AE136,"")</x:f>
      </x:c>
      <x:c r="G136" s="75" t="str">
        <x:f>IF($A136&lt;&gt;"",Katalog_Fiyatlayici!$AD136,"")</x:f>
      </x:c>
      <x:c r="H136" s="75" t="str">
        <x:f>IF($A136&lt;&gt;"",Katalog_Fiyatlayici!$B136,"")</x:f>
      </x:c>
      <x:c r="I136" s="75" t="str">
        <x:f>IF($A136&lt;&gt;"","MakerWorld model linkine göre tahmini 3D baskı fiyatı. Gerçek üretimden önce Bambu Studio ile gramaj ve süre doğrulanır.","")</x:f>
      </x:c>
      <x:c r="J136" s="75" t="str">
        <x:f>IF($A136&lt;&gt;"",TRUE,"")</x:f>
      </x:c>
      <x:c r="K136" s="75" t="str">
        <x:f>IF($A136&lt;&gt;"",FALSE,"")</x:f>
      </x:c>
      <x:c r="L136" s="75" t="str">
        <x:f>IF($A136&lt;&gt;"","Units","")</x:f>
      </x:c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75" t="str">
        <x:f>IF(Katalog_Fiyatlayici!$AC137="Fiyat Hazır",Katalog_Fiyatlayici!$AD137,"")</x:f>
      </x:c>
      <x:c r="B137" s="75" t="str">
        <x:f>IF($A137&lt;&gt;"",Katalog_Fiyatlayici!$AF137,"")</x:f>
      </x:c>
      <x:c r="C137" s="83" t="str">
        <x:f>IF($A137&lt;&gt;"",Katalog_Fiyatlayici!$AA137,"")</x:f>
      </x:c>
      <x:c r="D137" s="83" t="str">
        <x:f>IF($A137&lt;&gt;"",Katalog_Fiyatlayici!$W137,"")</x:f>
      </x:c>
      <x:c r="E137" s="75" t="str">
        <x:f>IF($A137&lt;&gt;"","Service","")</x:f>
      </x:c>
      <x:c r="F137" s="75" t="str">
        <x:f>IF($A137&lt;&gt;"",Katalog_Fiyatlayici!$AE137,"")</x:f>
      </x:c>
      <x:c r="G137" s="75" t="str">
        <x:f>IF($A137&lt;&gt;"",Katalog_Fiyatlayici!$AD137,"")</x:f>
      </x:c>
      <x:c r="H137" s="75" t="str">
        <x:f>IF($A137&lt;&gt;"",Katalog_Fiyatlayici!$B137,"")</x:f>
      </x:c>
      <x:c r="I137" s="75" t="str">
        <x:f>IF($A137&lt;&gt;"","MakerWorld model linkine göre tahmini 3D baskı fiyatı. Gerçek üretimden önce Bambu Studio ile gramaj ve süre doğrulanır.","")</x:f>
      </x:c>
      <x:c r="J137" s="75" t="str">
        <x:f>IF($A137&lt;&gt;"",TRUE,"")</x:f>
      </x:c>
      <x:c r="K137" s="75" t="str">
        <x:f>IF($A137&lt;&gt;"",FALSE,"")</x:f>
      </x:c>
      <x:c r="L137" s="75" t="str">
        <x:f>IF($A137&lt;&gt;"","Units","")</x:f>
      </x:c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75" t="str">
        <x:f>IF(Katalog_Fiyatlayici!$AC138="Fiyat Hazır",Katalog_Fiyatlayici!$AD138,"")</x:f>
      </x:c>
      <x:c r="B138" s="75" t="str">
        <x:f>IF($A138&lt;&gt;"",Katalog_Fiyatlayici!$AF138,"")</x:f>
      </x:c>
      <x:c r="C138" s="83" t="str">
        <x:f>IF($A138&lt;&gt;"",Katalog_Fiyatlayici!$AA138,"")</x:f>
      </x:c>
      <x:c r="D138" s="83" t="str">
        <x:f>IF($A138&lt;&gt;"",Katalog_Fiyatlayici!$W138,"")</x:f>
      </x:c>
      <x:c r="E138" s="75" t="str">
        <x:f>IF($A138&lt;&gt;"","Service","")</x:f>
      </x:c>
      <x:c r="F138" s="75" t="str">
        <x:f>IF($A138&lt;&gt;"",Katalog_Fiyatlayici!$AE138,"")</x:f>
      </x:c>
      <x:c r="G138" s="75" t="str">
        <x:f>IF($A138&lt;&gt;"",Katalog_Fiyatlayici!$AD138,"")</x:f>
      </x:c>
      <x:c r="H138" s="75" t="str">
        <x:f>IF($A138&lt;&gt;"",Katalog_Fiyatlayici!$B138,"")</x:f>
      </x:c>
      <x:c r="I138" s="75" t="str">
        <x:f>IF($A138&lt;&gt;"","MakerWorld model linkine göre tahmini 3D baskı fiyatı. Gerçek üretimden önce Bambu Studio ile gramaj ve süre doğrulanır.","")</x:f>
      </x:c>
      <x:c r="J138" s="75" t="str">
        <x:f>IF($A138&lt;&gt;"",TRUE,"")</x:f>
      </x:c>
      <x:c r="K138" s="75" t="str">
        <x:f>IF($A138&lt;&gt;"",FALSE,"")</x:f>
      </x:c>
      <x:c r="L138" s="75" t="str">
        <x:f>IF($A138&lt;&gt;"","Units","")</x:f>
      </x:c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75" t="str">
        <x:f>IF(Katalog_Fiyatlayici!$AC139="Fiyat Hazır",Katalog_Fiyatlayici!$AD139,"")</x:f>
      </x:c>
      <x:c r="B139" s="75" t="str">
        <x:f>IF($A139&lt;&gt;"",Katalog_Fiyatlayici!$AF139,"")</x:f>
      </x:c>
      <x:c r="C139" s="83" t="str">
        <x:f>IF($A139&lt;&gt;"",Katalog_Fiyatlayici!$AA139,"")</x:f>
      </x:c>
      <x:c r="D139" s="83" t="str">
        <x:f>IF($A139&lt;&gt;"",Katalog_Fiyatlayici!$W139,"")</x:f>
      </x:c>
      <x:c r="E139" s="75" t="str">
        <x:f>IF($A139&lt;&gt;"","Service","")</x:f>
      </x:c>
      <x:c r="F139" s="75" t="str">
        <x:f>IF($A139&lt;&gt;"",Katalog_Fiyatlayici!$AE139,"")</x:f>
      </x:c>
      <x:c r="G139" s="75" t="str">
        <x:f>IF($A139&lt;&gt;"",Katalog_Fiyatlayici!$AD139,"")</x:f>
      </x:c>
      <x:c r="H139" s="75" t="str">
        <x:f>IF($A139&lt;&gt;"",Katalog_Fiyatlayici!$B139,"")</x:f>
      </x:c>
      <x:c r="I139" s="75" t="str">
        <x:f>IF($A139&lt;&gt;"","MakerWorld model linkine göre tahmini 3D baskı fiyatı. Gerçek üretimden önce Bambu Studio ile gramaj ve süre doğrulanır.","")</x:f>
      </x:c>
      <x:c r="J139" s="75" t="str">
        <x:f>IF($A139&lt;&gt;"",TRUE,"")</x:f>
      </x:c>
      <x:c r="K139" s="75" t="str">
        <x:f>IF($A139&lt;&gt;"",FALSE,"")</x:f>
      </x:c>
      <x:c r="L139" s="75" t="str">
        <x:f>IF($A139&lt;&gt;"","Units","")</x:f>
      </x:c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75" t="str">
        <x:f>IF(Katalog_Fiyatlayici!$AC140="Fiyat Hazır",Katalog_Fiyatlayici!$AD140,"")</x:f>
      </x:c>
      <x:c r="B140" s="75" t="str">
        <x:f>IF($A140&lt;&gt;"",Katalog_Fiyatlayici!$AF140,"")</x:f>
      </x:c>
      <x:c r="C140" s="83" t="str">
        <x:f>IF($A140&lt;&gt;"",Katalog_Fiyatlayici!$AA140,"")</x:f>
      </x:c>
      <x:c r="D140" s="83" t="str">
        <x:f>IF($A140&lt;&gt;"",Katalog_Fiyatlayici!$W140,"")</x:f>
      </x:c>
      <x:c r="E140" s="75" t="str">
        <x:f>IF($A140&lt;&gt;"","Service","")</x:f>
      </x:c>
      <x:c r="F140" s="75" t="str">
        <x:f>IF($A140&lt;&gt;"",Katalog_Fiyatlayici!$AE140,"")</x:f>
      </x:c>
      <x:c r="G140" s="75" t="str">
        <x:f>IF($A140&lt;&gt;"",Katalog_Fiyatlayici!$AD140,"")</x:f>
      </x:c>
      <x:c r="H140" s="75" t="str">
        <x:f>IF($A140&lt;&gt;"",Katalog_Fiyatlayici!$B140,"")</x:f>
      </x:c>
      <x:c r="I140" s="75" t="str">
        <x:f>IF($A140&lt;&gt;"","MakerWorld model linkine göre tahmini 3D baskı fiyatı. Gerçek üretimden önce Bambu Studio ile gramaj ve süre doğrulanır.","")</x:f>
      </x:c>
      <x:c r="J140" s="75" t="str">
        <x:f>IF($A140&lt;&gt;"",TRUE,"")</x:f>
      </x:c>
      <x:c r="K140" s="75" t="str">
        <x:f>IF($A140&lt;&gt;"",FALSE,"")</x:f>
      </x:c>
      <x:c r="L140" s="75" t="str">
        <x:f>IF($A140&lt;&gt;"","Units","")</x:f>
      </x:c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75" t="str">
        <x:f>IF(Katalog_Fiyatlayici!$AC141="Fiyat Hazır",Katalog_Fiyatlayici!$AD141,"")</x:f>
      </x:c>
      <x:c r="B141" s="75" t="str">
        <x:f>IF($A141&lt;&gt;"",Katalog_Fiyatlayici!$AF141,"")</x:f>
      </x:c>
      <x:c r="C141" s="83" t="str">
        <x:f>IF($A141&lt;&gt;"",Katalog_Fiyatlayici!$AA141,"")</x:f>
      </x:c>
      <x:c r="D141" s="83" t="str">
        <x:f>IF($A141&lt;&gt;"",Katalog_Fiyatlayici!$W141,"")</x:f>
      </x:c>
      <x:c r="E141" s="75" t="str">
        <x:f>IF($A141&lt;&gt;"","Service","")</x:f>
      </x:c>
      <x:c r="F141" s="75" t="str">
        <x:f>IF($A141&lt;&gt;"",Katalog_Fiyatlayici!$AE141,"")</x:f>
      </x:c>
      <x:c r="G141" s="75" t="str">
        <x:f>IF($A141&lt;&gt;"",Katalog_Fiyatlayici!$AD141,"")</x:f>
      </x:c>
      <x:c r="H141" s="75" t="str">
        <x:f>IF($A141&lt;&gt;"",Katalog_Fiyatlayici!$B141,"")</x:f>
      </x:c>
      <x:c r="I141" s="75" t="str">
        <x:f>IF($A141&lt;&gt;"","MakerWorld model linkine göre tahmini 3D baskı fiyatı. Gerçek üretimden önce Bambu Studio ile gramaj ve süre doğrulanır.","")</x:f>
      </x:c>
      <x:c r="J141" s="75" t="str">
        <x:f>IF($A141&lt;&gt;"",TRUE,"")</x:f>
      </x:c>
      <x:c r="K141" s="75" t="str">
        <x:f>IF($A141&lt;&gt;"",FALSE,"")</x:f>
      </x:c>
      <x:c r="L141" s="75" t="str">
        <x:f>IF($A141&lt;&gt;"","Units","")</x:f>
      </x:c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75" t="str">
        <x:f>IF(Katalog_Fiyatlayici!$AC142="Fiyat Hazır",Katalog_Fiyatlayici!$AD142,"")</x:f>
      </x:c>
      <x:c r="B142" s="75" t="str">
        <x:f>IF($A142&lt;&gt;"",Katalog_Fiyatlayici!$AF142,"")</x:f>
      </x:c>
      <x:c r="C142" s="83" t="str">
        <x:f>IF($A142&lt;&gt;"",Katalog_Fiyatlayici!$AA142,"")</x:f>
      </x:c>
      <x:c r="D142" s="83" t="str">
        <x:f>IF($A142&lt;&gt;"",Katalog_Fiyatlayici!$W142,"")</x:f>
      </x:c>
      <x:c r="E142" s="75" t="str">
        <x:f>IF($A142&lt;&gt;"","Service","")</x:f>
      </x:c>
      <x:c r="F142" s="75" t="str">
        <x:f>IF($A142&lt;&gt;"",Katalog_Fiyatlayici!$AE142,"")</x:f>
      </x:c>
      <x:c r="G142" s="75" t="str">
        <x:f>IF($A142&lt;&gt;"",Katalog_Fiyatlayici!$AD142,"")</x:f>
      </x:c>
      <x:c r="H142" s="75" t="str">
        <x:f>IF($A142&lt;&gt;"",Katalog_Fiyatlayici!$B142,"")</x:f>
      </x:c>
      <x:c r="I142" s="75" t="str">
        <x:f>IF($A142&lt;&gt;"","MakerWorld model linkine göre tahmini 3D baskı fiyatı. Gerçek üretimden önce Bambu Studio ile gramaj ve süre doğrulanır.","")</x:f>
      </x:c>
      <x:c r="J142" s="75" t="str">
        <x:f>IF($A142&lt;&gt;"",TRUE,"")</x:f>
      </x:c>
      <x:c r="K142" s="75" t="str">
        <x:f>IF($A142&lt;&gt;"",FALSE,"")</x:f>
      </x:c>
      <x:c r="L142" s="75" t="str">
        <x:f>IF($A142&lt;&gt;"","Units","")</x:f>
      </x:c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75" t="str">
        <x:f>IF(Katalog_Fiyatlayici!$AC143="Fiyat Hazır",Katalog_Fiyatlayici!$AD143,"")</x:f>
      </x:c>
      <x:c r="B143" s="75" t="str">
        <x:f>IF($A143&lt;&gt;"",Katalog_Fiyatlayici!$AF143,"")</x:f>
      </x:c>
      <x:c r="C143" s="83" t="str">
        <x:f>IF($A143&lt;&gt;"",Katalog_Fiyatlayici!$AA143,"")</x:f>
      </x:c>
      <x:c r="D143" s="83" t="str">
        <x:f>IF($A143&lt;&gt;"",Katalog_Fiyatlayici!$W143,"")</x:f>
      </x:c>
      <x:c r="E143" s="75" t="str">
        <x:f>IF($A143&lt;&gt;"","Service","")</x:f>
      </x:c>
      <x:c r="F143" s="75" t="str">
        <x:f>IF($A143&lt;&gt;"",Katalog_Fiyatlayici!$AE143,"")</x:f>
      </x:c>
      <x:c r="G143" s="75" t="str">
        <x:f>IF($A143&lt;&gt;"",Katalog_Fiyatlayici!$AD143,"")</x:f>
      </x:c>
      <x:c r="H143" s="75" t="str">
        <x:f>IF($A143&lt;&gt;"",Katalog_Fiyatlayici!$B143,"")</x:f>
      </x:c>
      <x:c r="I143" s="75" t="str">
        <x:f>IF($A143&lt;&gt;"","MakerWorld model linkine göre tahmini 3D baskı fiyatı. Gerçek üretimden önce Bambu Studio ile gramaj ve süre doğrulanır.","")</x:f>
      </x:c>
      <x:c r="J143" s="75" t="str">
        <x:f>IF($A143&lt;&gt;"",TRUE,"")</x:f>
      </x:c>
      <x:c r="K143" s="75" t="str">
        <x:f>IF($A143&lt;&gt;"",FALSE,"")</x:f>
      </x:c>
      <x:c r="L143" s="75" t="str">
        <x:f>IF($A143&lt;&gt;"","Units","")</x:f>
      </x:c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75" t="str">
        <x:f>IF(Katalog_Fiyatlayici!$AC144="Fiyat Hazır",Katalog_Fiyatlayici!$AD144,"")</x:f>
      </x:c>
      <x:c r="B144" s="75" t="str">
        <x:f>IF($A144&lt;&gt;"",Katalog_Fiyatlayici!$AF144,"")</x:f>
      </x:c>
      <x:c r="C144" s="83" t="str">
        <x:f>IF($A144&lt;&gt;"",Katalog_Fiyatlayici!$AA144,"")</x:f>
      </x:c>
      <x:c r="D144" s="83" t="str">
        <x:f>IF($A144&lt;&gt;"",Katalog_Fiyatlayici!$W144,"")</x:f>
      </x:c>
      <x:c r="E144" s="75" t="str">
        <x:f>IF($A144&lt;&gt;"","Service","")</x:f>
      </x:c>
      <x:c r="F144" s="75" t="str">
        <x:f>IF($A144&lt;&gt;"",Katalog_Fiyatlayici!$AE144,"")</x:f>
      </x:c>
      <x:c r="G144" s="75" t="str">
        <x:f>IF($A144&lt;&gt;"",Katalog_Fiyatlayici!$AD144,"")</x:f>
      </x:c>
      <x:c r="H144" s="75" t="str">
        <x:f>IF($A144&lt;&gt;"",Katalog_Fiyatlayici!$B144,"")</x:f>
      </x:c>
      <x:c r="I144" s="75" t="str">
        <x:f>IF($A144&lt;&gt;"","MakerWorld model linkine göre tahmini 3D baskı fiyatı. Gerçek üretimden önce Bambu Studio ile gramaj ve süre doğrulanır.","")</x:f>
      </x:c>
      <x:c r="J144" s="75" t="str">
        <x:f>IF($A144&lt;&gt;"",TRUE,"")</x:f>
      </x:c>
      <x:c r="K144" s="75" t="str">
        <x:f>IF($A144&lt;&gt;"",FALSE,"")</x:f>
      </x:c>
      <x:c r="L144" s="75" t="str">
        <x:f>IF($A144&lt;&gt;"","Units","")</x:f>
      </x:c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75" t="str">
        <x:f>IF(Katalog_Fiyatlayici!$AC145="Fiyat Hazır",Katalog_Fiyatlayici!$AD145,"")</x:f>
      </x:c>
      <x:c r="B145" s="75" t="str">
        <x:f>IF($A145&lt;&gt;"",Katalog_Fiyatlayici!$AF145,"")</x:f>
      </x:c>
      <x:c r="C145" s="83" t="str">
        <x:f>IF($A145&lt;&gt;"",Katalog_Fiyatlayici!$AA145,"")</x:f>
      </x:c>
      <x:c r="D145" s="83" t="str">
        <x:f>IF($A145&lt;&gt;"",Katalog_Fiyatlayici!$W145,"")</x:f>
      </x:c>
      <x:c r="E145" s="75" t="str">
        <x:f>IF($A145&lt;&gt;"","Service","")</x:f>
      </x:c>
      <x:c r="F145" s="75" t="str">
        <x:f>IF($A145&lt;&gt;"",Katalog_Fiyatlayici!$AE145,"")</x:f>
      </x:c>
      <x:c r="G145" s="75" t="str">
        <x:f>IF($A145&lt;&gt;"",Katalog_Fiyatlayici!$AD145,"")</x:f>
      </x:c>
      <x:c r="H145" s="75" t="str">
        <x:f>IF($A145&lt;&gt;"",Katalog_Fiyatlayici!$B145,"")</x:f>
      </x:c>
      <x:c r="I145" s="75" t="str">
        <x:f>IF($A145&lt;&gt;"","MakerWorld model linkine göre tahmini 3D baskı fiyatı. Gerçek üretimden önce Bambu Studio ile gramaj ve süre doğrulanır.","")</x:f>
      </x:c>
      <x:c r="J145" s="75" t="str">
        <x:f>IF($A145&lt;&gt;"",TRUE,"")</x:f>
      </x:c>
      <x:c r="K145" s="75" t="str">
        <x:f>IF($A145&lt;&gt;"",FALSE,"")</x:f>
      </x:c>
      <x:c r="L145" s="75" t="str">
        <x:f>IF($A145&lt;&gt;"","Units","")</x:f>
      </x:c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75" t="str">
        <x:f>IF(Katalog_Fiyatlayici!$AC146="Fiyat Hazır",Katalog_Fiyatlayici!$AD146,"")</x:f>
      </x:c>
      <x:c r="B146" s="75" t="str">
        <x:f>IF($A146&lt;&gt;"",Katalog_Fiyatlayici!$AF146,"")</x:f>
      </x:c>
      <x:c r="C146" s="83" t="str">
        <x:f>IF($A146&lt;&gt;"",Katalog_Fiyatlayici!$AA146,"")</x:f>
      </x:c>
      <x:c r="D146" s="83" t="str">
        <x:f>IF($A146&lt;&gt;"",Katalog_Fiyatlayici!$W146,"")</x:f>
      </x:c>
      <x:c r="E146" s="75" t="str">
        <x:f>IF($A146&lt;&gt;"","Service","")</x:f>
      </x:c>
      <x:c r="F146" s="75" t="str">
        <x:f>IF($A146&lt;&gt;"",Katalog_Fiyatlayici!$AE146,"")</x:f>
      </x:c>
      <x:c r="G146" s="75" t="str">
        <x:f>IF($A146&lt;&gt;"",Katalog_Fiyatlayici!$AD146,"")</x:f>
      </x:c>
      <x:c r="H146" s="75" t="str">
        <x:f>IF($A146&lt;&gt;"",Katalog_Fiyatlayici!$B146,"")</x:f>
      </x:c>
      <x:c r="I146" s="75" t="str">
        <x:f>IF($A146&lt;&gt;"","MakerWorld model linkine göre tahmini 3D baskı fiyatı. Gerçek üretimden önce Bambu Studio ile gramaj ve süre doğrulanır.","")</x:f>
      </x:c>
      <x:c r="J146" s="75" t="str">
        <x:f>IF($A146&lt;&gt;"",TRUE,"")</x:f>
      </x:c>
      <x:c r="K146" s="75" t="str">
        <x:f>IF($A146&lt;&gt;"",FALSE,"")</x:f>
      </x:c>
      <x:c r="L146" s="75" t="str">
        <x:f>IF($A146&lt;&gt;"","Units","")</x:f>
      </x:c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75" t="str">
        <x:f>IF(Katalog_Fiyatlayici!$AC147="Fiyat Hazır",Katalog_Fiyatlayici!$AD147,"")</x:f>
      </x:c>
      <x:c r="B147" s="75" t="str">
        <x:f>IF($A147&lt;&gt;"",Katalog_Fiyatlayici!$AF147,"")</x:f>
      </x:c>
      <x:c r="C147" s="83" t="str">
        <x:f>IF($A147&lt;&gt;"",Katalog_Fiyatlayici!$AA147,"")</x:f>
      </x:c>
      <x:c r="D147" s="83" t="str">
        <x:f>IF($A147&lt;&gt;"",Katalog_Fiyatlayici!$W147,"")</x:f>
      </x:c>
      <x:c r="E147" s="75" t="str">
        <x:f>IF($A147&lt;&gt;"","Service","")</x:f>
      </x:c>
      <x:c r="F147" s="75" t="str">
        <x:f>IF($A147&lt;&gt;"",Katalog_Fiyatlayici!$AE147,"")</x:f>
      </x:c>
      <x:c r="G147" s="75" t="str">
        <x:f>IF($A147&lt;&gt;"",Katalog_Fiyatlayici!$AD147,"")</x:f>
      </x:c>
      <x:c r="H147" s="75" t="str">
        <x:f>IF($A147&lt;&gt;"",Katalog_Fiyatlayici!$B147,"")</x:f>
      </x:c>
      <x:c r="I147" s="75" t="str">
        <x:f>IF($A147&lt;&gt;"","MakerWorld model linkine göre tahmini 3D baskı fiyatı. Gerçek üretimden önce Bambu Studio ile gramaj ve süre doğrulanır.","")</x:f>
      </x:c>
      <x:c r="J147" s="75" t="str">
        <x:f>IF($A147&lt;&gt;"",TRUE,"")</x:f>
      </x:c>
      <x:c r="K147" s="75" t="str">
        <x:f>IF($A147&lt;&gt;"",FALSE,"")</x:f>
      </x:c>
      <x:c r="L147" s="75" t="str">
        <x:f>IF($A147&lt;&gt;"","Units","")</x:f>
      </x:c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75" t="str">
        <x:f>IF(Katalog_Fiyatlayici!$AC148="Fiyat Hazır",Katalog_Fiyatlayici!$AD148,"")</x:f>
      </x:c>
      <x:c r="B148" s="75" t="str">
        <x:f>IF($A148&lt;&gt;"",Katalog_Fiyatlayici!$AF148,"")</x:f>
      </x:c>
      <x:c r="C148" s="83" t="str">
        <x:f>IF($A148&lt;&gt;"",Katalog_Fiyatlayici!$AA148,"")</x:f>
      </x:c>
      <x:c r="D148" s="83" t="str">
        <x:f>IF($A148&lt;&gt;"",Katalog_Fiyatlayici!$W148,"")</x:f>
      </x:c>
      <x:c r="E148" s="75" t="str">
        <x:f>IF($A148&lt;&gt;"","Service","")</x:f>
      </x:c>
      <x:c r="F148" s="75" t="str">
        <x:f>IF($A148&lt;&gt;"",Katalog_Fiyatlayici!$AE148,"")</x:f>
      </x:c>
      <x:c r="G148" s="75" t="str">
        <x:f>IF($A148&lt;&gt;"",Katalog_Fiyatlayici!$AD148,"")</x:f>
      </x:c>
      <x:c r="H148" s="75" t="str">
        <x:f>IF($A148&lt;&gt;"",Katalog_Fiyatlayici!$B148,"")</x:f>
      </x:c>
      <x:c r="I148" s="75" t="str">
        <x:f>IF($A148&lt;&gt;"","MakerWorld model linkine göre tahmini 3D baskı fiyatı. Gerçek üretimden önce Bambu Studio ile gramaj ve süre doğrulanır.","")</x:f>
      </x:c>
      <x:c r="J148" s="75" t="str">
        <x:f>IF($A148&lt;&gt;"",TRUE,"")</x:f>
      </x:c>
      <x:c r="K148" s="75" t="str">
        <x:f>IF($A148&lt;&gt;"",FALSE,"")</x:f>
      </x:c>
      <x:c r="L148" s="75" t="str">
        <x:f>IF($A148&lt;&gt;"","Units","")</x:f>
      </x:c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75" t="str">
        <x:f>IF(Katalog_Fiyatlayici!$AC149="Fiyat Hazır",Katalog_Fiyatlayici!$AD149,"")</x:f>
      </x:c>
      <x:c r="B149" s="75" t="str">
        <x:f>IF($A149&lt;&gt;"",Katalog_Fiyatlayici!$AF149,"")</x:f>
      </x:c>
      <x:c r="C149" s="83" t="str">
        <x:f>IF($A149&lt;&gt;"",Katalog_Fiyatlayici!$AA149,"")</x:f>
      </x:c>
      <x:c r="D149" s="83" t="str">
        <x:f>IF($A149&lt;&gt;"",Katalog_Fiyatlayici!$W149,"")</x:f>
      </x:c>
      <x:c r="E149" s="75" t="str">
        <x:f>IF($A149&lt;&gt;"","Service","")</x:f>
      </x:c>
      <x:c r="F149" s="75" t="str">
        <x:f>IF($A149&lt;&gt;"",Katalog_Fiyatlayici!$AE149,"")</x:f>
      </x:c>
      <x:c r="G149" s="75" t="str">
        <x:f>IF($A149&lt;&gt;"",Katalog_Fiyatlayici!$AD149,"")</x:f>
      </x:c>
      <x:c r="H149" s="75" t="str">
        <x:f>IF($A149&lt;&gt;"",Katalog_Fiyatlayici!$B149,"")</x:f>
      </x:c>
      <x:c r="I149" s="75" t="str">
        <x:f>IF($A149&lt;&gt;"","MakerWorld model linkine göre tahmini 3D baskı fiyatı. Gerçek üretimden önce Bambu Studio ile gramaj ve süre doğrulanır.","")</x:f>
      </x:c>
      <x:c r="J149" s="75" t="str">
        <x:f>IF($A149&lt;&gt;"",TRUE,"")</x:f>
      </x:c>
      <x:c r="K149" s="75" t="str">
        <x:f>IF($A149&lt;&gt;"",FALSE,"")</x:f>
      </x:c>
      <x:c r="L149" s="75" t="str">
        <x:f>IF($A149&lt;&gt;"","Units","")</x:f>
      </x:c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75" t="str">
        <x:f>IF(Katalog_Fiyatlayici!$AC150="Fiyat Hazır",Katalog_Fiyatlayici!$AD150,"")</x:f>
      </x:c>
      <x:c r="B150" s="75" t="str">
        <x:f>IF($A150&lt;&gt;"",Katalog_Fiyatlayici!$AF150,"")</x:f>
      </x:c>
      <x:c r="C150" s="83" t="str">
        <x:f>IF($A150&lt;&gt;"",Katalog_Fiyatlayici!$AA150,"")</x:f>
      </x:c>
      <x:c r="D150" s="83" t="str">
        <x:f>IF($A150&lt;&gt;"",Katalog_Fiyatlayici!$W150,"")</x:f>
      </x:c>
      <x:c r="E150" s="75" t="str">
        <x:f>IF($A150&lt;&gt;"","Service","")</x:f>
      </x:c>
      <x:c r="F150" s="75" t="str">
        <x:f>IF($A150&lt;&gt;"",Katalog_Fiyatlayici!$AE150,"")</x:f>
      </x:c>
      <x:c r="G150" s="75" t="str">
        <x:f>IF($A150&lt;&gt;"",Katalog_Fiyatlayici!$AD150,"")</x:f>
      </x:c>
      <x:c r="H150" s="75" t="str">
        <x:f>IF($A150&lt;&gt;"",Katalog_Fiyatlayici!$B150,"")</x:f>
      </x:c>
      <x:c r="I150" s="75" t="str">
        <x:f>IF($A150&lt;&gt;"","MakerWorld model linkine göre tahmini 3D baskı fiyatı. Gerçek üretimden önce Bambu Studio ile gramaj ve süre doğrulanır.","")</x:f>
      </x:c>
      <x:c r="J150" s="75" t="str">
        <x:f>IF($A150&lt;&gt;"",TRUE,"")</x:f>
      </x:c>
      <x:c r="K150" s="75" t="str">
        <x:f>IF($A150&lt;&gt;"",FALSE,"")</x:f>
      </x:c>
      <x:c r="L150" s="75" t="str">
        <x:f>IF($A150&lt;&gt;"","Units","")</x:f>
      </x:c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75" t="str">
        <x:f>IF(Katalog_Fiyatlayici!$AC151="Fiyat Hazır",Katalog_Fiyatlayici!$AD151,"")</x:f>
      </x:c>
      <x:c r="B151" s="75" t="str">
        <x:f>IF($A151&lt;&gt;"",Katalog_Fiyatlayici!$AF151,"")</x:f>
      </x:c>
      <x:c r="C151" s="83" t="str">
        <x:f>IF($A151&lt;&gt;"",Katalog_Fiyatlayici!$AA151,"")</x:f>
      </x:c>
      <x:c r="D151" s="83" t="str">
        <x:f>IF($A151&lt;&gt;"",Katalog_Fiyatlayici!$W151,"")</x:f>
      </x:c>
      <x:c r="E151" s="75" t="str">
        <x:f>IF($A151&lt;&gt;"","Service","")</x:f>
      </x:c>
      <x:c r="F151" s="75" t="str">
        <x:f>IF($A151&lt;&gt;"",Katalog_Fiyatlayici!$AE151,"")</x:f>
      </x:c>
      <x:c r="G151" s="75" t="str">
        <x:f>IF($A151&lt;&gt;"",Katalog_Fiyatlayici!$AD151,"")</x:f>
      </x:c>
      <x:c r="H151" s="75" t="str">
        <x:f>IF($A151&lt;&gt;"",Katalog_Fiyatlayici!$B151,"")</x:f>
      </x:c>
      <x:c r="I151" s="75" t="str">
        <x:f>IF($A151&lt;&gt;"","MakerWorld model linkine göre tahmini 3D baskı fiyatı. Gerçek üretimden önce Bambu Studio ile gramaj ve süre doğrulanır.","")</x:f>
      </x:c>
      <x:c r="J151" s="75" t="str">
        <x:f>IF($A151&lt;&gt;"",TRUE,"")</x:f>
      </x:c>
      <x:c r="K151" s="75" t="str">
        <x:f>IF($A151&lt;&gt;"",FALSE,"")</x:f>
      </x:c>
      <x:c r="L151" s="75" t="str">
        <x:f>IF($A151&lt;&gt;"","Units","")</x:f>
      </x:c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75" t="str">
        <x:f>IF(Katalog_Fiyatlayici!$AC152="Fiyat Hazır",Katalog_Fiyatlayici!$AD152,"")</x:f>
      </x:c>
      <x:c r="B152" s="75" t="str">
        <x:f>IF($A152&lt;&gt;"",Katalog_Fiyatlayici!$AF152,"")</x:f>
      </x:c>
      <x:c r="C152" s="83" t="str">
        <x:f>IF($A152&lt;&gt;"",Katalog_Fiyatlayici!$AA152,"")</x:f>
      </x:c>
      <x:c r="D152" s="83" t="str">
        <x:f>IF($A152&lt;&gt;"",Katalog_Fiyatlayici!$W152,"")</x:f>
      </x:c>
      <x:c r="E152" s="75" t="str">
        <x:f>IF($A152&lt;&gt;"","Service","")</x:f>
      </x:c>
      <x:c r="F152" s="75" t="str">
        <x:f>IF($A152&lt;&gt;"",Katalog_Fiyatlayici!$AE152,"")</x:f>
      </x:c>
      <x:c r="G152" s="75" t="str">
        <x:f>IF($A152&lt;&gt;"",Katalog_Fiyatlayici!$AD152,"")</x:f>
      </x:c>
      <x:c r="H152" s="75" t="str">
        <x:f>IF($A152&lt;&gt;"",Katalog_Fiyatlayici!$B152,"")</x:f>
      </x:c>
      <x:c r="I152" s="75" t="str">
        <x:f>IF($A152&lt;&gt;"","MakerWorld model linkine göre tahmini 3D baskı fiyatı. Gerçek üretimden önce Bambu Studio ile gramaj ve süre doğrulanır.","")</x:f>
      </x:c>
      <x:c r="J152" s="75" t="str">
        <x:f>IF($A152&lt;&gt;"",TRUE,"")</x:f>
      </x:c>
      <x:c r="K152" s="75" t="str">
        <x:f>IF($A152&lt;&gt;"",FALSE,"")</x:f>
      </x:c>
      <x:c r="L152" s="75" t="str">
        <x:f>IF($A152&lt;&gt;"","Units","")</x:f>
      </x:c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75" t="str">
        <x:f>IF(Katalog_Fiyatlayici!$AC153="Fiyat Hazır",Katalog_Fiyatlayici!$AD153,"")</x:f>
      </x:c>
      <x:c r="B153" s="75" t="str">
        <x:f>IF($A153&lt;&gt;"",Katalog_Fiyatlayici!$AF153,"")</x:f>
      </x:c>
      <x:c r="C153" s="83" t="str">
        <x:f>IF($A153&lt;&gt;"",Katalog_Fiyatlayici!$AA153,"")</x:f>
      </x:c>
      <x:c r="D153" s="83" t="str">
        <x:f>IF($A153&lt;&gt;"",Katalog_Fiyatlayici!$W153,"")</x:f>
      </x:c>
      <x:c r="E153" s="75" t="str">
        <x:f>IF($A153&lt;&gt;"","Service","")</x:f>
      </x:c>
      <x:c r="F153" s="75" t="str">
        <x:f>IF($A153&lt;&gt;"",Katalog_Fiyatlayici!$AE153,"")</x:f>
      </x:c>
      <x:c r="G153" s="75" t="str">
        <x:f>IF($A153&lt;&gt;"",Katalog_Fiyatlayici!$AD153,"")</x:f>
      </x:c>
      <x:c r="H153" s="75" t="str">
        <x:f>IF($A153&lt;&gt;"",Katalog_Fiyatlayici!$B153,"")</x:f>
      </x:c>
      <x:c r="I153" s="75" t="str">
        <x:f>IF($A153&lt;&gt;"","MakerWorld model linkine göre tahmini 3D baskı fiyatı. Gerçek üretimden önce Bambu Studio ile gramaj ve süre doğrulanır.","")</x:f>
      </x:c>
      <x:c r="J153" s="75" t="str">
        <x:f>IF($A153&lt;&gt;"",TRUE,"")</x:f>
      </x:c>
      <x:c r="K153" s="75" t="str">
        <x:f>IF($A153&lt;&gt;"",FALSE,"")</x:f>
      </x:c>
      <x:c r="L153" s="75" t="str">
        <x:f>IF($A153&lt;&gt;"","Units","")</x:f>
      </x:c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75" t="str">
        <x:f>IF(Katalog_Fiyatlayici!$AC154="Fiyat Hazır",Katalog_Fiyatlayici!$AD154,"")</x:f>
      </x:c>
      <x:c r="B154" s="75" t="str">
        <x:f>IF($A154&lt;&gt;"",Katalog_Fiyatlayici!$AF154,"")</x:f>
      </x:c>
      <x:c r="C154" s="83" t="str">
        <x:f>IF($A154&lt;&gt;"",Katalog_Fiyatlayici!$AA154,"")</x:f>
      </x:c>
      <x:c r="D154" s="83" t="str">
        <x:f>IF($A154&lt;&gt;"",Katalog_Fiyatlayici!$W154,"")</x:f>
      </x:c>
      <x:c r="E154" s="75" t="str">
        <x:f>IF($A154&lt;&gt;"","Service","")</x:f>
      </x:c>
      <x:c r="F154" s="75" t="str">
        <x:f>IF($A154&lt;&gt;"",Katalog_Fiyatlayici!$AE154,"")</x:f>
      </x:c>
      <x:c r="G154" s="75" t="str">
        <x:f>IF($A154&lt;&gt;"",Katalog_Fiyatlayici!$AD154,"")</x:f>
      </x:c>
      <x:c r="H154" s="75" t="str">
        <x:f>IF($A154&lt;&gt;"",Katalog_Fiyatlayici!$B154,"")</x:f>
      </x:c>
      <x:c r="I154" s="75" t="str">
        <x:f>IF($A154&lt;&gt;"","MakerWorld model linkine göre tahmini 3D baskı fiyatı. Gerçek üretimden önce Bambu Studio ile gramaj ve süre doğrulanır.","")</x:f>
      </x:c>
      <x:c r="J154" s="75" t="str">
        <x:f>IF($A154&lt;&gt;"",TRUE,"")</x:f>
      </x:c>
      <x:c r="K154" s="75" t="str">
        <x:f>IF($A154&lt;&gt;"",FALSE,"")</x:f>
      </x:c>
      <x:c r="L154" s="75" t="str">
        <x:f>IF($A154&lt;&gt;"","Units","")</x:f>
      </x:c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75" t="str">
        <x:f>IF(Katalog_Fiyatlayici!$AC155="Fiyat Hazır",Katalog_Fiyatlayici!$AD155,"")</x:f>
      </x:c>
      <x:c r="B155" s="75" t="str">
        <x:f>IF($A155&lt;&gt;"",Katalog_Fiyatlayici!$AF155,"")</x:f>
      </x:c>
      <x:c r="C155" s="83" t="str">
        <x:f>IF($A155&lt;&gt;"",Katalog_Fiyatlayici!$AA155,"")</x:f>
      </x:c>
      <x:c r="D155" s="83" t="str">
        <x:f>IF($A155&lt;&gt;"",Katalog_Fiyatlayici!$W155,"")</x:f>
      </x:c>
      <x:c r="E155" s="75" t="str">
        <x:f>IF($A155&lt;&gt;"","Service","")</x:f>
      </x:c>
      <x:c r="F155" s="75" t="str">
        <x:f>IF($A155&lt;&gt;"",Katalog_Fiyatlayici!$AE155,"")</x:f>
      </x:c>
      <x:c r="G155" s="75" t="str">
        <x:f>IF($A155&lt;&gt;"",Katalog_Fiyatlayici!$AD155,"")</x:f>
      </x:c>
      <x:c r="H155" s="75" t="str">
        <x:f>IF($A155&lt;&gt;"",Katalog_Fiyatlayici!$B155,"")</x:f>
      </x:c>
      <x:c r="I155" s="75" t="str">
        <x:f>IF($A155&lt;&gt;"","MakerWorld model linkine göre tahmini 3D baskı fiyatı. Gerçek üretimden önce Bambu Studio ile gramaj ve süre doğrulanır.","")</x:f>
      </x:c>
      <x:c r="J155" s="75" t="str">
        <x:f>IF($A155&lt;&gt;"",TRUE,"")</x:f>
      </x:c>
      <x:c r="K155" s="75" t="str">
        <x:f>IF($A155&lt;&gt;"",FALSE,"")</x:f>
      </x:c>
      <x:c r="L155" s="75" t="str">
        <x:f>IF($A155&lt;&gt;"","Units","")</x:f>
      </x:c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75" t="str">
        <x:f>IF(Katalog_Fiyatlayici!$AC156="Fiyat Hazır",Katalog_Fiyatlayici!$AD156,"")</x:f>
      </x:c>
      <x:c r="B156" s="75" t="str">
        <x:f>IF($A156&lt;&gt;"",Katalog_Fiyatlayici!$AF156,"")</x:f>
      </x:c>
      <x:c r="C156" s="83" t="str">
        <x:f>IF($A156&lt;&gt;"",Katalog_Fiyatlayici!$AA156,"")</x:f>
      </x:c>
      <x:c r="D156" s="83" t="str">
        <x:f>IF($A156&lt;&gt;"",Katalog_Fiyatlayici!$W156,"")</x:f>
      </x:c>
      <x:c r="E156" s="75" t="str">
        <x:f>IF($A156&lt;&gt;"","Service","")</x:f>
      </x:c>
      <x:c r="F156" s="75" t="str">
        <x:f>IF($A156&lt;&gt;"",Katalog_Fiyatlayici!$AE156,"")</x:f>
      </x:c>
      <x:c r="G156" s="75" t="str">
        <x:f>IF($A156&lt;&gt;"",Katalog_Fiyatlayici!$AD156,"")</x:f>
      </x:c>
      <x:c r="H156" s="75" t="str">
        <x:f>IF($A156&lt;&gt;"",Katalog_Fiyatlayici!$B156,"")</x:f>
      </x:c>
      <x:c r="I156" s="75" t="str">
        <x:f>IF($A156&lt;&gt;"","MakerWorld model linkine göre tahmini 3D baskı fiyatı. Gerçek üretimden önce Bambu Studio ile gramaj ve süre doğrulanır.","")</x:f>
      </x:c>
      <x:c r="J156" s="75" t="str">
        <x:f>IF($A156&lt;&gt;"",TRUE,"")</x:f>
      </x:c>
      <x:c r="K156" s="75" t="str">
        <x:f>IF($A156&lt;&gt;"",FALSE,"")</x:f>
      </x:c>
      <x:c r="L156" s="75" t="str">
        <x:f>IF($A156&lt;&gt;"","Units","")</x:f>
      </x:c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75" t="str">
        <x:f>IF(Katalog_Fiyatlayici!$AC157="Fiyat Hazır",Katalog_Fiyatlayici!$AD157,"")</x:f>
      </x:c>
      <x:c r="B157" s="75" t="str">
        <x:f>IF($A157&lt;&gt;"",Katalog_Fiyatlayici!$AF157,"")</x:f>
      </x:c>
      <x:c r="C157" s="83" t="str">
        <x:f>IF($A157&lt;&gt;"",Katalog_Fiyatlayici!$AA157,"")</x:f>
      </x:c>
      <x:c r="D157" s="83" t="str">
        <x:f>IF($A157&lt;&gt;"",Katalog_Fiyatlayici!$W157,"")</x:f>
      </x:c>
      <x:c r="E157" s="75" t="str">
        <x:f>IF($A157&lt;&gt;"","Service","")</x:f>
      </x:c>
      <x:c r="F157" s="75" t="str">
        <x:f>IF($A157&lt;&gt;"",Katalog_Fiyatlayici!$AE157,"")</x:f>
      </x:c>
      <x:c r="G157" s="75" t="str">
        <x:f>IF($A157&lt;&gt;"",Katalog_Fiyatlayici!$AD157,"")</x:f>
      </x:c>
      <x:c r="H157" s="75" t="str">
        <x:f>IF($A157&lt;&gt;"",Katalog_Fiyatlayici!$B157,"")</x:f>
      </x:c>
      <x:c r="I157" s="75" t="str">
        <x:f>IF($A157&lt;&gt;"","MakerWorld model linkine göre tahmini 3D baskı fiyatı. Gerçek üretimden önce Bambu Studio ile gramaj ve süre doğrulanır.","")</x:f>
      </x:c>
      <x:c r="J157" s="75" t="str">
        <x:f>IF($A157&lt;&gt;"",TRUE,"")</x:f>
      </x:c>
      <x:c r="K157" s="75" t="str">
        <x:f>IF($A157&lt;&gt;"",FALSE,"")</x:f>
      </x:c>
      <x:c r="L157" s="75" t="str">
        <x:f>IF($A157&lt;&gt;"","Units","")</x:f>
      </x:c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75" t="str">
        <x:f>IF(Katalog_Fiyatlayici!$AC158="Fiyat Hazır",Katalog_Fiyatlayici!$AD158,"")</x:f>
      </x:c>
      <x:c r="B158" s="75" t="str">
        <x:f>IF($A158&lt;&gt;"",Katalog_Fiyatlayici!$AF158,"")</x:f>
      </x:c>
      <x:c r="C158" s="83" t="str">
        <x:f>IF($A158&lt;&gt;"",Katalog_Fiyatlayici!$AA158,"")</x:f>
      </x:c>
      <x:c r="D158" s="83" t="str">
        <x:f>IF($A158&lt;&gt;"",Katalog_Fiyatlayici!$W158,"")</x:f>
      </x:c>
      <x:c r="E158" s="75" t="str">
        <x:f>IF($A158&lt;&gt;"","Service","")</x:f>
      </x:c>
      <x:c r="F158" s="75" t="str">
        <x:f>IF($A158&lt;&gt;"",Katalog_Fiyatlayici!$AE158,"")</x:f>
      </x:c>
      <x:c r="G158" s="75" t="str">
        <x:f>IF($A158&lt;&gt;"",Katalog_Fiyatlayici!$AD158,"")</x:f>
      </x:c>
      <x:c r="H158" s="75" t="str">
        <x:f>IF($A158&lt;&gt;"",Katalog_Fiyatlayici!$B158,"")</x:f>
      </x:c>
      <x:c r="I158" s="75" t="str">
        <x:f>IF($A158&lt;&gt;"","MakerWorld model linkine göre tahmini 3D baskı fiyatı. Gerçek üretimden önce Bambu Studio ile gramaj ve süre doğrulanır.","")</x:f>
      </x:c>
      <x:c r="J158" s="75" t="str">
        <x:f>IF($A158&lt;&gt;"",TRUE,"")</x:f>
      </x:c>
      <x:c r="K158" s="75" t="str">
        <x:f>IF($A158&lt;&gt;"",FALSE,"")</x:f>
      </x:c>
      <x:c r="L158" s="75" t="str">
        <x:f>IF($A158&lt;&gt;"","Units","")</x:f>
      </x:c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75" t="str">
        <x:f>IF(Katalog_Fiyatlayici!$AC159="Fiyat Hazır",Katalog_Fiyatlayici!$AD159,"")</x:f>
      </x:c>
      <x:c r="B159" s="75" t="str">
        <x:f>IF($A159&lt;&gt;"",Katalog_Fiyatlayici!$AF159,"")</x:f>
      </x:c>
      <x:c r="C159" s="83" t="str">
        <x:f>IF($A159&lt;&gt;"",Katalog_Fiyatlayici!$AA159,"")</x:f>
      </x:c>
      <x:c r="D159" s="83" t="str">
        <x:f>IF($A159&lt;&gt;"",Katalog_Fiyatlayici!$W159,"")</x:f>
      </x:c>
      <x:c r="E159" s="75" t="str">
        <x:f>IF($A159&lt;&gt;"","Service","")</x:f>
      </x:c>
      <x:c r="F159" s="75" t="str">
        <x:f>IF($A159&lt;&gt;"",Katalog_Fiyatlayici!$AE159,"")</x:f>
      </x:c>
      <x:c r="G159" s="75" t="str">
        <x:f>IF($A159&lt;&gt;"",Katalog_Fiyatlayici!$AD159,"")</x:f>
      </x:c>
      <x:c r="H159" s="75" t="str">
        <x:f>IF($A159&lt;&gt;"",Katalog_Fiyatlayici!$B159,"")</x:f>
      </x:c>
      <x:c r="I159" s="75" t="str">
        <x:f>IF($A159&lt;&gt;"","MakerWorld model linkine göre tahmini 3D baskı fiyatı. Gerçek üretimden önce Bambu Studio ile gramaj ve süre doğrulanır.","")</x:f>
      </x:c>
      <x:c r="J159" s="75" t="str">
        <x:f>IF($A159&lt;&gt;"",TRUE,"")</x:f>
      </x:c>
      <x:c r="K159" s="75" t="str">
        <x:f>IF($A159&lt;&gt;"",FALSE,"")</x:f>
      </x:c>
      <x:c r="L159" s="75" t="str">
        <x:f>IF($A159&lt;&gt;"","Units","")</x:f>
      </x:c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75" t="str">
        <x:f>IF(Katalog_Fiyatlayici!$AC160="Fiyat Hazır",Katalog_Fiyatlayici!$AD160,"")</x:f>
      </x:c>
      <x:c r="B160" s="75" t="str">
        <x:f>IF($A160&lt;&gt;"",Katalog_Fiyatlayici!$AF160,"")</x:f>
      </x:c>
      <x:c r="C160" s="83" t="str">
        <x:f>IF($A160&lt;&gt;"",Katalog_Fiyatlayici!$AA160,"")</x:f>
      </x:c>
      <x:c r="D160" s="83" t="str">
        <x:f>IF($A160&lt;&gt;"",Katalog_Fiyatlayici!$W160,"")</x:f>
      </x:c>
      <x:c r="E160" s="75" t="str">
        <x:f>IF($A160&lt;&gt;"","Service","")</x:f>
      </x:c>
      <x:c r="F160" s="75" t="str">
        <x:f>IF($A160&lt;&gt;"",Katalog_Fiyatlayici!$AE160,"")</x:f>
      </x:c>
      <x:c r="G160" s="75" t="str">
        <x:f>IF($A160&lt;&gt;"",Katalog_Fiyatlayici!$AD160,"")</x:f>
      </x:c>
      <x:c r="H160" s="75" t="str">
        <x:f>IF($A160&lt;&gt;"",Katalog_Fiyatlayici!$B160,"")</x:f>
      </x:c>
      <x:c r="I160" s="75" t="str">
        <x:f>IF($A160&lt;&gt;"","MakerWorld model linkine göre tahmini 3D baskı fiyatı. Gerçek üretimden önce Bambu Studio ile gramaj ve süre doğrulanır.","")</x:f>
      </x:c>
      <x:c r="J160" s="75" t="str">
        <x:f>IF($A160&lt;&gt;"",TRUE,"")</x:f>
      </x:c>
      <x:c r="K160" s="75" t="str">
        <x:f>IF($A160&lt;&gt;"",FALSE,"")</x:f>
      </x:c>
      <x:c r="L160" s="75" t="str">
        <x:f>IF($A160&lt;&gt;"","Units","")</x:f>
      </x:c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75" t="str">
        <x:f>IF(Katalog_Fiyatlayici!$AC161="Fiyat Hazır",Katalog_Fiyatlayici!$AD161,"")</x:f>
      </x:c>
      <x:c r="B161" s="75" t="str">
        <x:f>IF($A161&lt;&gt;"",Katalog_Fiyatlayici!$AF161,"")</x:f>
      </x:c>
      <x:c r="C161" s="83" t="str">
        <x:f>IF($A161&lt;&gt;"",Katalog_Fiyatlayici!$AA161,"")</x:f>
      </x:c>
      <x:c r="D161" s="83" t="str">
        <x:f>IF($A161&lt;&gt;"",Katalog_Fiyatlayici!$W161,"")</x:f>
      </x:c>
      <x:c r="E161" s="75" t="str">
        <x:f>IF($A161&lt;&gt;"","Service","")</x:f>
      </x:c>
      <x:c r="F161" s="75" t="str">
        <x:f>IF($A161&lt;&gt;"",Katalog_Fiyatlayici!$AE161,"")</x:f>
      </x:c>
      <x:c r="G161" s="75" t="str">
        <x:f>IF($A161&lt;&gt;"",Katalog_Fiyatlayici!$AD161,"")</x:f>
      </x:c>
      <x:c r="H161" s="75" t="str">
        <x:f>IF($A161&lt;&gt;"",Katalog_Fiyatlayici!$B161,"")</x:f>
      </x:c>
      <x:c r="I161" s="75" t="str">
        <x:f>IF($A161&lt;&gt;"","MakerWorld model linkine göre tahmini 3D baskı fiyatı. Gerçek üretimden önce Bambu Studio ile gramaj ve süre doğrulanır.","")</x:f>
      </x:c>
      <x:c r="J161" s="75" t="str">
        <x:f>IF($A161&lt;&gt;"",TRUE,"")</x:f>
      </x:c>
      <x:c r="K161" s="75" t="str">
        <x:f>IF($A161&lt;&gt;"",FALSE,"")</x:f>
      </x:c>
      <x:c r="L161" s="75" t="str">
        <x:f>IF($A161&lt;&gt;"","Units","")</x:f>
      </x:c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75" t="str">
        <x:f>IF(Katalog_Fiyatlayici!$AC162="Fiyat Hazır",Katalog_Fiyatlayici!$AD162,"")</x:f>
      </x:c>
      <x:c r="B162" s="75" t="str">
        <x:f>IF($A162&lt;&gt;"",Katalog_Fiyatlayici!$AF162,"")</x:f>
      </x:c>
      <x:c r="C162" s="83" t="str">
        <x:f>IF($A162&lt;&gt;"",Katalog_Fiyatlayici!$AA162,"")</x:f>
      </x:c>
      <x:c r="D162" s="83" t="str">
        <x:f>IF($A162&lt;&gt;"",Katalog_Fiyatlayici!$W162,"")</x:f>
      </x:c>
      <x:c r="E162" s="75" t="str">
        <x:f>IF($A162&lt;&gt;"","Service","")</x:f>
      </x:c>
      <x:c r="F162" s="75" t="str">
        <x:f>IF($A162&lt;&gt;"",Katalog_Fiyatlayici!$AE162,"")</x:f>
      </x:c>
      <x:c r="G162" s="75" t="str">
        <x:f>IF($A162&lt;&gt;"",Katalog_Fiyatlayici!$AD162,"")</x:f>
      </x:c>
      <x:c r="H162" s="75" t="str">
        <x:f>IF($A162&lt;&gt;"",Katalog_Fiyatlayici!$B162,"")</x:f>
      </x:c>
      <x:c r="I162" s="75" t="str">
        <x:f>IF($A162&lt;&gt;"","MakerWorld model linkine göre tahmini 3D baskı fiyatı. Gerçek üretimden önce Bambu Studio ile gramaj ve süre doğrulanır.","")</x:f>
      </x:c>
      <x:c r="J162" s="75" t="str">
        <x:f>IF($A162&lt;&gt;"",TRUE,"")</x:f>
      </x:c>
      <x:c r="K162" s="75" t="str">
        <x:f>IF($A162&lt;&gt;"",FALSE,"")</x:f>
      </x:c>
      <x:c r="L162" s="75" t="str">
        <x:f>IF($A162&lt;&gt;"","Units","")</x:f>
      </x:c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75" t="str">
        <x:f>IF(Katalog_Fiyatlayici!$AC163="Fiyat Hazır",Katalog_Fiyatlayici!$AD163,"")</x:f>
      </x:c>
      <x:c r="B163" s="75" t="str">
        <x:f>IF($A163&lt;&gt;"",Katalog_Fiyatlayici!$AF163,"")</x:f>
      </x:c>
      <x:c r="C163" s="83" t="str">
        <x:f>IF($A163&lt;&gt;"",Katalog_Fiyatlayici!$AA163,"")</x:f>
      </x:c>
      <x:c r="D163" s="83" t="str">
        <x:f>IF($A163&lt;&gt;"",Katalog_Fiyatlayici!$W163,"")</x:f>
      </x:c>
      <x:c r="E163" s="75" t="str">
        <x:f>IF($A163&lt;&gt;"","Service","")</x:f>
      </x:c>
      <x:c r="F163" s="75" t="str">
        <x:f>IF($A163&lt;&gt;"",Katalog_Fiyatlayici!$AE163,"")</x:f>
      </x:c>
      <x:c r="G163" s="75" t="str">
        <x:f>IF($A163&lt;&gt;"",Katalog_Fiyatlayici!$AD163,"")</x:f>
      </x:c>
      <x:c r="H163" s="75" t="str">
        <x:f>IF($A163&lt;&gt;"",Katalog_Fiyatlayici!$B163,"")</x:f>
      </x:c>
      <x:c r="I163" s="75" t="str">
        <x:f>IF($A163&lt;&gt;"","MakerWorld model linkine göre tahmini 3D baskı fiyatı. Gerçek üretimden önce Bambu Studio ile gramaj ve süre doğrulanır.","")</x:f>
      </x:c>
      <x:c r="J163" s="75" t="str">
        <x:f>IF($A163&lt;&gt;"",TRUE,"")</x:f>
      </x:c>
      <x:c r="K163" s="75" t="str">
        <x:f>IF($A163&lt;&gt;"",FALSE,"")</x:f>
      </x:c>
      <x:c r="L163" s="75" t="str">
        <x:f>IF($A163&lt;&gt;"","Units","")</x:f>
      </x:c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75" t="str">
        <x:f>IF(Katalog_Fiyatlayici!$AC164="Fiyat Hazır",Katalog_Fiyatlayici!$AD164,"")</x:f>
      </x:c>
      <x:c r="B164" s="75" t="str">
        <x:f>IF($A164&lt;&gt;"",Katalog_Fiyatlayici!$AF164,"")</x:f>
      </x:c>
      <x:c r="C164" s="83" t="str">
        <x:f>IF($A164&lt;&gt;"",Katalog_Fiyatlayici!$AA164,"")</x:f>
      </x:c>
      <x:c r="D164" s="83" t="str">
        <x:f>IF($A164&lt;&gt;"",Katalog_Fiyatlayici!$W164,"")</x:f>
      </x:c>
      <x:c r="E164" s="75" t="str">
        <x:f>IF($A164&lt;&gt;"","Service","")</x:f>
      </x:c>
      <x:c r="F164" s="75" t="str">
        <x:f>IF($A164&lt;&gt;"",Katalog_Fiyatlayici!$AE164,"")</x:f>
      </x:c>
      <x:c r="G164" s="75" t="str">
        <x:f>IF($A164&lt;&gt;"",Katalog_Fiyatlayici!$AD164,"")</x:f>
      </x:c>
      <x:c r="H164" s="75" t="str">
        <x:f>IF($A164&lt;&gt;"",Katalog_Fiyatlayici!$B164,"")</x:f>
      </x:c>
      <x:c r="I164" s="75" t="str">
        <x:f>IF($A164&lt;&gt;"","MakerWorld model linkine göre tahmini 3D baskı fiyatı. Gerçek üretimden önce Bambu Studio ile gramaj ve süre doğrulanır.","")</x:f>
      </x:c>
      <x:c r="J164" s="75" t="str">
        <x:f>IF($A164&lt;&gt;"",TRUE,"")</x:f>
      </x:c>
      <x:c r="K164" s="75" t="str">
        <x:f>IF($A164&lt;&gt;"",FALSE,"")</x:f>
      </x:c>
      <x:c r="L164" s="75" t="str">
        <x:f>IF($A164&lt;&gt;"","Units","")</x:f>
      </x:c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75" t="str">
        <x:f>IF(Katalog_Fiyatlayici!$AC165="Fiyat Hazır",Katalog_Fiyatlayici!$AD165,"")</x:f>
      </x:c>
      <x:c r="B165" s="75" t="str">
        <x:f>IF($A165&lt;&gt;"",Katalog_Fiyatlayici!$AF165,"")</x:f>
      </x:c>
      <x:c r="C165" s="83" t="str">
        <x:f>IF($A165&lt;&gt;"",Katalog_Fiyatlayici!$AA165,"")</x:f>
      </x:c>
      <x:c r="D165" s="83" t="str">
        <x:f>IF($A165&lt;&gt;"",Katalog_Fiyatlayici!$W165,"")</x:f>
      </x:c>
      <x:c r="E165" s="75" t="str">
        <x:f>IF($A165&lt;&gt;"","Service","")</x:f>
      </x:c>
      <x:c r="F165" s="75" t="str">
        <x:f>IF($A165&lt;&gt;"",Katalog_Fiyatlayici!$AE165,"")</x:f>
      </x:c>
      <x:c r="G165" s="75" t="str">
        <x:f>IF($A165&lt;&gt;"",Katalog_Fiyatlayici!$AD165,"")</x:f>
      </x:c>
      <x:c r="H165" s="75" t="str">
        <x:f>IF($A165&lt;&gt;"",Katalog_Fiyatlayici!$B165,"")</x:f>
      </x:c>
      <x:c r="I165" s="75" t="str">
        <x:f>IF($A165&lt;&gt;"","MakerWorld model linkine göre tahmini 3D baskı fiyatı. Gerçek üretimden önce Bambu Studio ile gramaj ve süre doğrulanır.","")</x:f>
      </x:c>
      <x:c r="J165" s="75" t="str">
        <x:f>IF($A165&lt;&gt;"",TRUE,"")</x:f>
      </x:c>
      <x:c r="K165" s="75" t="str">
        <x:f>IF($A165&lt;&gt;"",FALSE,"")</x:f>
      </x:c>
      <x:c r="L165" s="75" t="str">
        <x:f>IF($A165&lt;&gt;"","Units","")</x:f>
      </x:c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75" t="str">
        <x:f>IF(Katalog_Fiyatlayici!$AC166="Fiyat Hazır",Katalog_Fiyatlayici!$AD166,"")</x:f>
      </x:c>
      <x:c r="B166" s="75" t="str">
        <x:f>IF($A166&lt;&gt;"",Katalog_Fiyatlayici!$AF166,"")</x:f>
      </x:c>
      <x:c r="C166" s="83" t="str">
        <x:f>IF($A166&lt;&gt;"",Katalog_Fiyatlayici!$AA166,"")</x:f>
      </x:c>
      <x:c r="D166" s="83" t="str">
        <x:f>IF($A166&lt;&gt;"",Katalog_Fiyatlayici!$W166,"")</x:f>
      </x:c>
      <x:c r="E166" s="75" t="str">
        <x:f>IF($A166&lt;&gt;"","Service","")</x:f>
      </x:c>
      <x:c r="F166" s="75" t="str">
        <x:f>IF($A166&lt;&gt;"",Katalog_Fiyatlayici!$AE166,"")</x:f>
      </x:c>
      <x:c r="G166" s="75" t="str">
        <x:f>IF($A166&lt;&gt;"",Katalog_Fiyatlayici!$AD166,"")</x:f>
      </x:c>
      <x:c r="H166" s="75" t="str">
        <x:f>IF($A166&lt;&gt;"",Katalog_Fiyatlayici!$B166,"")</x:f>
      </x:c>
      <x:c r="I166" s="75" t="str">
        <x:f>IF($A166&lt;&gt;"","MakerWorld model linkine göre tahmini 3D baskı fiyatı. Gerçek üretimden önce Bambu Studio ile gramaj ve süre doğrulanır.","")</x:f>
      </x:c>
      <x:c r="J166" s="75" t="str">
        <x:f>IF($A166&lt;&gt;"",TRUE,"")</x:f>
      </x:c>
      <x:c r="K166" s="75" t="str">
        <x:f>IF($A166&lt;&gt;"",FALSE,"")</x:f>
      </x:c>
      <x:c r="L166" s="75" t="str">
        <x:f>IF($A166&lt;&gt;"","Units","")</x:f>
      </x:c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75" t="str">
        <x:f>IF(Katalog_Fiyatlayici!$AC167="Fiyat Hazır",Katalog_Fiyatlayici!$AD167,"")</x:f>
      </x:c>
      <x:c r="B167" s="75" t="str">
        <x:f>IF($A167&lt;&gt;"",Katalog_Fiyatlayici!$AF167,"")</x:f>
      </x:c>
      <x:c r="C167" s="83" t="str">
        <x:f>IF($A167&lt;&gt;"",Katalog_Fiyatlayici!$AA167,"")</x:f>
      </x:c>
      <x:c r="D167" s="83" t="str">
        <x:f>IF($A167&lt;&gt;"",Katalog_Fiyatlayici!$W167,"")</x:f>
      </x:c>
      <x:c r="E167" s="75" t="str">
        <x:f>IF($A167&lt;&gt;"","Service","")</x:f>
      </x:c>
      <x:c r="F167" s="75" t="str">
        <x:f>IF($A167&lt;&gt;"",Katalog_Fiyatlayici!$AE167,"")</x:f>
      </x:c>
      <x:c r="G167" s="75" t="str">
        <x:f>IF($A167&lt;&gt;"",Katalog_Fiyatlayici!$AD167,"")</x:f>
      </x:c>
      <x:c r="H167" s="75" t="str">
        <x:f>IF($A167&lt;&gt;"",Katalog_Fiyatlayici!$B167,"")</x:f>
      </x:c>
      <x:c r="I167" s="75" t="str">
        <x:f>IF($A167&lt;&gt;"","MakerWorld model linkine göre tahmini 3D baskı fiyatı. Gerçek üretimden önce Bambu Studio ile gramaj ve süre doğrulanır.","")</x:f>
      </x:c>
      <x:c r="J167" s="75" t="str">
        <x:f>IF($A167&lt;&gt;"",TRUE,"")</x:f>
      </x:c>
      <x:c r="K167" s="75" t="str">
        <x:f>IF($A167&lt;&gt;"",FALSE,"")</x:f>
      </x:c>
      <x:c r="L167" s="75" t="str">
        <x:f>IF($A167&lt;&gt;"","Units","")</x:f>
      </x:c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75" t="str">
        <x:f>IF(Katalog_Fiyatlayici!$AC168="Fiyat Hazır",Katalog_Fiyatlayici!$AD168,"")</x:f>
      </x:c>
      <x:c r="B168" s="75" t="str">
        <x:f>IF($A168&lt;&gt;"",Katalog_Fiyatlayici!$AF168,"")</x:f>
      </x:c>
      <x:c r="C168" s="83" t="str">
        <x:f>IF($A168&lt;&gt;"",Katalog_Fiyatlayici!$AA168,"")</x:f>
      </x:c>
      <x:c r="D168" s="83" t="str">
        <x:f>IF($A168&lt;&gt;"",Katalog_Fiyatlayici!$W168,"")</x:f>
      </x:c>
      <x:c r="E168" s="75" t="str">
        <x:f>IF($A168&lt;&gt;"","Service","")</x:f>
      </x:c>
      <x:c r="F168" s="75" t="str">
        <x:f>IF($A168&lt;&gt;"",Katalog_Fiyatlayici!$AE168,"")</x:f>
      </x:c>
      <x:c r="G168" s="75" t="str">
        <x:f>IF($A168&lt;&gt;"",Katalog_Fiyatlayici!$AD168,"")</x:f>
      </x:c>
      <x:c r="H168" s="75" t="str">
        <x:f>IF($A168&lt;&gt;"",Katalog_Fiyatlayici!$B168,"")</x:f>
      </x:c>
      <x:c r="I168" s="75" t="str">
        <x:f>IF($A168&lt;&gt;"","MakerWorld model linkine göre tahmini 3D baskı fiyatı. Gerçek üretimden önce Bambu Studio ile gramaj ve süre doğrulanır.","")</x:f>
      </x:c>
      <x:c r="J168" s="75" t="str">
        <x:f>IF($A168&lt;&gt;"",TRUE,"")</x:f>
      </x:c>
      <x:c r="K168" s="75" t="str">
        <x:f>IF($A168&lt;&gt;"",FALSE,"")</x:f>
      </x:c>
      <x:c r="L168" s="75" t="str">
        <x:f>IF($A168&lt;&gt;"","Units","")</x:f>
      </x:c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75" t="str">
        <x:f>IF(Katalog_Fiyatlayici!$AC169="Fiyat Hazır",Katalog_Fiyatlayici!$AD169,"")</x:f>
      </x:c>
      <x:c r="B169" s="75" t="str">
        <x:f>IF($A169&lt;&gt;"",Katalog_Fiyatlayici!$AF169,"")</x:f>
      </x:c>
      <x:c r="C169" s="83" t="str">
        <x:f>IF($A169&lt;&gt;"",Katalog_Fiyatlayici!$AA169,"")</x:f>
      </x:c>
      <x:c r="D169" s="83" t="str">
        <x:f>IF($A169&lt;&gt;"",Katalog_Fiyatlayici!$W169,"")</x:f>
      </x:c>
      <x:c r="E169" s="75" t="str">
        <x:f>IF($A169&lt;&gt;"","Service","")</x:f>
      </x:c>
      <x:c r="F169" s="75" t="str">
        <x:f>IF($A169&lt;&gt;"",Katalog_Fiyatlayici!$AE169,"")</x:f>
      </x:c>
      <x:c r="G169" s="75" t="str">
        <x:f>IF($A169&lt;&gt;"",Katalog_Fiyatlayici!$AD169,"")</x:f>
      </x:c>
      <x:c r="H169" s="75" t="str">
        <x:f>IF($A169&lt;&gt;"",Katalog_Fiyatlayici!$B169,"")</x:f>
      </x:c>
      <x:c r="I169" s="75" t="str">
        <x:f>IF($A169&lt;&gt;"","MakerWorld model linkine göre tahmini 3D baskı fiyatı. Gerçek üretimden önce Bambu Studio ile gramaj ve süre doğrulanır.","")</x:f>
      </x:c>
      <x:c r="J169" s="75" t="str">
        <x:f>IF($A169&lt;&gt;"",TRUE,"")</x:f>
      </x:c>
      <x:c r="K169" s="75" t="str">
        <x:f>IF($A169&lt;&gt;"",FALSE,"")</x:f>
      </x:c>
      <x:c r="L169" s="75" t="str">
        <x:f>IF($A169&lt;&gt;"","Units","")</x:f>
      </x:c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75" t="str">
        <x:f>IF(Katalog_Fiyatlayici!$AC170="Fiyat Hazır",Katalog_Fiyatlayici!$AD170,"")</x:f>
      </x:c>
      <x:c r="B170" s="75" t="str">
        <x:f>IF($A170&lt;&gt;"",Katalog_Fiyatlayici!$AF170,"")</x:f>
      </x:c>
      <x:c r="C170" s="83" t="str">
        <x:f>IF($A170&lt;&gt;"",Katalog_Fiyatlayici!$AA170,"")</x:f>
      </x:c>
      <x:c r="D170" s="83" t="str">
        <x:f>IF($A170&lt;&gt;"",Katalog_Fiyatlayici!$W170,"")</x:f>
      </x:c>
      <x:c r="E170" s="75" t="str">
        <x:f>IF($A170&lt;&gt;"","Service","")</x:f>
      </x:c>
      <x:c r="F170" s="75" t="str">
        <x:f>IF($A170&lt;&gt;"",Katalog_Fiyatlayici!$AE170,"")</x:f>
      </x:c>
      <x:c r="G170" s="75" t="str">
        <x:f>IF($A170&lt;&gt;"",Katalog_Fiyatlayici!$AD170,"")</x:f>
      </x:c>
      <x:c r="H170" s="75" t="str">
        <x:f>IF($A170&lt;&gt;"",Katalog_Fiyatlayici!$B170,"")</x:f>
      </x:c>
      <x:c r="I170" s="75" t="str">
        <x:f>IF($A170&lt;&gt;"","MakerWorld model linkine göre tahmini 3D baskı fiyatı. Gerçek üretimden önce Bambu Studio ile gramaj ve süre doğrulanır.","")</x:f>
      </x:c>
      <x:c r="J170" s="75" t="str">
        <x:f>IF($A170&lt;&gt;"",TRUE,"")</x:f>
      </x:c>
      <x:c r="K170" s="75" t="str">
        <x:f>IF($A170&lt;&gt;"",FALSE,"")</x:f>
      </x:c>
      <x:c r="L170" s="75" t="str">
        <x:f>IF($A170&lt;&gt;"","Units","")</x:f>
      </x:c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75" t="str">
        <x:f>IF(Katalog_Fiyatlayici!$AC171="Fiyat Hazır",Katalog_Fiyatlayici!$AD171,"")</x:f>
      </x:c>
      <x:c r="B171" s="75" t="str">
        <x:f>IF($A171&lt;&gt;"",Katalog_Fiyatlayici!$AF171,"")</x:f>
      </x:c>
      <x:c r="C171" s="83" t="str">
        <x:f>IF($A171&lt;&gt;"",Katalog_Fiyatlayici!$AA171,"")</x:f>
      </x:c>
      <x:c r="D171" s="83" t="str">
        <x:f>IF($A171&lt;&gt;"",Katalog_Fiyatlayici!$W171,"")</x:f>
      </x:c>
      <x:c r="E171" s="75" t="str">
        <x:f>IF($A171&lt;&gt;"","Service","")</x:f>
      </x:c>
      <x:c r="F171" s="75" t="str">
        <x:f>IF($A171&lt;&gt;"",Katalog_Fiyatlayici!$AE171,"")</x:f>
      </x:c>
      <x:c r="G171" s="75" t="str">
        <x:f>IF($A171&lt;&gt;"",Katalog_Fiyatlayici!$AD171,"")</x:f>
      </x:c>
      <x:c r="H171" s="75" t="str">
        <x:f>IF($A171&lt;&gt;"",Katalog_Fiyatlayici!$B171,"")</x:f>
      </x:c>
      <x:c r="I171" s="75" t="str">
        <x:f>IF($A171&lt;&gt;"","MakerWorld model linkine göre tahmini 3D baskı fiyatı. Gerçek üretimden önce Bambu Studio ile gramaj ve süre doğrulanır.","")</x:f>
      </x:c>
      <x:c r="J171" s="75" t="str">
        <x:f>IF($A171&lt;&gt;"",TRUE,"")</x:f>
      </x:c>
      <x:c r="K171" s="75" t="str">
        <x:f>IF($A171&lt;&gt;"",FALSE,"")</x:f>
      </x:c>
      <x:c r="L171" s="75" t="str">
        <x:f>IF($A171&lt;&gt;"","Units","")</x:f>
      </x:c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75" t="str">
        <x:f>IF(Katalog_Fiyatlayici!$AC172="Fiyat Hazır",Katalog_Fiyatlayici!$AD172,"")</x:f>
      </x:c>
      <x:c r="B172" s="75" t="str">
        <x:f>IF($A172&lt;&gt;"",Katalog_Fiyatlayici!$AF172,"")</x:f>
      </x:c>
      <x:c r="C172" s="83" t="str">
        <x:f>IF($A172&lt;&gt;"",Katalog_Fiyatlayici!$AA172,"")</x:f>
      </x:c>
      <x:c r="D172" s="83" t="str">
        <x:f>IF($A172&lt;&gt;"",Katalog_Fiyatlayici!$W172,"")</x:f>
      </x:c>
      <x:c r="E172" s="75" t="str">
        <x:f>IF($A172&lt;&gt;"","Service","")</x:f>
      </x:c>
      <x:c r="F172" s="75" t="str">
        <x:f>IF($A172&lt;&gt;"",Katalog_Fiyatlayici!$AE172,"")</x:f>
      </x:c>
      <x:c r="G172" s="75" t="str">
        <x:f>IF($A172&lt;&gt;"",Katalog_Fiyatlayici!$AD172,"")</x:f>
      </x:c>
      <x:c r="H172" s="75" t="str">
        <x:f>IF($A172&lt;&gt;"",Katalog_Fiyatlayici!$B172,"")</x:f>
      </x:c>
      <x:c r="I172" s="75" t="str">
        <x:f>IF($A172&lt;&gt;"","MakerWorld model linkine göre tahmini 3D baskı fiyatı. Gerçek üretimden önce Bambu Studio ile gramaj ve süre doğrulanır.","")</x:f>
      </x:c>
      <x:c r="J172" s="75" t="str">
        <x:f>IF($A172&lt;&gt;"",TRUE,"")</x:f>
      </x:c>
      <x:c r="K172" s="75" t="str">
        <x:f>IF($A172&lt;&gt;"",FALSE,"")</x:f>
      </x:c>
      <x:c r="L172" s="75" t="str">
        <x:f>IF($A172&lt;&gt;"","Units","")</x:f>
      </x:c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75" t="str">
        <x:f>IF(Katalog_Fiyatlayici!$AC173="Fiyat Hazır",Katalog_Fiyatlayici!$AD173,"")</x:f>
      </x:c>
      <x:c r="B173" s="75" t="str">
        <x:f>IF($A173&lt;&gt;"",Katalog_Fiyatlayici!$AF173,"")</x:f>
      </x:c>
      <x:c r="C173" s="83" t="str">
        <x:f>IF($A173&lt;&gt;"",Katalog_Fiyatlayici!$AA173,"")</x:f>
      </x:c>
      <x:c r="D173" s="83" t="str">
        <x:f>IF($A173&lt;&gt;"",Katalog_Fiyatlayici!$W173,"")</x:f>
      </x:c>
      <x:c r="E173" s="75" t="str">
        <x:f>IF($A173&lt;&gt;"","Service","")</x:f>
      </x:c>
      <x:c r="F173" s="75" t="str">
        <x:f>IF($A173&lt;&gt;"",Katalog_Fiyatlayici!$AE173,"")</x:f>
      </x:c>
      <x:c r="G173" s="75" t="str">
        <x:f>IF($A173&lt;&gt;"",Katalog_Fiyatlayici!$AD173,"")</x:f>
      </x:c>
      <x:c r="H173" s="75" t="str">
        <x:f>IF($A173&lt;&gt;"",Katalog_Fiyatlayici!$B173,"")</x:f>
      </x:c>
      <x:c r="I173" s="75" t="str">
        <x:f>IF($A173&lt;&gt;"","MakerWorld model linkine göre tahmini 3D baskı fiyatı. Gerçek üretimden önce Bambu Studio ile gramaj ve süre doğrulanır.","")</x:f>
      </x:c>
      <x:c r="J173" s="75" t="str">
        <x:f>IF($A173&lt;&gt;"",TRUE,"")</x:f>
      </x:c>
      <x:c r="K173" s="75" t="str">
        <x:f>IF($A173&lt;&gt;"",FALSE,"")</x:f>
      </x:c>
      <x:c r="L173" s="75" t="str">
        <x:f>IF($A173&lt;&gt;"","Units","")</x:f>
      </x:c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75" t="str">
        <x:f>IF(Katalog_Fiyatlayici!$AC174="Fiyat Hazır",Katalog_Fiyatlayici!$AD174,"")</x:f>
      </x:c>
      <x:c r="B174" s="75" t="str">
        <x:f>IF($A174&lt;&gt;"",Katalog_Fiyatlayici!$AF174,"")</x:f>
      </x:c>
      <x:c r="C174" s="83" t="str">
        <x:f>IF($A174&lt;&gt;"",Katalog_Fiyatlayici!$AA174,"")</x:f>
      </x:c>
      <x:c r="D174" s="83" t="str">
        <x:f>IF($A174&lt;&gt;"",Katalog_Fiyatlayici!$W174,"")</x:f>
      </x:c>
      <x:c r="E174" s="75" t="str">
        <x:f>IF($A174&lt;&gt;"","Service","")</x:f>
      </x:c>
      <x:c r="F174" s="75" t="str">
        <x:f>IF($A174&lt;&gt;"",Katalog_Fiyatlayici!$AE174,"")</x:f>
      </x:c>
      <x:c r="G174" s="75" t="str">
        <x:f>IF($A174&lt;&gt;"",Katalog_Fiyatlayici!$AD174,"")</x:f>
      </x:c>
      <x:c r="H174" s="75" t="str">
        <x:f>IF($A174&lt;&gt;"",Katalog_Fiyatlayici!$B174,"")</x:f>
      </x:c>
      <x:c r="I174" s="75" t="str">
        <x:f>IF($A174&lt;&gt;"","MakerWorld model linkine göre tahmini 3D baskı fiyatı. Gerçek üretimden önce Bambu Studio ile gramaj ve süre doğrulanır.","")</x:f>
      </x:c>
      <x:c r="J174" s="75" t="str">
        <x:f>IF($A174&lt;&gt;"",TRUE,"")</x:f>
      </x:c>
      <x:c r="K174" s="75" t="str">
        <x:f>IF($A174&lt;&gt;"",FALSE,"")</x:f>
      </x:c>
      <x:c r="L174" s="75" t="str">
        <x:f>IF($A174&lt;&gt;"","Units","")</x:f>
      </x:c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75" t="str">
        <x:f>IF(Katalog_Fiyatlayici!$AC175="Fiyat Hazır",Katalog_Fiyatlayici!$AD175,"")</x:f>
      </x:c>
      <x:c r="B175" s="75" t="str">
        <x:f>IF($A175&lt;&gt;"",Katalog_Fiyatlayici!$AF175,"")</x:f>
      </x:c>
      <x:c r="C175" s="83" t="str">
        <x:f>IF($A175&lt;&gt;"",Katalog_Fiyatlayici!$AA175,"")</x:f>
      </x:c>
      <x:c r="D175" s="83" t="str">
        <x:f>IF($A175&lt;&gt;"",Katalog_Fiyatlayici!$W175,"")</x:f>
      </x:c>
      <x:c r="E175" s="75" t="str">
        <x:f>IF($A175&lt;&gt;"","Service","")</x:f>
      </x:c>
      <x:c r="F175" s="75" t="str">
        <x:f>IF($A175&lt;&gt;"",Katalog_Fiyatlayici!$AE175,"")</x:f>
      </x:c>
      <x:c r="G175" s="75" t="str">
        <x:f>IF($A175&lt;&gt;"",Katalog_Fiyatlayici!$AD175,"")</x:f>
      </x:c>
      <x:c r="H175" s="75" t="str">
        <x:f>IF($A175&lt;&gt;"",Katalog_Fiyatlayici!$B175,"")</x:f>
      </x:c>
      <x:c r="I175" s="75" t="str">
        <x:f>IF($A175&lt;&gt;"","MakerWorld model linkine göre tahmini 3D baskı fiyatı. Gerçek üretimden önce Bambu Studio ile gramaj ve süre doğrulanır.","")</x:f>
      </x:c>
      <x:c r="J175" s="75" t="str">
        <x:f>IF($A175&lt;&gt;"",TRUE,"")</x:f>
      </x:c>
      <x:c r="K175" s="75" t="str">
        <x:f>IF($A175&lt;&gt;"",FALSE,"")</x:f>
      </x:c>
      <x:c r="L175" s="75" t="str">
        <x:f>IF($A175&lt;&gt;"","Units","")</x:f>
      </x:c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75" t="str">
        <x:f>IF(Katalog_Fiyatlayici!$AC176="Fiyat Hazır",Katalog_Fiyatlayici!$AD176,"")</x:f>
      </x:c>
      <x:c r="B176" s="75" t="str">
        <x:f>IF($A176&lt;&gt;"",Katalog_Fiyatlayici!$AF176,"")</x:f>
      </x:c>
      <x:c r="C176" s="83" t="str">
        <x:f>IF($A176&lt;&gt;"",Katalog_Fiyatlayici!$AA176,"")</x:f>
      </x:c>
      <x:c r="D176" s="83" t="str">
        <x:f>IF($A176&lt;&gt;"",Katalog_Fiyatlayici!$W176,"")</x:f>
      </x:c>
      <x:c r="E176" s="75" t="str">
        <x:f>IF($A176&lt;&gt;"","Service","")</x:f>
      </x:c>
      <x:c r="F176" s="75" t="str">
        <x:f>IF($A176&lt;&gt;"",Katalog_Fiyatlayici!$AE176,"")</x:f>
      </x:c>
      <x:c r="G176" s="75" t="str">
        <x:f>IF($A176&lt;&gt;"",Katalog_Fiyatlayici!$AD176,"")</x:f>
      </x:c>
      <x:c r="H176" s="75" t="str">
        <x:f>IF($A176&lt;&gt;"",Katalog_Fiyatlayici!$B176,"")</x:f>
      </x:c>
      <x:c r="I176" s="75" t="str">
        <x:f>IF($A176&lt;&gt;"","MakerWorld model linkine göre tahmini 3D baskı fiyatı. Gerçek üretimden önce Bambu Studio ile gramaj ve süre doğrulanır.","")</x:f>
      </x:c>
      <x:c r="J176" s="75" t="str">
        <x:f>IF($A176&lt;&gt;"",TRUE,"")</x:f>
      </x:c>
      <x:c r="K176" s="75" t="str">
        <x:f>IF($A176&lt;&gt;"",FALSE,"")</x:f>
      </x:c>
      <x:c r="L176" s="75" t="str">
        <x:f>IF($A176&lt;&gt;"","Units","")</x:f>
      </x:c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75" t="str">
        <x:f>IF(Katalog_Fiyatlayici!$AC177="Fiyat Hazır",Katalog_Fiyatlayici!$AD177,"")</x:f>
      </x:c>
      <x:c r="B177" s="75" t="str">
        <x:f>IF($A177&lt;&gt;"",Katalog_Fiyatlayici!$AF177,"")</x:f>
      </x:c>
      <x:c r="C177" s="83" t="str">
        <x:f>IF($A177&lt;&gt;"",Katalog_Fiyatlayici!$AA177,"")</x:f>
      </x:c>
      <x:c r="D177" s="83" t="str">
        <x:f>IF($A177&lt;&gt;"",Katalog_Fiyatlayici!$W177,"")</x:f>
      </x:c>
      <x:c r="E177" s="75" t="str">
        <x:f>IF($A177&lt;&gt;"","Service","")</x:f>
      </x:c>
      <x:c r="F177" s="75" t="str">
        <x:f>IF($A177&lt;&gt;"",Katalog_Fiyatlayici!$AE177,"")</x:f>
      </x:c>
      <x:c r="G177" s="75" t="str">
        <x:f>IF($A177&lt;&gt;"",Katalog_Fiyatlayici!$AD177,"")</x:f>
      </x:c>
      <x:c r="H177" s="75" t="str">
        <x:f>IF($A177&lt;&gt;"",Katalog_Fiyatlayici!$B177,"")</x:f>
      </x:c>
      <x:c r="I177" s="75" t="str">
        <x:f>IF($A177&lt;&gt;"","MakerWorld model linkine göre tahmini 3D baskı fiyatı. Gerçek üretimden önce Bambu Studio ile gramaj ve süre doğrulanır.","")</x:f>
      </x:c>
      <x:c r="J177" s="75" t="str">
        <x:f>IF($A177&lt;&gt;"",TRUE,"")</x:f>
      </x:c>
      <x:c r="K177" s="75" t="str">
        <x:f>IF($A177&lt;&gt;"",FALSE,"")</x:f>
      </x:c>
      <x:c r="L177" s="75" t="str">
        <x:f>IF($A177&lt;&gt;"","Units","")</x:f>
      </x:c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75" t="str">
        <x:f>IF(Katalog_Fiyatlayici!$AC178="Fiyat Hazır",Katalog_Fiyatlayici!$AD178,"")</x:f>
      </x:c>
      <x:c r="B178" s="75" t="str">
        <x:f>IF($A178&lt;&gt;"",Katalog_Fiyatlayici!$AF178,"")</x:f>
      </x:c>
      <x:c r="C178" s="83" t="str">
        <x:f>IF($A178&lt;&gt;"",Katalog_Fiyatlayici!$AA178,"")</x:f>
      </x:c>
      <x:c r="D178" s="83" t="str">
        <x:f>IF($A178&lt;&gt;"",Katalog_Fiyatlayici!$W178,"")</x:f>
      </x:c>
      <x:c r="E178" s="75" t="str">
        <x:f>IF($A178&lt;&gt;"","Service","")</x:f>
      </x:c>
      <x:c r="F178" s="75" t="str">
        <x:f>IF($A178&lt;&gt;"",Katalog_Fiyatlayici!$AE178,"")</x:f>
      </x:c>
      <x:c r="G178" s="75" t="str">
        <x:f>IF($A178&lt;&gt;"",Katalog_Fiyatlayici!$AD178,"")</x:f>
      </x:c>
      <x:c r="H178" s="75" t="str">
        <x:f>IF($A178&lt;&gt;"",Katalog_Fiyatlayici!$B178,"")</x:f>
      </x:c>
      <x:c r="I178" s="75" t="str">
        <x:f>IF($A178&lt;&gt;"","MakerWorld model linkine göre tahmini 3D baskı fiyatı. Gerçek üretimden önce Bambu Studio ile gramaj ve süre doğrulanır.","")</x:f>
      </x:c>
      <x:c r="J178" s="75" t="str">
        <x:f>IF($A178&lt;&gt;"",TRUE,"")</x:f>
      </x:c>
      <x:c r="K178" s="75" t="str">
        <x:f>IF($A178&lt;&gt;"",FALSE,"")</x:f>
      </x:c>
      <x:c r="L178" s="75" t="str">
        <x:f>IF($A178&lt;&gt;"","Units","")</x:f>
      </x:c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75" t="str">
        <x:f>IF(Katalog_Fiyatlayici!$AC179="Fiyat Hazır",Katalog_Fiyatlayici!$AD179,"")</x:f>
      </x:c>
      <x:c r="B179" s="75" t="str">
        <x:f>IF($A179&lt;&gt;"",Katalog_Fiyatlayici!$AF179,"")</x:f>
      </x:c>
      <x:c r="C179" s="83" t="str">
        <x:f>IF($A179&lt;&gt;"",Katalog_Fiyatlayici!$AA179,"")</x:f>
      </x:c>
      <x:c r="D179" s="83" t="str">
        <x:f>IF($A179&lt;&gt;"",Katalog_Fiyatlayici!$W179,"")</x:f>
      </x:c>
      <x:c r="E179" s="75" t="str">
        <x:f>IF($A179&lt;&gt;"","Service","")</x:f>
      </x:c>
      <x:c r="F179" s="75" t="str">
        <x:f>IF($A179&lt;&gt;"",Katalog_Fiyatlayici!$AE179,"")</x:f>
      </x:c>
      <x:c r="G179" s="75" t="str">
        <x:f>IF($A179&lt;&gt;"",Katalog_Fiyatlayici!$AD179,"")</x:f>
      </x:c>
      <x:c r="H179" s="75" t="str">
        <x:f>IF($A179&lt;&gt;"",Katalog_Fiyatlayici!$B179,"")</x:f>
      </x:c>
      <x:c r="I179" s="75" t="str">
        <x:f>IF($A179&lt;&gt;"","MakerWorld model linkine göre tahmini 3D baskı fiyatı. Gerçek üretimden önce Bambu Studio ile gramaj ve süre doğrulanır.","")</x:f>
      </x:c>
      <x:c r="J179" s="75" t="str">
        <x:f>IF($A179&lt;&gt;"",TRUE,"")</x:f>
      </x:c>
      <x:c r="K179" s="75" t="str">
        <x:f>IF($A179&lt;&gt;"",FALSE,"")</x:f>
      </x:c>
      <x:c r="L179" s="75" t="str">
        <x:f>IF($A179&lt;&gt;"","Units","")</x:f>
      </x:c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75" t="str">
        <x:f>IF(Katalog_Fiyatlayici!$AC180="Fiyat Hazır",Katalog_Fiyatlayici!$AD180,"")</x:f>
      </x:c>
      <x:c r="B180" s="75" t="str">
        <x:f>IF($A180&lt;&gt;"",Katalog_Fiyatlayici!$AF180,"")</x:f>
      </x:c>
      <x:c r="C180" s="83" t="str">
        <x:f>IF($A180&lt;&gt;"",Katalog_Fiyatlayici!$AA180,"")</x:f>
      </x:c>
      <x:c r="D180" s="83" t="str">
        <x:f>IF($A180&lt;&gt;"",Katalog_Fiyatlayici!$W180,"")</x:f>
      </x:c>
      <x:c r="E180" s="75" t="str">
        <x:f>IF($A180&lt;&gt;"","Service","")</x:f>
      </x:c>
      <x:c r="F180" s="75" t="str">
        <x:f>IF($A180&lt;&gt;"",Katalog_Fiyatlayici!$AE180,"")</x:f>
      </x:c>
      <x:c r="G180" s="75" t="str">
        <x:f>IF($A180&lt;&gt;"",Katalog_Fiyatlayici!$AD180,"")</x:f>
      </x:c>
      <x:c r="H180" s="75" t="str">
        <x:f>IF($A180&lt;&gt;"",Katalog_Fiyatlayici!$B180,"")</x:f>
      </x:c>
      <x:c r="I180" s="75" t="str">
        <x:f>IF($A180&lt;&gt;"","MakerWorld model linkine göre tahmini 3D baskı fiyatı. Gerçek üretimden önce Bambu Studio ile gramaj ve süre doğrulanır.","")</x:f>
      </x:c>
      <x:c r="J180" s="75" t="str">
        <x:f>IF($A180&lt;&gt;"",TRUE,"")</x:f>
      </x:c>
      <x:c r="K180" s="75" t="str">
        <x:f>IF($A180&lt;&gt;"",FALSE,"")</x:f>
      </x:c>
      <x:c r="L180" s="75" t="str">
        <x:f>IF($A180&lt;&gt;"","Units","")</x:f>
      </x:c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75" t="str">
        <x:f>IF(Katalog_Fiyatlayici!$AC181="Fiyat Hazır",Katalog_Fiyatlayici!$AD181,"")</x:f>
      </x:c>
      <x:c r="B181" s="75" t="str">
        <x:f>IF($A181&lt;&gt;"",Katalog_Fiyatlayici!$AF181,"")</x:f>
      </x:c>
      <x:c r="C181" s="83" t="str">
        <x:f>IF($A181&lt;&gt;"",Katalog_Fiyatlayici!$AA181,"")</x:f>
      </x:c>
      <x:c r="D181" s="83" t="str">
        <x:f>IF($A181&lt;&gt;"",Katalog_Fiyatlayici!$W181,"")</x:f>
      </x:c>
      <x:c r="E181" s="75" t="str">
        <x:f>IF($A181&lt;&gt;"","Service","")</x:f>
      </x:c>
      <x:c r="F181" s="75" t="str">
        <x:f>IF($A181&lt;&gt;"",Katalog_Fiyatlayici!$AE181,"")</x:f>
      </x:c>
      <x:c r="G181" s="75" t="str">
        <x:f>IF($A181&lt;&gt;"",Katalog_Fiyatlayici!$AD181,"")</x:f>
      </x:c>
      <x:c r="H181" s="75" t="str">
        <x:f>IF($A181&lt;&gt;"",Katalog_Fiyatlayici!$B181,"")</x:f>
      </x:c>
      <x:c r="I181" s="75" t="str">
        <x:f>IF($A181&lt;&gt;"","MakerWorld model linkine göre tahmini 3D baskı fiyatı. Gerçek üretimden önce Bambu Studio ile gramaj ve süre doğrulanır.","")</x:f>
      </x:c>
      <x:c r="J181" s="75" t="str">
        <x:f>IF($A181&lt;&gt;"",TRUE,"")</x:f>
      </x:c>
      <x:c r="K181" s="75" t="str">
        <x:f>IF($A181&lt;&gt;"",FALSE,"")</x:f>
      </x:c>
      <x:c r="L181" s="75" t="str">
        <x:f>IF($A181&lt;&gt;"","Units","")</x:f>
      </x:c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75" t="str">
        <x:f>IF(Katalog_Fiyatlayici!$AC182="Fiyat Hazır",Katalog_Fiyatlayici!$AD182,"")</x:f>
      </x:c>
      <x:c r="B182" s="75" t="str">
        <x:f>IF($A182&lt;&gt;"",Katalog_Fiyatlayici!$AF182,"")</x:f>
      </x:c>
      <x:c r="C182" s="83" t="str">
        <x:f>IF($A182&lt;&gt;"",Katalog_Fiyatlayici!$AA182,"")</x:f>
      </x:c>
      <x:c r="D182" s="83" t="str">
        <x:f>IF($A182&lt;&gt;"",Katalog_Fiyatlayici!$W182,"")</x:f>
      </x:c>
      <x:c r="E182" s="75" t="str">
        <x:f>IF($A182&lt;&gt;"","Service","")</x:f>
      </x:c>
      <x:c r="F182" s="75" t="str">
        <x:f>IF($A182&lt;&gt;"",Katalog_Fiyatlayici!$AE182,"")</x:f>
      </x:c>
      <x:c r="G182" s="75" t="str">
        <x:f>IF($A182&lt;&gt;"",Katalog_Fiyatlayici!$AD182,"")</x:f>
      </x:c>
      <x:c r="H182" s="75" t="str">
        <x:f>IF($A182&lt;&gt;"",Katalog_Fiyatlayici!$B182,"")</x:f>
      </x:c>
      <x:c r="I182" s="75" t="str">
        <x:f>IF($A182&lt;&gt;"","MakerWorld model linkine göre tahmini 3D baskı fiyatı. Gerçek üretimden önce Bambu Studio ile gramaj ve süre doğrulanır.","")</x:f>
      </x:c>
      <x:c r="J182" s="75" t="str">
        <x:f>IF($A182&lt;&gt;"",TRUE,"")</x:f>
      </x:c>
      <x:c r="K182" s="75" t="str">
        <x:f>IF($A182&lt;&gt;"",FALSE,"")</x:f>
      </x:c>
      <x:c r="L182" s="75" t="str">
        <x:f>IF($A182&lt;&gt;"","Units","")</x:f>
      </x:c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75" t="str">
        <x:f>IF(Katalog_Fiyatlayici!$AC183="Fiyat Hazır",Katalog_Fiyatlayici!$AD183,"")</x:f>
      </x:c>
      <x:c r="B183" s="75" t="str">
        <x:f>IF($A183&lt;&gt;"",Katalog_Fiyatlayici!$AF183,"")</x:f>
      </x:c>
      <x:c r="C183" s="83" t="str">
        <x:f>IF($A183&lt;&gt;"",Katalog_Fiyatlayici!$AA183,"")</x:f>
      </x:c>
      <x:c r="D183" s="83" t="str">
        <x:f>IF($A183&lt;&gt;"",Katalog_Fiyatlayici!$W183,"")</x:f>
      </x:c>
      <x:c r="E183" s="75" t="str">
        <x:f>IF($A183&lt;&gt;"","Service","")</x:f>
      </x:c>
      <x:c r="F183" s="75" t="str">
        <x:f>IF($A183&lt;&gt;"",Katalog_Fiyatlayici!$AE183,"")</x:f>
      </x:c>
      <x:c r="G183" s="75" t="str">
        <x:f>IF($A183&lt;&gt;"",Katalog_Fiyatlayici!$AD183,"")</x:f>
      </x:c>
      <x:c r="H183" s="75" t="str">
        <x:f>IF($A183&lt;&gt;"",Katalog_Fiyatlayici!$B183,"")</x:f>
      </x:c>
      <x:c r="I183" s="75" t="str">
        <x:f>IF($A183&lt;&gt;"","MakerWorld model linkine göre tahmini 3D baskı fiyatı. Gerçek üretimden önce Bambu Studio ile gramaj ve süre doğrulanır.","")</x:f>
      </x:c>
      <x:c r="J183" s="75" t="str">
        <x:f>IF($A183&lt;&gt;"",TRUE,"")</x:f>
      </x:c>
      <x:c r="K183" s="75" t="str">
        <x:f>IF($A183&lt;&gt;"",FALSE,"")</x:f>
      </x:c>
      <x:c r="L183" s="75" t="str">
        <x:f>IF($A183&lt;&gt;"","Units","")</x:f>
      </x:c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75" t="str">
        <x:f>IF(Katalog_Fiyatlayici!$AC184="Fiyat Hazır",Katalog_Fiyatlayici!$AD184,"")</x:f>
      </x:c>
      <x:c r="B184" s="75" t="str">
        <x:f>IF($A184&lt;&gt;"",Katalog_Fiyatlayici!$AF184,"")</x:f>
      </x:c>
      <x:c r="C184" s="83" t="str">
        <x:f>IF($A184&lt;&gt;"",Katalog_Fiyatlayici!$AA184,"")</x:f>
      </x:c>
      <x:c r="D184" s="83" t="str">
        <x:f>IF($A184&lt;&gt;"",Katalog_Fiyatlayici!$W184,"")</x:f>
      </x:c>
      <x:c r="E184" s="75" t="str">
        <x:f>IF($A184&lt;&gt;"","Service","")</x:f>
      </x:c>
      <x:c r="F184" s="75" t="str">
        <x:f>IF($A184&lt;&gt;"",Katalog_Fiyatlayici!$AE184,"")</x:f>
      </x:c>
      <x:c r="G184" s="75" t="str">
        <x:f>IF($A184&lt;&gt;"",Katalog_Fiyatlayici!$AD184,"")</x:f>
      </x:c>
      <x:c r="H184" s="75" t="str">
        <x:f>IF($A184&lt;&gt;"",Katalog_Fiyatlayici!$B184,"")</x:f>
      </x:c>
      <x:c r="I184" s="75" t="str">
        <x:f>IF($A184&lt;&gt;"","MakerWorld model linkine göre tahmini 3D baskı fiyatı. Gerçek üretimden önce Bambu Studio ile gramaj ve süre doğrulanır.","")</x:f>
      </x:c>
      <x:c r="J184" s="75" t="str">
        <x:f>IF($A184&lt;&gt;"",TRUE,"")</x:f>
      </x:c>
      <x:c r="K184" s="75" t="str">
        <x:f>IF($A184&lt;&gt;"",FALSE,"")</x:f>
      </x:c>
      <x:c r="L184" s="75" t="str">
        <x:f>IF($A184&lt;&gt;"","Units","")</x:f>
      </x:c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75" t="str">
        <x:f>IF(Katalog_Fiyatlayici!$AC185="Fiyat Hazır",Katalog_Fiyatlayici!$AD185,"")</x:f>
      </x:c>
      <x:c r="B185" s="75" t="str">
        <x:f>IF($A185&lt;&gt;"",Katalog_Fiyatlayici!$AF185,"")</x:f>
      </x:c>
      <x:c r="C185" s="83" t="str">
        <x:f>IF($A185&lt;&gt;"",Katalog_Fiyatlayici!$AA185,"")</x:f>
      </x:c>
      <x:c r="D185" s="83" t="str">
        <x:f>IF($A185&lt;&gt;"",Katalog_Fiyatlayici!$W185,"")</x:f>
      </x:c>
      <x:c r="E185" s="75" t="str">
        <x:f>IF($A185&lt;&gt;"","Service","")</x:f>
      </x:c>
      <x:c r="F185" s="75" t="str">
        <x:f>IF($A185&lt;&gt;"",Katalog_Fiyatlayici!$AE185,"")</x:f>
      </x:c>
      <x:c r="G185" s="75" t="str">
        <x:f>IF($A185&lt;&gt;"",Katalog_Fiyatlayici!$AD185,"")</x:f>
      </x:c>
      <x:c r="H185" s="75" t="str">
        <x:f>IF($A185&lt;&gt;"",Katalog_Fiyatlayici!$B185,"")</x:f>
      </x:c>
      <x:c r="I185" s="75" t="str">
        <x:f>IF($A185&lt;&gt;"","MakerWorld model linkine göre tahmini 3D baskı fiyatı. Gerçek üretimden önce Bambu Studio ile gramaj ve süre doğrulanır.","")</x:f>
      </x:c>
      <x:c r="J185" s="75" t="str">
        <x:f>IF($A185&lt;&gt;"",TRUE,"")</x:f>
      </x:c>
      <x:c r="K185" s="75" t="str">
        <x:f>IF($A185&lt;&gt;"",FALSE,"")</x:f>
      </x:c>
      <x:c r="L185" s="75" t="str">
        <x:f>IF($A185&lt;&gt;"","Units","")</x:f>
      </x:c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75" t="str">
        <x:f>IF(Katalog_Fiyatlayici!$AC186="Fiyat Hazır",Katalog_Fiyatlayici!$AD186,"")</x:f>
      </x:c>
      <x:c r="B186" s="75" t="str">
        <x:f>IF($A186&lt;&gt;"",Katalog_Fiyatlayici!$AF186,"")</x:f>
      </x:c>
      <x:c r="C186" s="83" t="str">
        <x:f>IF($A186&lt;&gt;"",Katalog_Fiyatlayici!$AA186,"")</x:f>
      </x:c>
      <x:c r="D186" s="83" t="str">
        <x:f>IF($A186&lt;&gt;"",Katalog_Fiyatlayici!$W186,"")</x:f>
      </x:c>
      <x:c r="E186" s="75" t="str">
        <x:f>IF($A186&lt;&gt;"","Service","")</x:f>
      </x:c>
      <x:c r="F186" s="75" t="str">
        <x:f>IF($A186&lt;&gt;"",Katalog_Fiyatlayici!$AE186,"")</x:f>
      </x:c>
      <x:c r="G186" s="75" t="str">
        <x:f>IF($A186&lt;&gt;"",Katalog_Fiyatlayici!$AD186,"")</x:f>
      </x:c>
      <x:c r="H186" s="75" t="str">
        <x:f>IF($A186&lt;&gt;"",Katalog_Fiyatlayici!$B186,"")</x:f>
      </x:c>
      <x:c r="I186" s="75" t="str">
        <x:f>IF($A186&lt;&gt;"","MakerWorld model linkine göre tahmini 3D baskı fiyatı. Gerçek üretimden önce Bambu Studio ile gramaj ve süre doğrulanır.","")</x:f>
      </x:c>
      <x:c r="J186" s="75" t="str">
        <x:f>IF($A186&lt;&gt;"",TRUE,"")</x:f>
      </x:c>
      <x:c r="K186" s="75" t="str">
        <x:f>IF($A186&lt;&gt;"",FALSE,"")</x:f>
      </x:c>
      <x:c r="L186" s="75" t="str">
        <x:f>IF($A186&lt;&gt;"","Units","")</x:f>
      </x:c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75" t="str">
        <x:f>IF(Katalog_Fiyatlayici!$AC187="Fiyat Hazır",Katalog_Fiyatlayici!$AD187,"")</x:f>
      </x:c>
      <x:c r="B187" s="75" t="str">
        <x:f>IF($A187&lt;&gt;"",Katalog_Fiyatlayici!$AF187,"")</x:f>
      </x:c>
      <x:c r="C187" s="83" t="str">
        <x:f>IF($A187&lt;&gt;"",Katalog_Fiyatlayici!$AA187,"")</x:f>
      </x:c>
      <x:c r="D187" s="83" t="str">
        <x:f>IF($A187&lt;&gt;"",Katalog_Fiyatlayici!$W187,"")</x:f>
      </x:c>
      <x:c r="E187" s="75" t="str">
        <x:f>IF($A187&lt;&gt;"","Service","")</x:f>
      </x:c>
      <x:c r="F187" s="75" t="str">
        <x:f>IF($A187&lt;&gt;"",Katalog_Fiyatlayici!$AE187,"")</x:f>
      </x:c>
      <x:c r="G187" s="75" t="str">
        <x:f>IF($A187&lt;&gt;"",Katalog_Fiyatlayici!$AD187,"")</x:f>
      </x:c>
      <x:c r="H187" s="75" t="str">
        <x:f>IF($A187&lt;&gt;"",Katalog_Fiyatlayici!$B187,"")</x:f>
      </x:c>
      <x:c r="I187" s="75" t="str">
        <x:f>IF($A187&lt;&gt;"","MakerWorld model linkine göre tahmini 3D baskı fiyatı. Gerçek üretimden önce Bambu Studio ile gramaj ve süre doğrulanır.","")</x:f>
      </x:c>
      <x:c r="J187" s="75" t="str">
        <x:f>IF($A187&lt;&gt;"",TRUE,"")</x:f>
      </x:c>
      <x:c r="K187" s="75" t="str">
        <x:f>IF($A187&lt;&gt;"",FALSE,"")</x:f>
      </x:c>
      <x:c r="L187" s="75" t="str">
        <x:f>IF($A187&lt;&gt;"","Units","")</x:f>
      </x:c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75" t="str">
        <x:f>IF(Katalog_Fiyatlayici!$AC188="Fiyat Hazır",Katalog_Fiyatlayici!$AD188,"")</x:f>
      </x:c>
      <x:c r="B188" s="75" t="str">
        <x:f>IF($A188&lt;&gt;"",Katalog_Fiyatlayici!$AF188,"")</x:f>
      </x:c>
      <x:c r="C188" s="83" t="str">
        <x:f>IF($A188&lt;&gt;"",Katalog_Fiyatlayici!$AA188,"")</x:f>
      </x:c>
      <x:c r="D188" s="83" t="str">
        <x:f>IF($A188&lt;&gt;"",Katalog_Fiyatlayici!$W188,"")</x:f>
      </x:c>
      <x:c r="E188" s="75" t="str">
        <x:f>IF($A188&lt;&gt;"","Service","")</x:f>
      </x:c>
      <x:c r="F188" s="75" t="str">
        <x:f>IF($A188&lt;&gt;"",Katalog_Fiyatlayici!$AE188,"")</x:f>
      </x:c>
      <x:c r="G188" s="75" t="str">
        <x:f>IF($A188&lt;&gt;"",Katalog_Fiyatlayici!$AD188,"")</x:f>
      </x:c>
      <x:c r="H188" s="75" t="str">
        <x:f>IF($A188&lt;&gt;"",Katalog_Fiyatlayici!$B188,"")</x:f>
      </x:c>
      <x:c r="I188" s="75" t="str">
        <x:f>IF($A188&lt;&gt;"","MakerWorld model linkine göre tahmini 3D baskı fiyatı. Gerçek üretimden önce Bambu Studio ile gramaj ve süre doğrulanır.","")</x:f>
      </x:c>
      <x:c r="J188" s="75" t="str">
        <x:f>IF($A188&lt;&gt;"",TRUE,"")</x:f>
      </x:c>
      <x:c r="K188" s="75" t="str">
        <x:f>IF($A188&lt;&gt;"",FALSE,"")</x:f>
      </x:c>
      <x:c r="L188" s="75" t="str">
        <x:f>IF($A188&lt;&gt;"","Units","")</x:f>
      </x:c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75" t="str">
        <x:f>IF(Katalog_Fiyatlayici!$AC189="Fiyat Hazır",Katalog_Fiyatlayici!$AD189,"")</x:f>
      </x:c>
      <x:c r="B189" s="75" t="str">
        <x:f>IF($A189&lt;&gt;"",Katalog_Fiyatlayici!$AF189,"")</x:f>
      </x:c>
      <x:c r="C189" s="83" t="str">
        <x:f>IF($A189&lt;&gt;"",Katalog_Fiyatlayici!$AA189,"")</x:f>
      </x:c>
      <x:c r="D189" s="83" t="str">
        <x:f>IF($A189&lt;&gt;"",Katalog_Fiyatlayici!$W189,"")</x:f>
      </x:c>
      <x:c r="E189" s="75" t="str">
        <x:f>IF($A189&lt;&gt;"","Service","")</x:f>
      </x:c>
      <x:c r="F189" s="75" t="str">
        <x:f>IF($A189&lt;&gt;"",Katalog_Fiyatlayici!$AE189,"")</x:f>
      </x:c>
      <x:c r="G189" s="75" t="str">
        <x:f>IF($A189&lt;&gt;"",Katalog_Fiyatlayici!$AD189,"")</x:f>
      </x:c>
      <x:c r="H189" s="75" t="str">
        <x:f>IF($A189&lt;&gt;"",Katalog_Fiyatlayici!$B189,"")</x:f>
      </x:c>
      <x:c r="I189" s="75" t="str">
        <x:f>IF($A189&lt;&gt;"","MakerWorld model linkine göre tahmini 3D baskı fiyatı. Gerçek üretimden önce Bambu Studio ile gramaj ve süre doğrulanır.","")</x:f>
      </x:c>
      <x:c r="J189" s="75" t="str">
        <x:f>IF($A189&lt;&gt;"",TRUE,"")</x:f>
      </x:c>
      <x:c r="K189" s="75" t="str">
        <x:f>IF($A189&lt;&gt;"",FALSE,"")</x:f>
      </x:c>
      <x:c r="L189" s="75" t="str">
        <x:f>IF($A189&lt;&gt;"","Units","")</x:f>
      </x:c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75" t="str">
        <x:f>IF(Katalog_Fiyatlayici!$AC190="Fiyat Hazır",Katalog_Fiyatlayici!$AD190,"")</x:f>
      </x:c>
      <x:c r="B190" s="75" t="str">
        <x:f>IF($A190&lt;&gt;"",Katalog_Fiyatlayici!$AF190,"")</x:f>
      </x:c>
      <x:c r="C190" s="83" t="str">
        <x:f>IF($A190&lt;&gt;"",Katalog_Fiyatlayici!$AA190,"")</x:f>
      </x:c>
      <x:c r="D190" s="83" t="str">
        <x:f>IF($A190&lt;&gt;"",Katalog_Fiyatlayici!$W190,"")</x:f>
      </x:c>
      <x:c r="E190" s="75" t="str">
        <x:f>IF($A190&lt;&gt;"","Service","")</x:f>
      </x:c>
      <x:c r="F190" s="75" t="str">
        <x:f>IF($A190&lt;&gt;"",Katalog_Fiyatlayici!$AE190,"")</x:f>
      </x:c>
      <x:c r="G190" s="75" t="str">
        <x:f>IF($A190&lt;&gt;"",Katalog_Fiyatlayici!$AD190,"")</x:f>
      </x:c>
      <x:c r="H190" s="75" t="str">
        <x:f>IF($A190&lt;&gt;"",Katalog_Fiyatlayici!$B190,"")</x:f>
      </x:c>
      <x:c r="I190" s="75" t="str">
        <x:f>IF($A190&lt;&gt;"","MakerWorld model linkine göre tahmini 3D baskı fiyatı. Gerçek üretimden önce Bambu Studio ile gramaj ve süre doğrulanır.","")</x:f>
      </x:c>
      <x:c r="J190" s="75" t="str">
        <x:f>IF($A190&lt;&gt;"",TRUE,"")</x:f>
      </x:c>
      <x:c r="K190" s="75" t="str">
        <x:f>IF($A190&lt;&gt;"",FALSE,"")</x:f>
      </x:c>
      <x:c r="L190" s="75" t="str">
        <x:f>IF($A190&lt;&gt;"","Units","")</x:f>
      </x:c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75" t="str">
        <x:f>IF(Katalog_Fiyatlayici!$AC191="Fiyat Hazır",Katalog_Fiyatlayici!$AD191,"")</x:f>
      </x:c>
      <x:c r="B191" s="75" t="str">
        <x:f>IF($A191&lt;&gt;"",Katalog_Fiyatlayici!$AF191,"")</x:f>
      </x:c>
      <x:c r="C191" s="83" t="str">
        <x:f>IF($A191&lt;&gt;"",Katalog_Fiyatlayici!$AA191,"")</x:f>
      </x:c>
      <x:c r="D191" s="83" t="str">
        <x:f>IF($A191&lt;&gt;"",Katalog_Fiyatlayici!$W191,"")</x:f>
      </x:c>
      <x:c r="E191" s="75" t="str">
        <x:f>IF($A191&lt;&gt;"","Service","")</x:f>
      </x:c>
      <x:c r="F191" s="75" t="str">
        <x:f>IF($A191&lt;&gt;"",Katalog_Fiyatlayici!$AE191,"")</x:f>
      </x:c>
      <x:c r="G191" s="75" t="str">
        <x:f>IF($A191&lt;&gt;"",Katalog_Fiyatlayici!$AD191,"")</x:f>
      </x:c>
      <x:c r="H191" s="75" t="str">
        <x:f>IF($A191&lt;&gt;"",Katalog_Fiyatlayici!$B191,"")</x:f>
      </x:c>
      <x:c r="I191" s="75" t="str">
        <x:f>IF($A191&lt;&gt;"","MakerWorld model linkine göre tahmini 3D baskı fiyatı. Gerçek üretimden önce Bambu Studio ile gramaj ve süre doğrulanır.","")</x:f>
      </x:c>
      <x:c r="J191" s="75" t="str">
        <x:f>IF($A191&lt;&gt;"",TRUE,"")</x:f>
      </x:c>
      <x:c r="K191" s="75" t="str">
        <x:f>IF($A191&lt;&gt;"",FALSE,"")</x:f>
      </x:c>
      <x:c r="L191" s="75" t="str">
        <x:f>IF($A191&lt;&gt;"","Units","")</x:f>
      </x:c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75" t="str">
        <x:f>IF(Katalog_Fiyatlayici!$AC192="Fiyat Hazır",Katalog_Fiyatlayici!$AD192,"")</x:f>
      </x:c>
      <x:c r="B192" s="75" t="str">
        <x:f>IF($A192&lt;&gt;"",Katalog_Fiyatlayici!$AF192,"")</x:f>
      </x:c>
      <x:c r="C192" s="83" t="str">
        <x:f>IF($A192&lt;&gt;"",Katalog_Fiyatlayici!$AA192,"")</x:f>
      </x:c>
      <x:c r="D192" s="83" t="str">
        <x:f>IF($A192&lt;&gt;"",Katalog_Fiyatlayici!$W192,"")</x:f>
      </x:c>
      <x:c r="E192" s="75" t="str">
        <x:f>IF($A192&lt;&gt;"","Service","")</x:f>
      </x:c>
      <x:c r="F192" s="75" t="str">
        <x:f>IF($A192&lt;&gt;"",Katalog_Fiyatlayici!$AE192,"")</x:f>
      </x:c>
      <x:c r="G192" s="75" t="str">
        <x:f>IF($A192&lt;&gt;"",Katalog_Fiyatlayici!$AD192,"")</x:f>
      </x:c>
      <x:c r="H192" s="75" t="str">
        <x:f>IF($A192&lt;&gt;"",Katalog_Fiyatlayici!$B192,"")</x:f>
      </x:c>
      <x:c r="I192" s="75" t="str">
        <x:f>IF($A192&lt;&gt;"","MakerWorld model linkine göre tahmini 3D baskı fiyatı. Gerçek üretimden önce Bambu Studio ile gramaj ve süre doğrulanır.","")</x:f>
      </x:c>
      <x:c r="J192" s="75" t="str">
        <x:f>IF($A192&lt;&gt;"",TRUE,"")</x:f>
      </x:c>
      <x:c r="K192" s="75" t="str">
        <x:f>IF($A192&lt;&gt;"",FALSE,"")</x:f>
      </x:c>
      <x:c r="L192" s="75" t="str">
        <x:f>IF($A192&lt;&gt;"","Units","")</x:f>
      </x:c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75" t="str">
        <x:f>IF(Katalog_Fiyatlayici!$AC193="Fiyat Hazır",Katalog_Fiyatlayici!$AD193,"")</x:f>
      </x:c>
      <x:c r="B193" s="75" t="str">
        <x:f>IF($A193&lt;&gt;"",Katalog_Fiyatlayici!$AF193,"")</x:f>
      </x:c>
      <x:c r="C193" s="83" t="str">
        <x:f>IF($A193&lt;&gt;"",Katalog_Fiyatlayici!$AA193,"")</x:f>
      </x:c>
      <x:c r="D193" s="83" t="str">
        <x:f>IF($A193&lt;&gt;"",Katalog_Fiyatlayici!$W193,"")</x:f>
      </x:c>
      <x:c r="E193" s="75" t="str">
        <x:f>IF($A193&lt;&gt;"","Service","")</x:f>
      </x:c>
      <x:c r="F193" s="75" t="str">
        <x:f>IF($A193&lt;&gt;"",Katalog_Fiyatlayici!$AE193,"")</x:f>
      </x:c>
      <x:c r="G193" s="75" t="str">
        <x:f>IF($A193&lt;&gt;"",Katalog_Fiyatlayici!$AD193,"")</x:f>
      </x:c>
      <x:c r="H193" s="75" t="str">
        <x:f>IF($A193&lt;&gt;"",Katalog_Fiyatlayici!$B193,"")</x:f>
      </x:c>
      <x:c r="I193" s="75" t="str">
        <x:f>IF($A193&lt;&gt;"","MakerWorld model linkine göre tahmini 3D baskı fiyatı. Gerçek üretimden önce Bambu Studio ile gramaj ve süre doğrulanır.","")</x:f>
      </x:c>
      <x:c r="J193" s="75" t="str">
        <x:f>IF($A193&lt;&gt;"",TRUE,"")</x:f>
      </x:c>
      <x:c r="K193" s="75" t="str">
        <x:f>IF($A193&lt;&gt;"",FALSE,"")</x:f>
      </x:c>
      <x:c r="L193" s="75" t="str">
        <x:f>IF($A193&lt;&gt;"","Units","")</x:f>
      </x:c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75" t="str">
        <x:f>IF(Katalog_Fiyatlayici!$AC194="Fiyat Hazır",Katalog_Fiyatlayici!$AD194,"")</x:f>
      </x:c>
      <x:c r="B194" s="75" t="str">
        <x:f>IF($A194&lt;&gt;"",Katalog_Fiyatlayici!$AF194,"")</x:f>
      </x:c>
      <x:c r="C194" s="83" t="str">
        <x:f>IF($A194&lt;&gt;"",Katalog_Fiyatlayici!$AA194,"")</x:f>
      </x:c>
      <x:c r="D194" s="83" t="str">
        <x:f>IF($A194&lt;&gt;"",Katalog_Fiyatlayici!$W194,"")</x:f>
      </x:c>
      <x:c r="E194" s="75" t="str">
        <x:f>IF($A194&lt;&gt;"","Service","")</x:f>
      </x:c>
      <x:c r="F194" s="75" t="str">
        <x:f>IF($A194&lt;&gt;"",Katalog_Fiyatlayici!$AE194,"")</x:f>
      </x:c>
      <x:c r="G194" s="75" t="str">
        <x:f>IF($A194&lt;&gt;"",Katalog_Fiyatlayici!$AD194,"")</x:f>
      </x:c>
      <x:c r="H194" s="75" t="str">
        <x:f>IF($A194&lt;&gt;"",Katalog_Fiyatlayici!$B194,"")</x:f>
      </x:c>
      <x:c r="I194" s="75" t="str">
        <x:f>IF($A194&lt;&gt;"","MakerWorld model linkine göre tahmini 3D baskı fiyatı. Gerçek üretimden önce Bambu Studio ile gramaj ve süre doğrulanır.","")</x:f>
      </x:c>
      <x:c r="J194" s="75" t="str">
        <x:f>IF($A194&lt;&gt;"",TRUE,"")</x:f>
      </x:c>
      <x:c r="K194" s="75" t="str">
        <x:f>IF($A194&lt;&gt;"",FALSE,"")</x:f>
      </x:c>
      <x:c r="L194" s="75" t="str">
        <x:f>IF($A194&lt;&gt;"","Units","")</x:f>
      </x:c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75" t="str">
        <x:f>IF(Katalog_Fiyatlayici!$AC195="Fiyat Hazır",Katalog_Fiyatlayici!$AD195,"")</x:f>
      </x:c>
      <x:c r="B195" s="75" t="str">
        <x:f>IF($A195&lt;&gt;"",Katalog_Fiyatlayici!$AF195,"")</x:f>
      </x:c>
      <x:c r="C195" s="83" t="str">
        <x:f>IF($A195&lt;&gt;"",Katalog_Fiyatlayici!$AA195,"")</x:f>
      </x:c>
      <x:c r="D195" s="83" t="str">
        <x:f>IF($A195&lt;&gt;"",Katalog_Fiyatlayici!$W195,"")</x:f>
      </x:c>
      <x:c r="E195" s="75" t="str">
        <x:f>IF($A195&lt;&gt;"","Service","")</x:f>
      </x:c>
      <x:c r="F195" s="75" t="str">
        <x:f>IF($A195&lt;&gt;"",Katalog_Fiyatlayici!$AE195,"")</x:f>
      </x:c>
      <x:c r="G195" s="75" t="str">
        <x:f>IF($A195&lt;&gt;"",Katalog_Fiyatlayici!$AD195,"")</x:f>
      </x:c>
      <x:c r="H195" s="75" t="str">
        <x:f>IF($A195&lt;&gt;"",Katalog_Fiyatlayici!$B195,"")</x:f>
      </x:c>
      <x:c r="I195" s="75" t="str">
        <x:f>IF($A195&lt;&gt;"","MakerWorld model linkine göre tahmini 3D baskı fiyatı. Gerçek üretimden önce Bambu Studio ile gramaj ve süre doğrulanır.","")</x:f>
      </x:c>
      <x:c r="J195" s="75" t="str">
        <x:f>IF($A195&lt;&gt;"",TRUE,"")</x:f>
      </x:c>
      <x:c r="K195" s="75" t="str">
        <x:f>IF($A195&lt;&gt;"",FALSE,"")</x:f>
      </x:c>
      <x:c r="L195" s="75" t="str">
        <x:f>IF($A195&lt;&gt;"","Units","")</x:f>
      </x:c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75" t="str">
        <x:f>IF(Katalog_Fiyatlayici!$AC196="Fiyat Hazır",Katalog_Fiyatlayici!$AD196,"")</x:f>
      </x:c>
      <x:c r="B196" s="75" t="str">
        <x:f>IF($A196&lt;&gt;"",Katalog_Fiyatlayici!$AF196,"")</x:f>
      </x:c>
      <x:c r="C196" s="83" t="str">
        <x:f>IF($A196&lt;&gt;"",Katalog_Fiyatlayici!$AA196,"")</x:f>
      </x:c>
      <x:c r="D196" s="83" t="str">
        <x:f>IF($A196&lt;&gt;"",Katalog_Fiyatlayici!$W196,"")</x:f>
      </x:c>
      <x:c r="E196" s="75" t="str">
        <x:f>IF($A196&lt;&gt;"","Service","")</x:f>
      </x:c>
      <x:c r="F196" s="75" t="str">
        <x:f>IF($A196&lt;&gt;"",Katalog_Fiyatlayici!$AE196,"")</x:f>
      </x:c>
      <x:c r="G196" s="75" t="str">
        <x:f>IF($A196&lt;&gt;"",Katalog_Fiyatlayici!$AD196,"")</x:f>
      </x:c>
      <x:c r="H196" s="75" t="str">
        <x:f>IF($A196&lt;&gt;"",Katalog_Fiyatlayici!$B196,"")</x:f>
      </x:c>
      <x:c r="I196" s="75" t="str">
        <x:f>IF($A196&lt;&gt;"","MakerWorld model linkine göre tahmini 3D baskı fiyatı. Gerçek üretimden önce Bambu Studio ile gramaj ve süre doğrulanır.","")</x:f>
      </x:c>
      <x:c r="J196" s="75" t="str">
        <x:f>IF($A196&lt;&gt;"",TRUE,"")</x:f>
      </x:c>
      <x:c r="K196" s="75" t="str">
        <x:f>IF($A196&lt;&gt;"",FALSE,"")</x:f>
      </x:c>
      <x:c r="L196" s="75" t="str">
        <x:f>IF($A196&lt;&gt;"","Units","")</x:f>
      </x:c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75" t="str">
        <x:f>IF(Katalog_Fiyatlayici!$AC197="Fiyat Hazır",Katalog_Fiyatlayici!$AD197,"")</x:f>
      </x:c>
      <x:c r="B197" s="75" t="str">
        <x:f>IF($A197&lt;&gt;"",Katalog_Fiyatlayici!$AF197,"")</x:f>
      </x:c>
      <x:c r="C197" s="83" t="str">
        <x:f>IF($A197&lt;&gt;"",Katalog_Fiyatlayici!$AA197,"")</x:f>
      </x:c>
      <x:c r="D197" s="83" t="str">
        <x:f>IF($A197&lt;&gt;"",Katalog_Fiyatlayici!$W197,"")</x:f>
      </x:c>
      <x:c r="E197" s="75" t="str">
        <x:f>IF($A197&lt;&gt;"","Service","")</x:f>
      </x:c>
      <x:c r="F197" s="75" t="str">
        <x:f>IF($A197&lt;&gt;"",Katalog_Fiyatlayici!$AE197,"")</x:f>
      </x:c>
      <x:c r="G197" s="75" t="str">
        <x:f>IF($A197&lt;&gt;"",Katalog_Fiyatlayici!$AD197,"")</x:f>
      </x:c>
      <x:c r="H197" s="75" t="str">
        <x:f>IF($A197&lt;&gt;"",Katalog_Fiyatlayici!$B197,"")</x:f>
      </x:c>
      <x:c r="I197" s="75" t="str">
        <x:f>IF($A197&lt;&gt;"","MakerWorld model linkine göre tahmini 3D baskı fiyatı. Gerçek üretimden önce Bambu Studio ile gramaj ve süre doğrulanır.","")</x:f>
      </x:c>
      <x:c r="J197" s="75" t="str">
        <x:f>IF($A197&lt;&gt;"",TRUE,"")</x:f>
      </x:c>
      <x:c r="K197" s="75" t="str">
        <x:f>IF($A197&lt;&gt;"",FALSE,"")</x:f>
      </x:c>
      <x:c r="L197" s="75" t="str">
        <x:f>IF($A197&lt;&gt;"","Units","")</x:f>
      </x:c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75" t="str">
        <x:f>IF(Katalog_Fiyatlayici!$AC198="Fiyat Hazır",Katalog_Fiyatlayici!$AD198,"")</x:f>
      </x:c>
      <x:c r="B198" s="75" t="str">
        <x:f>IF($A198&lt;&gt;"",Katalog_Fiyatlayici!$AF198,"")</x:f>
      </x:c>
      <x:c r="C198" s="83" t="str">
        <x:f>IF($A198&lt;&gt;"",Katalog_Fiyatlayici!$AA198,"")</x:f>
      </x:c>
      <x:c r="D198" s="83" t="str">
        <x:f>IF($A198&lt;&gt;"",Katalog_Fiyatlayici!$W198,"")</x:f>
      </x:c>
      <x:c r="E198" s="75" t="str">
        <x:f>IF($A198&lt;&gt;"","Service","")</x:f>
      </x:c>
      <x:c r="F198" s="75" t="str">
        <x:f>IF($A198&lt;&gt;"",Katalog_Fiyatlayici!$AE198,"")</x:f>
      </x:c>
      <x:c r="G198" s="75" t="str">
        <x:f>IF($A198&lt;&gt;"",Katalog_Fiyatlayici!$AD198,"")</x:f>
      </x:c>
      <x:c r="H198" s="75" t="str">
        <x:f>IF($A198&lt;&gt;"",Katalog_Fiyatlayici!$B198,"")</x:f>
      </x:c>
      <x:c r="I198" s="75" t="str">
        <x:f>IF($A198&lt;&gt;"","MakerWorld model linkine göre tahmini 3D baskı fiyatı. Gerçek üretimden önce Bambu Studio ile gramaj ve süre doğrulanır.","")</x:f>
      </x:c>
      <x:c r="J198" s="75" t="str">
        <x:f>IF($A198&lt;&gt;"",TRUE,"")</x:f>
      </x:c>
      <x:c r="K198" s="75" t="str">
        <x:f>IF($A198&lt;&gt;"",FALSE,"")</x:f>
      </x:c>
      <x:c r="L198" s="75" t="str">
        <x:f>IF($A198&lt;&gt;"","Units","")</x:f>
      </x:c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75" t="str">
        <x:f>IF(Katalog_Fiyatlayici!$AC199="Fiyat Hazır",Katalog_Fiyatlayici!$AD199,"")</x:f>
      </x:c>
      <x:c r="B199" s="75" t="str">
        <x:f>IF($A199&lt;&gt;"",Katalog_Fiyatlayici!$AF199,"")</x:f>
      </x:c>
      <x:c r="C199" s="83" t="str">
        <x:f>IF($A199&lt;&gt;"",Katalog_Fiyatlayici!$AA199,"")</x:f>
      </x:c>
      <x:c r="D199" s="83" t="str">
        <x:f>IF($A199&lt;&gt;"",Katalog_Fiyatlayici!$W199,"")</x:f>
      </x:c>
      <x:c r="E199" s="75" t="str">
        <x:f>IF($A199&lt;&gt;"","Service","")</x:f>
      </x:c>
      <x:c r="F199" s="75" t="str">
        <x:f>IF($A199&lt;&gt;"",Katalog_Fiyatlayici!$AE199,"")</x:f>
      </x:c>
      <x:c r="G199" s="75" t="str">
        <x:f>IF($A199&lt;&gt;"",Katalog_Fiyatlayici!$AD199,"")</x:f>
      </x:c>
      <x:c r="H199" s="75" t="str">
        <x:f>IF($A199&lt;&gt;"",Katalog_Fiyatlayici!$B199,"")</x:f>
      </x:c>
      <x:c r="I199" s="75" t="str">
        <x:f>IF($A199&lt;&gt;"","MakerWorld model linkine göre tahmini 3D baskı fiyatı. Gerçek üretimden önce Bambu Studio ile gramaj ve süre doğrulanır.","")</x:f>
      </x:c>
      <x:c r="J199" s="75" t="str">
        <x:f>IF($A199&lt;&gt;"",TRUE,"")</x:f>
      </x:c>
      <x:c r="K199" s="75" t="str">
        <x:f>IF($A199&lt;&gt;"",FALSE,"")</x:f>
      </x:c>
      <x:c r="L199" s="75" t="str">
        <x:f>IF($A199&lt;&gt;"","Units","")</x:f>
      </x:c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75" t="str">
        <x:f>IF(Katalog_Fiyatlayici!$AC200="Fiyat Hazır",Katalog_Fiyatlayici!$AD200,"")</x:f>
      </x:c>
      <x:c r="B200" s="75" t="str">
        <x:f>IF($A200&lt;&gt;"",Katalog_Fiyatlayici!$AF200,"")</x:f>
      </x:c>
      <x:c r="C200" s="83" t="str">
        <x:f>IF($A200&lt;&gt;"",Katalog_Fiyatlayici!$AA200,"")</x:f>
      </x:c>
      <x:c r="D200" s="83" t="str">
        <x:f>IF($A200&lt;&gt;"",Katalog_Fiyatlayici!$W200,"")</x:f>
      </x:c>
      <x:c r="E200" s="75" t="str">
        <x:f>IF($A200&lt;&gt;"","Service","")</x:f>
      </x:c>
      <x:c r="F200" s="75" t="str">
        <x:f>IF($A200&lt;&gt;"",Katalog_Fiyatlayici!$AE200,"")</x:f>
      </x:c>
      <x:c r="G200" s="75" t="str">
        <x:f>IF($A200&lt;&gt;"",Katalog_Fiyatlayici!$AD200,"")</x:f>
      </x:c>
      <x:c r="H200" s="75" t="str">
        <x:f>IF($A200&lt;&gt;"",Katalog_Fiyatlayici!$B200,"")</x:f>
      </x:c>
      <x:c r="I200" s="75" t="str">
        <x:f>IF($A200&lt;&gt;"","MakerWorld model linkine göre tahmini 3D baskı fiyatı. Gerçek üretimden önce Bambu Studio ile gramaj ve süre doğrulanır.","")</x:f>
      </x:c>
      <x:c r="J200" s="75" t="str">
        <x:f>IF($A200&lt;&gt;"",TRUE,"")</x:f>
      </x:c>
      <x:c r="K200" s="75" t="str">
        <x:f>IF($A200&lt;&gt;"",FALSE,"")</x:f>
      </x:c>
      <x:c r="L200" s="75" t="str">
        <x:f>IF($A200&lt;&gt;"","Units","")</x:f>
      </x:c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75" t="str">
        <x:f>IF(Katalog_Fiyatlayici!$AC201="Fiyat Hazır",Katalog_Fiyatlayici!$AD201,"")</x:f>
      </x:c>
      <x:c r="B201" s="75" t="str">
        <x:f>IF($A201&lt;&gt;"",Katalog_Fiyatlayici!$AF201,"")</x:f>
      </x:c>
      <x:c r="C201" s="83" t="str">
        <x:f>IF($A201&lt;&gt;"",Katalog_Fiyatlayici!$AA201,"")</x:f>
      </x:c>
      <x:c r="D201" s="83" t="str">
        <x:f>IF($A201&lt;&gt;"",Katalog_Fiyatlayici!$W201,"")</x:f>
      </x:c>
      <x:c r="E201" s="75" t="str">
        <x:f>IF($A201&lt;&gt;"","Service","")</x:f>
      </x:c>
      <x:c r="F201" s="75" t="str">
        <x:f>IF($A201&lt;&gt;"",Katalog_Fiyatlayici!$AE201,"")</x:f>
      </x:c>
      <x:c r="G201" s="75" t="str">
        <x:f>IF($A201&lt;&gt;"",Katalog_Fiyatlayici!$AD201,"")</x:f>
      </x:c>
      <x:c r="H201" s="75" t="str">
        <x:f>IF($A201&lt;&gt;"",Katalog_Fiyatlayici!$B201,"")</x:f>
      </x:c>
      <x:c r="I201" s="75" t="str">
        <x:f>IF($A201&lt;&gt;"","MakerWorld model linkine göre tahmini 3D baskı fiyatı. Gerçek üretimden önce Bambu Studio ile gramaj ve süre doğrulanır.","")</x:f>
      </x:c>
      <x:c r="J201" s="75" t="str">
        <x:f>IF($A201&lt;&gt;"",TRUE,"")</x:f>
      </x:c>
      <x:c r="K201" s="75" t="str">
        <x:f>IF($A201&lt;&gt;"",FALSE,"")</x:f>
      </x:c>
      <x:c r="L201" s="75" t="str">
        <x:f>IF($A201&lt;&gt;"","Units","")</x:f>
      </x:c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75" t="str">
        <x:f>IF(Katalog_Fiyatlayici!$AC202="Fiyat Hazır",Katalog_Fiyatlayici!$AD202,"")</x:f>
      </x:c>
      <x:c r="B202" s="75" t="str">
        <x:f>IF($A202&lt;&gt;"",Katalog_Fiyatlayici!$AF202,"")</x:f>
      </x:c>
      <x:c r="C202" s="83" t="str">
        <x:f>IF($A202&lt;&gt;"",Katalog_Fiyatlayici!$AA202,"")</x:f>
      </x:c>
      <x:c r="D202" s="83" t="str">
        <x:f>IF($A202&lt;&gt;"",Katalog_Fiyatlayici!$W202,"")</x:f>
      </x:c>
      <x:c r="E202" s="75" t="str">
        <x:f>IF($A202&lt;&gt;"","Service","")</x:f>
      </x:c>
      <x:c r="F202" s="75" t="str">
        <x:f>IF($A202&lt;&gt;"",Katalog_Fiyatlayici!$AE202,"")</x:f>
      </x:c>
      <x:c r="G202" s="75" t="str">
        <x:f>IF($A202&lt;&gt;"",Katalog_Fiyatlayici!$AD202,"")</x:f>
      </x:c>
      <x:c r="H202" s="75" t="str">
        <x:f>IF($A202&lt;&gt;"",Katalog_Fiyatlayici!$B202,"")</x:f>
      </x:c>
      <x:c r="I202" s="75" t="str">
        <x:f>IF($A202&lt;&gt;"","MakerWorld model linkine göre tahmini 3D baskı fiyatı. Gerçek üretimden önce Bambu Studio ile gramaj ve süre doğrulanır.","")</x:f>
      </x:c>
      <x:c r="J202" s="75" t="str">
        <x:f>IF($A202&lt;&gt;"",TRUE,"")</x:f>
      </x:c>
      <x:c r="K202" s="75" t="str">
        <x:f>IF($A202&lt;&gt;"",FALSE,"")</x:f>
      </x:c>
      <x:c r="L202" s="75" t="str">
        <x:f>IF($A202&lt;&gt;"","Units","")</x:f>
      </x:c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75" t="str">
        <x:f>IF(Katalog_Fiyatlayici!$AC203="Fiyat Hazır",Katalog_Fiyatlayici!$AD203,"")</x:f>
      </x:c>
      <x:c r="B203" s="75" t="str">
        <x:f>IF($A203&lt;&gt;"",Katalog_Fiyatlayici!$AF203,"")</x:f>
      </x:c>
      <x:c r="C203" s="83" t="str">
        <x:f>IF($A203&lt;&gt;"",Katalog_Fiyatlayici!$AA203,"")</x:f>
      </x:c>
      <x:c r="D203" s="83" t="str">
        <x:f>IF($A203&lt;&gt;"",Katalog_Fiyatlayici!$W203,"")</x:f>
      </x:c>
      <x:c r="E203" s="75" t="str">
        <x:f>IF($A203&lt;&gt;"","Service","")</x:f>
      </x:c>
      <x:c r="F203" s="75" t="str">
        <x:f>IF($A203&lt;&gt;"",Katalog_Fiyatlayici!$AE203,"")</x:f>
      </x:c>
      <x:c r="G203" s="75" t="str">
        <x:f>IF($A203&lt;&gt;"",Katalog_Fiyatlayici!$AD203,"")</x:f>
      </x:c>
      <x:c r="H203" s="75" t="str">
        <x:f>IF($A203&lt;&gt;"",Katalog_Fiyatlayici!$B203,"")</x:f>
      </x:c>
      <x:c r="I203" s="75" t="str">
        <x:f>IF($A203&lt;&gt;"","MakerWorld model linkine göre tahmini 3D baskı fiyatı. Gerçek üretimden önce Bambu Studio ile gramaj ve süre doğrulanır.","")</x:f>
      </x:c>
      <x:c r="J203" s="75" t="str">
        <x:f>IF($A203&lt;&gt;"",TRUE,"")</x:f>
      </x:c>
      <x:c r="K203" s="75" t="str">
        <x:f>IF($A203&lt;&gt;"",FALSE,"")</x:f>
      </x:c>
      <x:c r="L203" s="75" t="str">
        <x:f>IF($A203&lt;&gt;"","Units","")</x:f>
      </x:c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75" t="str">
        <x:f>IF(Katalog_Fiyatlayici!$AC204="Fiyat Hazır",Katalog_Fiyatlayici!$AD204,"")</x:f>
      </x:c>
      <x:c r="B204" s="75" t="str">
        <x:f>IF($A204&lt;&gt;"",Katalog_Fiyatlayici!$AF204,"")</x:f>
      </x:c>
      <x:c r="C204" s="83" t="str">
        <x:f>IF($A204&lt;&gt;"",Katalog_Fiyatlayici!$AA204,"")</x:f>
      </x:c>
      <x:c r="D204" s="83" t="str">
        <x:f>IF($A204&lt;&gt;"",Katalog_Fiyatlayici!$W204,"")</x:f>
      </x:c>
      <x:c r="E204" s="75" t="str">
        <x:f>IF($A204&lt;&gt;"","Service","")</x:f>
      </x:c>
      <x:c r="F204" s="75" t="str">
        <x:f>IF($A204&lt;&gt;"",Katalog_Fiyatlayici!$AE204,"")</x:f>
      </x:c>
      <x:c r="G204" s="75" t="str">
        <x:f>IF($A204&lt;&gt;"",Katalog_Fiyatlayici!$AD204,"")</x:f>
      </x:c>
      <x:c r="H204" s="75" t="str">
        <x:f>IF($A204&lt;&gt;"",Katalog_Fiyatlayici!$B204,"")</x:f>
      </x:c>
      <x:c r="I204" s="75" t="str">
        <x:f>IF($A204&lt;&gt;"","MakerWorld model linkine göre tahmini 3D baskı fiyatı. Gerçek üretimden önce Bambu Studio ile gramaj ve süre doğrulanır.","")</x:f>
      </x:c>
      <x:c r="J204" s="75" t="str">
        <x:f>IF($A204&lt;&gt;"",TRUE,"")</x:f>
      </x:c>
      <x:c r="K204" s="75" t="str">
        <x:f>IF($A204&lt;&gt;"",FALSE,"")</x:f>
      </x:c>
      <x:c r="L204" s="75" t="str">
        <x:f>IF($A204&lt;&gt;"","Units","")</x:f>
      </x:c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75" t="str">
        <x:f>IF(Katalog_Fiyatlayici!$AC205="Fiyat Hazır",Katalog_Fiyatlayici!$AD205,"")</x:f>
      </x:c>
      <x:c r="B205" s="75" t="str">
        <x:f>IF($A205&lt;&gt;"",Katalog_Fiyatlayici!$AF205,"")</x:f>
      </x:c>
      <x:c r="C205" s="83" t="str">
        <x:f>IF($A205&lt;&gt;"",Katalog_Fiyatlayici!$AA205,"")</x:f>
      </x:c>
      <x:c r="D205" s="83" t="str">
        <x:f>IF($A205&lt;&gt;"",Katalog_Fiyatlayici!$W205,"")</x:f>
      </x:c>
      <x:c r="E205" s="75" t="str">
        <x:f>IF($A205&lt;&gt;"","Service","")</x:f>
      </x:c>
      <x:c r="F205" s="75" t="str">
        <x:f>IF($A205&lt;&gt;"",Katalog_Fiyatlayici!$AE205,"")</x:f>
      </x:c>
      <x:c r="G205" s="75" t="str">
        <x:f>IF($A205&lt;&gt;"",Katalog_Fiyatlayici!$AD205,"")</x:f>
      </x:c>
      <x:c r="H205" s="75" t="str">
        <x:f>IF($A205&lt;&gt;"",Katalog_Fiyatlayici!$B205,"")</x:f>
      </x:c>
      <x:c r="I205" s="75" t="str">
        <x:f>IF($A205&lt;&gt;"","MakerWorld model linkine göre tahmini 3D baskı fiyatı. Gerçek üretimden önce Bambu Studio ile gramaj ve süre doğrulanır.","")</x:f>
      </x:c>
      <x:c r="J205" s="75" t="str">
        <x:f>IF($A205&lt;&gt;"",TRUE,"")</x:f>
      </x:c>
      <x:c r="K205" s="75" t="str">
        <x:f>IF($A205&lt;&gt;"",FALSE,"")</x:f>
      </x:c>
      <x:c r="L205" s="75" t="str">
        <x:f>IF($A205&lt;&gt;"","Units","")</x:f>
      </x:c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75" t="str">
        <x:f>IF(Katalog_Fiyatlayici!$AC206="Fiyat Hazır",Katalog_Fiyatlayici!$AD206,"")</x:f>
      </x:c>
      <x:c r="B206" s="75" t="str">
        <x:f>IF($A206&lt;&gt;"",Katalog_Fiyatlayici!$AF206,"")</x:f>
      </x:c>
      <x:c r="C206" s="83" t="str">
        <x:f>IF($A206&lt;&gt;"",Katalog_Fiyatlayici!$AA206,"")</x:f>
      </x:c>
      <x:c r="D206" s="83" t="str">
        <x:f>IF($A206&lt;&gt;"",Katalog_Fiyatlayici!$W206,"")</x:f>
      </x:c>
      <x:c r="E206" s="75" t="str">
        <x:f>IF($A206&lt;&gt;"","Service","")</x:f>
      </x:c>
      <x:c r="F206" s="75" t="str">
        <x:f>IF($A206&lt;&gt;"",Katalog_Fiyatlayici!$AE206,"")</x:f>
      </x:c>
      <x:c r="G206" s="75" t="str">
        <x:f>IF($A206&lt;&gt;"",Katalog_Fiyatlayici!$AD206,"")</x:f>
      </x:c>
      <x:c r="H206" s="75" t="str">
        <x:f>IF($A206&lt;&gt;"",Katalog_Fiyatlayici!$B206,"")</x:f>
      </x:c>
      <x:c r="I206" s="75" t="str">
        <x:f>IF($A206&lt;&gt;"","MakerWorld model linkine göre tahmini 3D baskı fiyatı. Gerçek üretimden önce Bambu Studio ile gramaj ve süre doğrulanır.","")</x:f>
      </x:c>
      <x:c r="J206" s="75" t="str">
        <x:f>IF($A206&lt;&gt;"",TRUE,"")</x:f>
      </x:c>
      <x:c r="K206" s="75" t="str">
        <x:f>IF($A206&lt;&gt;"",FALSE,"")</x:f>
      </x:c>
      <x:c r="L206" s="75" t="str">
        <x:f>IF($A206&lt;&gt;"","Units","")</x:f>
      </x:c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75" t="str">
        <x:f>IF(Katalog_Fiyatlayici!$AC207="Fiyat Hazır",Katalog_Fiyatlayici!$AD207,"")</x:f>
      </x:c>
      <x:c r="B207" s="75" t="str">
        <x:f>IF($A207&lt;&gt;"",Katalog_Fiyatlayici!$AF207,"")</x:f>
      </x:c>
      <x:c r="C207" s="83" t="str">
        <x:f>IF($A207&lt;&gt;"",Katalog_Fiyatlayici!$AA207,"")</x:f>
      </x:c>
      <x:c r="D207" s="83" t="str">
        <x:f>IF($A207&lt;&gt;"",Katalog_Fiyatlayici!$W207,"")</x:f>
      </x:c>
      <x:c r="E207" s="75" t="str">
        <x:f>IF($A207&lt;&gt;"","Service","")</x:f>
      </x:c>
      <x:c r="F207" s="75" t="str">
        <x:f>IF($A207&lt;&gt;"",Katalog_Fiyatlayici!$AE207,"")</x:f>
      </x:c>
      <x:c r="G207" s="75" t="str">
        <x:f>IF($A207&lt;&gt;"",Katalog_Fiyatlayici!$AD207,"")</x:f>
      </x:c>
      <x:c r="H207" s="75" t="str">
        <x:f>IF($A207&lt;&gt;"",Katalog_Fiyatlayici!$B207,"")</x:f>
      </x:c>
      <x:c r="I207" s="75" t="str">
        <x:f>IF($A207&lt;&gt;"","MakerWorld model linkine göre tahmini 3D baskı fiyatı. Gerçek üretimden önce Bambu Studio ile gramaj ve süre doğrulanır.","")</x:f>
      </x:c>
      <x:c r="J207" s="75" t="str">
        <x:f>IF($A207&lt;&gt;"",TRUE,"")</x:f>
      </x:c>
      <x:c r="K207" s="75" t="str">
        <x:f>IF($A207&lt;&gt;"",FALSE,"")</x:f>
      </x:c>
      <x:c r="L207" s="75" t="str">
        <x:f>IF($A207&lt;&gt;"","Units","")</x:f>
      </x:c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75" t="str">
        <x:f>IF(Katalog_Fiyatlayici!$AC208="Fiyat Hazır",Katalog_Fiyatlayici!$AD208,"")</x:f>
      </x:c>
      <x:c r="B208" s="75" t="str">
        <x:f>IF($A208&lt;&gt;"",Katalog_Fiyatlayici!$AF208,"")</x:f>
      </x:c>
      <x:c r="C208" s="83" t="str">
        <x:f>IF($A208&lt;&gt;"",Katalog_Fiyatlayici!$AA208,"")</x:f>
      </x:c>
      <x:c r="D208" s="83" t="str">
        <x:f>IF($A208&lt;&gt;"",Katalog_Fiyatlayici!$W208,"")</x:f>
      </x:c>
      <x:c r="E208" s="75" t="str">
        <x:f>IF($A208&lt;&gt;"","Service","")</x:f>
      </x:c>
      <x:c r="F208" s="75" t="str">
        <x:f>IF($A208&lt;&gt;"",Katalog_Fiyatlayici!$AE208,"")</x:f>
      </x:c>
      <x:c r="G208" s="75" t="str">
        <x:f>IF($A208&lt;&gt;"",Katalog_Fiyatlayici!$AD208,"")</x:f>
      </x:c>
      <x:c r="H208" s="75" t="str">
        <x:f>IF($A208&lt;&gt;"",Katalog_Fiyatlayici!$B208,"")</x:f>
      </x:c>
      <x:c r="I208" s="75" t="str">
        <x:f>IF($A208&lt;&gt;"","MakerWorld model linkine göre tahmini 3D baskı fiyatı. Gerçek üretimden önce Bambu Studio ile gramaj ve süre doğrulanır.","")</x:f>
      </x:c>
      <x:c r="J208" s="75" t="str">
        <x:f>IF($A208&lt;&gt;"",TRUE,"")</x:f>
      </x:c>
      <x:c r="K208" s="75" t="str">
        <x:f>IF($A208&lt;&gt;"",FALSE,"")</x:f>
      </x:c>
      <x:c r="L208" s="75" t="str">
        <x:f>IF($A208&lt;&gt;"","Units","")</x:f>
      </x:c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75" t="str">
        <x:f>IF(Katalog_Fiyatlayici!$AC209="Fiyat Hazır",Katalog_Fiyatlayici!$AD209,"")</x:f>
      </x:c>
      <x:c r="B209" s="75" t="str">
        <x:f>IF($A209&lt;&gt;"",Katalog_Fiyatlayici!$AF209,"")</x:f>
      </x:c>
      <x:c r="C209" s="83" t="str">
        <x:f>IF($A209&lt;&gt;"",Katalog_Fiyatlayici!$AA209,"")</x:f>
      </x:c>
      <x:c r="D209" s="83" t="str">
        <x:f>IF($A209&lt;&gt;"",Katalog_Fiyatlayici!$W209,"")</x:f>
      </x:c>
      <x:c r="E209" s="75" t="str">
        <x:f>IF($A209&lt;&gt;"","Service","")</x:f>
      </x:c>
      <x:c r="F209" s="75" t="str">
        <x:f>IF($A209&lt;&gt;"",Katalog_Fiyatlayici!$AE209,"")</x:f>
      </x:c>
      <x:c r="G209" s="75" t="str">
        <x:f>IF($A209&lt;&gt;"",Katalog_Fiyatlayici!$AD209,"")</x:f>
      </x:c>
      <x:c r="H209" s="75" t="str">
        <x:f>IF($A209&lt;&gt;"",Katalog_Fiyatlayici!$B209,"")</x:f>
      </x:c>
      <x:c r="I209" s="75" t="str">
        <x:f>IF($A209&lt;&gt;"","MakerWorld model linkine göre tahmini 3D baskı fiyatı. Gerçek üretimden önce Bambu Studio ile gramaj ve süre doğrulanır.","")</x:f>
      </x:c>
      <x:c r="J209" s="75" t="str">
        <x:f>IF($A209&lt;&gt;"",TRUE,"")</x:f>
      </x:c>
      <x:c r="K209" s="75" t="str">
        <x:f>IF($A209&lt;&gt;"",FALSE,"")</x:f>
      </x:c>
      <x:c r="L209" s="75" t="str">
        <x:f>IF($A209&lt;&gt;"","Units","")</x:f>
      </x:c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75" t="str">
        <x:f>IF(Katalog_Fiyatlayici!$AC210="Fiyat Hazır",Katalog_Fiyatlayici!$AD210,"")</x:f>
      </x:c>
      <x:c r="B210" s="75" t="str">
        <x:f>IF($A210&lt;&gt;"",Katalog_Fiyatlayici!$AF210,"")</x:f>
      </x:c>
      <x:c r="C210" s="83" t="str">
        <x:f>IF($A210&lt;&gt;"",Katalog_Fiyatlayici!$AA210,"")</x:f>
      </x:c>
      <x:c r="D210" s="83" t="str">
        <x:f>IF($A210&lt;&gt;"",Katalog_Fiyatlayici!$W210,"")</x:f>
      </x:c>
      <x:c r="E210" s="75" t="str">
        <x:f>IF($A210&lt;&gt;"","Service","")</x:f>
      </x:c>
      <x:c r="F210" s="75" t="str">
        <x:f>IF($A210&lt;&gt;"",Katalog_Fiyatlayici!$AE210,"")</x:f>
      </x:c>
      <x:c r="G210" s="75" t="str">
        <x:f>IF($A210&lt;&gt;"",Katalog_Fiyatlayici!$AD210,"")</x:f>
      </x:c>
      <x:c r="H210" s="75" t="str">
        <x:f>IF($A210&lt;&gt;"",Katalog_Fiyatlayici!$B210,"")</x:f>
      </x:c>
      <x:c r="I210" s="75" t="str">
        <x:f>IF($A210&lt;&gt;"","MakerWorld model linkine göre tahmini 3D baskı fiyatı. Gerçek üretimden önce Bambu Studio ile gramaj ve süre doğrulanır.","")</x:f>
      </x:c>
      <x:c r="J210" s="75" t="str">
        <x:f>IF($A210&lt;&gt;"",TRUE,"")</x:f>
      </x:c>
      <x:c r="K210" s="75" t="str">
        <x:f>IF($A210&lt;&gt;"",FALSE,"")</x:f>
      </x:c>
      <x:c r="L210" s="75" t="str">
        <x:f>IF($A210&lt;&gt;"","Units","")</x:f>
      </x:c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75" t="str">
        <x:f>IF(Katalog_Fiyatlayici!$AC211="Fiyat Hazır",Katalog_Fiyatlayici!$AD211,"")</x:f>
      </x:c>
      <x:c r="B211" s="75" t="str">
        <x:f>IF($A211&lt;&gt;"",Katalog_Fiyatlayici!$AF211,"")</x:f>
      </x:c>
      <x:c r="C211" s="83" t="str">
        <x:f>IF($A211&lt;&gt;"",Katalog_Fiyatlayici!$AA211,"")</x:f>
      </x:c>
      <x:c r="D211" s="83" t="str">
        <x:f>IF($A211&lt;&gt;"",Katalog_Fiyatlayici!$W211,"")</x:f>
      </x:c>
      <x:c r="E211" s="75" t="str">
        <x:f>IF($A211&lt;&gt;"","Service","")</x:f>
      </x:c>
      <x:c r="F211" s="75" t="str">
        <x:f>IF($A211&lt;&gt;"",Katalog_Fiyatlayici!$AE211,"")</x:f>
      </x:c>
      <x:c r="G211" s="75" t="str">
        <x:f>IF($A211&lt;&gt;"",Katalog_Fiyatlayici!$AD211,"")</x:f>
      </x:c>
      <x:c r="H211" s="75" t="str">
        <x:f>IF($A211&lt;&gt;"",Katalog_Fiyatlayici!$B211,"")</x:f>
      </x:c>
      <x:c r="I211" s="75" t="str">
        <x:f>IF($A211&lt;&gt;"","MakerWorld model linkine göre tahmini 3D baskı fiyatı. Gerçek üretimden önce Bambu Studio ile gramaj ve süre doğrulanır.","")</x:f>
      </x:c>
      <x:c r="J211" s="75" t="str">
        <x:f>IF($A211&lt;&gt;"",TRUE,"")</x:f>
      </x:c>
      <x:c r="K211" s="75" t="str">
        <x:f>IF($A211&lt;&gt;"",FALSE,"")</x:f>
      </x:c>
      <x:c r="L211" s="75" t="str">
        <x:f>IF($A211&lt;&gt;"","Units","")</x:f>
      </x:c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75" t="str">
        <x:f>IF(Katalog_Fiyatlayici!$AC212="Fiyat Hazır",Katalog_Fiyatlayici!$AD212,"")</x:f>
      </x:c>
      <x:c r="B212" s="75" t="str">
        <x:f>IF($A212&lt;&gt;"",Katalog_Fiyatlayici!$AF212,"")</x:f>
      </x:c>
      <x:c r="C212" s="83" t="str">
        <x:f>IF($A212&lt;&gt;"",Katalog_Fiyatlayici!$AA212,"")</x:f>
      </x:c>
      <x:c r="D212" s="83" t="str">
        <x:f>IF($A212&lt;&gt;"",Katalog_Fiyatlayici!$W212,"")</x:f>
      </x:c>
      <x:c r="E212" s="75" t="str">
        <x:f>IF($A212&lt;&gt;"","Service","")</x:f>
      </x:c>
      <x:c r="F212" s="75" t="str">
        <x:f>IF($A212&lt;&gt;"",Katalog_Fiyatlayici!$AE212,"")</x:f>
      </x:c>
      <x:c r="G212" s="75" t="str">
        <x:f>IF($A212&lt;&gt;"",Katalog_Fiyatlayici!$AD212,"")</x:f>
      </x:c>
      <x:c r="H212" s="75" t="str">
        <x:f>IF($A212&lt;&gt;"",Katalog_Fiyatlayici!$B212,"")</x:f>
      </x:c>
      <x:c r="I212" s="75" t="str">
        <x:f>IF($A212&lt;&gt;"","MakerWorld model linkine göre tahmini 3D baskı fiyatı. Gerçek üretimden önce Bambu Studio ile gramaj ve süre doğrulanır.","")</x:f>
      </x:c>
      <x:c r="J212" s="75" t="str">
        <x:f>IF($A212&lt;&gt;"",TRUE,"")</x:f>
      </x:c>
      <x:c r="K212" s="75" t="str">
        <x:f>IF($A212&lt;&gt;"",FALSE,"")</x:f>
      </x:c>
      <x:c r="L212" s="75" t="str">
        <x:f>IF($A212&lt;&gt;"","Units","")</x:f>
      </x:c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75" t="str">
        <x:f>IF(Katalog_Fiyatlayici!$AC213="Fiyat Hazır",Katalog_Fiyatlayici!$AD213,"")</x:f>
      </x:c>
      <x:c r="B213" s="75" t="str">
        <x:f>IF($A213&lt;&gt;"",Katalog_Fiyatlayici!$AF213,"")</x:f>
      </x:c>
      <x:c r="C213" s="83" t="str">
        <x:f>IF($A213&lt;&gt;"",Katalog_Fiyatlayici!$AA213,"")</x:f>
      </x:c>
      <x:c r="D213" s="83" t="str">
        <x:f>IF($A213&lt;&gt;"",Katalog_Fiyatlayici!$W213,"")</x:f>
      </x:c>
      <x:c r="E213" s="75" t="str">
        <x:f>IF($A213&lt;&gt;"","Service","")</x:f>
      </x:c>
      <x:c r="F213" s="75" t="str">
        <x:f>IF($A213&lt;&gt;"",Katalog_Fiyatlayici!$AE213,"")</x:f>
      </x:c>
      <x:c r="G213" s="75" t="str">
        <x:f>IF($A213&lt;&gt;"",Katalog_Fiyatlayici!$AD213,"")</x:f>
      </x:c>
      <x:c r="H213" s="75" t="str">
        <x:f>IF($A213&lt;&gt;"",Katalog_Fiyatlayici!$B213,"")</x:f>
      </x:c>
      <x:c r="I213" s="75" t="str">
        <x:f>IF($A213&lt;&gt;"","MakerWorld model linkine göre tahmini 3D baskı fiyatı. Gerçek üretimden önce Bambu Studio ile gramaj ve süre doğrulanır.","")</x:f>
      </x:c>
      <x:c r="J213" s="75" t="str">
        <x:f>IF($A213&lt;&gt;"",TRUE,"")</x:f>
      </x:c>
      <x:c r="K213" s="75" t="str">
        <x:f>IF($A213&lt;&gt;"",FALSE,"")</x:f>
      </x:c>
      <x:c r="L213" s="75" t="str">
        <x:f>IF($A213&lt;&gt;"","Units","")</x:f>
      </x:c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75" t="str">
        <x:f>IF(Katalog_Fiyatlayici!$AC214="Fiyat Hazır",Katalog_Fiyatlayici!$AD214,"")</x:f>
      </x:c>
      <x:c r="B214" s="75" t="str">
        <x:f>IF($A214&lt;&gt;"",Katalog_Fiyatlayici!$AF214,"")</x:f>
      </x:c>
      <x:c r="C214" s="83" t="str">
        <x:f>IF($A214&lt;&gt;"",Katalog_Fiyatlayici!$AA214,"")</x:f>
      </x:c>
      <x:c r="D214" s="83" t="str">
        <x:f>IF($A214&lt;&gt;"",Katalog_Fiyatlayici!$W214,"")</x:f>
      </x:c>
      <x:c r="E214" s="75" t="str">
        <x:f>IF($A214&lt;&gt;"","Service","")</x:f>
      </x:c>
      <x:c r="F214" s="75" t="str">
        <x:f>IF($A214&lt;&gt;"",Katalog_Fiyatlayici!$AE214,"")</x:f>
      </x:c>
      <x:c r="G214" s="75" t="str">
        <x:f>IF($A214&lt;&gt;"",Katalog_Fiyatlayici!$AD214,"")</x:f>
      </x:c>
      <x:c r="H214" s="75" t="str">
        <x:f>IF($A214&lt;&gt;"",Katalog_Fiyatlayici!$B214,"")</x:f>
      </x:c>
      <x:c r="I214" s="75" t="str">
        <x:f>IF($A214&lt;&gt;"","MakerWorld model linkine göre tahmini 3D baskı fiyatı. Gerçek üretimden önce Bambu Studio ile gramaj ve süre doğrulanır.","")</x:f>
      </x:c>
      <x:c r="J214" s="75" t="str">
        <x:f>IF($A214&lt;&gt;"",TRUE,"")</x:f>
      </x:c>
      <x:c r="K214" s="75" t="str">
        <x:f>IF($A214&lt;&gt;"",FALSE,"")</x:f>
      </x:c>
      <x:c r="L214" s="75" t="str">
        <x:f>IF($A214&lt;&gt;"","Units","")</x:f>
      </x:c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75" t="str">
        <x:f>IF(Katalog_Fiyatlayici!$AC215="Fiyat Hazır",Katalog_Fiyatlayici!$AD215,"")</x:f>
      </x:c>
      <x:c r="B215" s="75" t="str">
        <x:f>IF($A215&lt;&gt;"",Katalog_Fiyatlayici!$AF215,"")</x:f>
      </x:c>
      <x:c r="C215" s="83" t="str">
        <x:f>IF($A215&lt;&gt;"",Katalog_Fiyatlayici!$AA215,"")</x:f>
      </x:c>
      <x:c r="D215" s="83" t="str">
        <x:f>IF($A215&lt;&gt;"",Katalog_Fiyatlayici!$W215,"")</x:f>
      </x:c>
      <x:c r="E215" s="75" t="str">
        <x:f>IF($A215&lt;&gt;"","Service","")</x:f>
      </x:c>
      <x:c r="F215" s="75" t="str">
        <x:f>IF($A215&lt;&gt;"",Katalog_Fiyatlayici!$AE215,"")</x:f>
      </x:c>
      <x:c r="G215" s="75" t="str">
        <x:f>IF($A215&lt;&gt;"",Katalog_Fiyatlayici!$AD215,"")</x:f>
      </x:c>
      <x:c r="H215" s="75" t="str">
        <x:f>IF($A215&lt;&gt;"",Katalog_Fiyatlayici!$B215,"")</x:f>
      </x:c>
      <x:c r="I215" s="75" t="str">
        <x:f>IF($A215&lt;&gt;"","MakerWorld model linkine göre tahmini 3D baskı fiyatı. Gerçek üretimden önce Bambu Studio ile gramaj ve süre doğrulanır.","")</x:f>
      </x:c>
      <x:c r="J215" s="75" t="str">
        <x:f>IF($A215&lt;&gt;"",TRUE,"")</x:f>
      </x:c>
      <x:c r="K215" s="75" t="str">
        <x:f>IF($A215&lt;&gt;"",FALSE,"")</x:f>
      </x:c>
      <x:c r="L215" s="75" t="str">
        <x:f>IF($A215&lt;&gt;"","Units","")</x:f>
      </x:c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75" t="str">
        <x:f>IF(Katalog_Fiyatlayici!$AC216="Fiyat Hazır",Katalog_Fiyatlayici!$AD216,"")</x:f>
      </x:c>
      <x:c r="B216" s="75" t="str">
        <x:f>IF($A216&lt;&gt;"",Katalog_Fiyatlayici!$AF216,"")</x:f>
      </x:c>
      <x:c r="C216" s="83" t="str">
        <x:f>IF($A216&lt;&gt;"",Katalog_Fiyatlayici!$AA216,"")</x:f>
      </x:c>
      <x:c r="D216" s="83" t="str">
        <x:f>IF($A216&lt;&gt;"",Katalog_Fiyatlayici!$W216,"")</x:f>
      </x:c>
      <x:c r="E216" s="75" t="str">
        <x:f>IF($A216&lt;&gt;"","Service","")</x:f>
      </x:c>
      <x:c r="F216" s="75" t="str">
        <x:f>IF($A216&lt;&gt;"",Katalog_Fiyatlayici!$AE216,"")</x:f>
      </x:c>
      <x:c r="G216" s="75" t="str">
        <x:f>IF($A216&lt;&gt;"",Katalog_Fiyatlayici!$AD216,"")</x:f>
      </x:c>
      <x:c r="H216" s="75" t="str">
        <x:f>IF($A216&lt;&gt;"",Katalog_Fiyatlayici!$B216,"")</x:f>
      </x:c>
      <x:c r="I216" s="75" t="str">
        <x:f>IF($A216&lt;&gt;"","MakerWorld model linkine göre tahmini 3D baskı fiyatı. Gerçek üretimden önce Bambu Studio ile gramaj ve süre doğrulanır.","")</x:f>
      </x:c>
      <x:c r="J216" s="75" t="str">
        <x:f>IF($A216&lt;&gt;"",TRUE,"")</x:f>
      </x:c>
      <x:c r="K216" s="75" t="str">
        <x:f>IF($A216&lt;&gt;"",FALSE,"")</x:f>
      </x:c>
      <x:c r="L216" s="75" t="str">
        <x:f>IF($A216&lt;&gt;"","Units","")</x:f>
      </x:c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75" t="str">
        <x:f>IF(Katalog_Fiyatlayici!$AC217="Fiyat Hazır",Katalog_Fiyatlayici!$AD217,"")</x:f>
      </x:c>
      <x:c r="B217" s="75" t="str">
        <x:f>IF($A217&lt;&gt;"",Katalog_Fiyatlayici!$AF217,"")</x:f>
      </x:c>
      <x:c r="C217" s="83" t="str">
        <x:f>IF($A217&lt;&gt;"",Katalog_Fiyatlayici!$AA217,"")</x:f>
      </x:c>
      <x:c r="D217" s="83" t="str">
        <x:f>IF($A217&lt;&gt;"",Katalog_Fiyatlayici!$W217,"")</x:f>
      </x:c>
      <x:c r="E217" s="75" t="str">
        <x:f>IF($A217&lt;&gt;"","Service","")</x:f>
      </x:c>
      <x:c r="F217" s="75" t="str">
        <x:f>IF($A217&lt;&gt;"",Katalog_Fiyatlayici!$AE217,"")</x:f>
      </x:c>
      <x:c r="G217" s="75" t="str">
        <x:f>IF($A217&lt;&gt;"",Katalog_Fiyatlayici!$AD217,"")</x:f>
      </x:c>
      <x:c r="H217" s="75" t="str">
        <x:f>IF($A217&lt;&gt;"",Katalog_Fiyatlayici!$B217,"")</x:f>
      </x:c>
      <x:c r="I217" s="75" t="str">
        <x:f>IF($A217&lt;&gt;"","MakerWorld model linkine göre tahmini 3D baskı fiyatı. Gerçek üretimden önce Bambu Studio ile gramaj ve süre doğrulanır.","")</x:f>
      </x:c>
      <x:c r="J217" s="75" t="str">
        <x:f>IF($A217&lt;&gt;"",TRUE,"")</x:f>
      </x:c>
      <x:c r="K217" s="75" t="str">
        <x:f>IF($A217&lt;&gt;"",FALSE,"")</x:f>
      </x:c>
      <x:c r="L217" s="75" t="str">
        <x:f>IF($A217&lt;&gt;"","Units","")</x:f>
      </x:c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75" t="str">
        <x:f>IF(Katalog_Fiyatlayici!$AC218="Fiyat Hazır",Katalog_Fiyatlayici!$AD218,"")</x:f>
      </x:c>
      <x:c r="B218" s="75" t="str">
        <x:f>IF($A218&lt;&gt;"",Katalog_Fiyatlayici!$AF218,"")</x:f>
      </x:c>
      <x:c r="C218" s="83" t="str">
        <x:f>IF($A218&lt;&gt;"",Katalog_Fiyatlayici!$AA218,"")</x:f>
      </x:c>
      <x:c r="D218" s="83" t="str">
        <x:f>IF($A218&lt;&gt;"",Katalog_Fiyatlayici!$W218,"")</x:f>
      </x:c>
      <x:c r="E218" s="75" t="str">
        <x:f>IF($A218&lt;&gt;"","Service","")</x:f>
      </x:c>
      <x:c r="F218" s="75" t="str">
        <x:f>IF($A218&lt;&gt;"",Katalog_Fiyatlayici!$AE218,"")</x:f>
      </x:c>
      <x:c r="G218" s="75" t="str">
        <x:f>IF($A218&lt;&gt;"",Katalog_Fiyatlayici!$AD218,"")</x:f>
      </x:c>
      <x:c r="H218" s="75" t="str">
        <x:f>IF($A218&lt;&gt;"",Katalog_Fiyatlayici!$B218,"")</x:f>
      </x:c>
      <x:c r="I218" s="75" t="str">
        <x:f>IF($A218&lt;&gt;"","MakerWorld model linkine göre tahmini 3D baskı fiyatı. Gerçek üretimden önce Bambu Studio ile gramaj ve süre doğrulanır.","")</x:f>
      </x:c>
      <x:c r="J218" s="75" t="str">
        <x:f>IF($A218&lt;&gt;"",TRUE,"")</x:f>
      </x:c>
      <x:c r="K218" s="75" t="str">
        <x:f>IF($A218&lt;&gt;"",FALSE,"")</x:f>
      </x:c>
      <x:c r="L218" s="75" t="str">
        <x:f>IF($A218&lt;&gt;"","Units","")</x:f>
      </x:c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75" t="str">
        <x:f>IF(Katalog_Fiyatlayici!$AC219="Fiyat Hazır",Katalog_Fiyatlayici!$AD219,"")</x:f>
      </x:c>
      <x:c r="B219" s="75" t="str">
        <x:f>IF($A219&lt;&gt;"",Katalog_Fiyatlayici!$AF219,"")</x:f>
      </x:c>
      <x:c r="C219" s="83" t="str">
        <x:f>IF($A219&lt;&gt;"",Katalog_Fiyatlayici!$AA219,"")</x:f>
      </x:c>
      <x:c r="D219" s="83" t="str">
        <x:f>IF($A219&lt;&gt;"",Katalog_Fiyatlayici!$W219,"")</x:f>
      </x:c>
      <x:c r="E219" s="75" t="str">
        <x:f>IF($A219&lt;&gt;"","Service","")</x:f>
      </x:c>
      <x:c r="F219" s="75" t="str">
        <x:f>IF($A219&lt;&gt;"",Katalog_Fiyatlayici!$AE219,"")</x:f>
      </x:c>
      <x:c r="G219" s="75" t="str">
        <x:f>IF($A219&lt;&gt;"",Katalog_Fiyatlayici!$AD219,"")</x:f>
      </x:c>
      <x:c r="H219" s="75" t="str">
        <x:f>IF($A219&lt;&gt;"",Katalog_Fiyatlayici!$B219,"")</x:f>
      </x:c>
      <x:c r="I219" s="75" t="str">
        <x:f>IF($A219&lt;&gt;"","MakerWorld model linkine göre tahmini 3D baskı fiyatı. Gerçek üretimden önce Bambu Studio ile gramaj ve süre doğrulanır.","")</x:f>
      </x:c>
      <x:c r="J219" s="75" t="str">
        <x:f>IF($A219&lt;&gt;"",TRUE,"")</x:f>
      </x:c>
      <x:c r="K219" s="75" t="str">
        <x:f>IF($A219&lt;&gt;"",FALSE,"")</x:f>
      </x:c>
      <x:c r="L219" s="75" t="str">
        <x:f>IF($A219&lt;&gt;"","Units","")</x:f>
      </x:c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75" t="str">
        <x:f>IF(Katalog_Fiyatlayici!$AC220="Fiyat Hazır",Katalog_Fiyatlayici!$AD220,"")</x:f>
      </x:c>
      <x:c r="B220" s="75" t="str">
        <x:f>IF($A220&lt;&gt;"",Katalog_Fiyatlayici!$AF220,"")</x:f>
      </x:c>
      <x:c r="C220" s="83" t="str">
        <x:f>IF($A220&lt;&gt;"",Katalog_Fiyatlayici!$AA220,"")</x:f>
      </x:c>
      <x:c r="D220" s="83" t="str">
        <x:f>IF($A220&lt;&gt;"",Katalog_Fiyatlayici!$W220,"")</x:f>
      </x:c>
      <x:c r="E220" s="75" t="str">
        <x:f>IF($A220&lt;&gt;"","Service","")</x:f>
      </x:c>
      <x:c r="F220" s="75" t="str">
        <x:f>IF($A220&lt;&gt;"",Katalog_Fiyatlayici!$AE220,"")</x:f>
      </x:c>
      <x:c r="G220" s="75" t="str">
        <x:f>IF($A220&lt;&gt;"",Katalog_Fiyatlayici!$AD220,"")</x:f>
      </x:c>
      <x:c r="H220" s="75" t="str">
        <x:f>IF($A220&lt;&gt;"",Katalog_Fiyatlayici!$B220,"")</x:f>
      </x:c>
      <x:c r="I220" s="75" t="str">
        <x:f>IF($A220&lt;&gt;"","MakerWorld model linkine göre tahmini 3D baskı fiyatı. Gerçek üretimden önce Bambu Studio ile gramaj ve süre doğrulanır.","")</x:f>
      </x:c>
      <x:c r="J220" s="75" t="str">
        <x:f>IF($A220&lt;&gt;"",TRUE,"")</x:f>
      </x:c>
      <x:c r="K220" s="75" t="str">
        <x:f>IF($A220&lt;&gt;"",FALSE,"")</x:f>
      </x:c>
      <x:c r="L220" s="75" t="str">
        <x:f>IF($A220&lt;&gt;"","Units","")</x:f>
      </x:c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75" t="str">
        <x:f>IF(Katalog_Fiyatlayici!$AC221="Fiyat Hazır",Katalog_Fiyatlayici!$AD221,"")</x:f>
      </x:c>
      <x:c r="B221" s="75" t="str">
        <x:f>IF($A221&lt;&gt;"",Katalog_Fiyatlayici!$AF221,"")</x:f>
      </x:c>
      <x:c r="C221" s="83" t="str">
        <x:f>IF($A221&lt;&gt;"",Katalog_Fiyatlayici!$AA221,"")</x:f>
      </x:c>
      <x:c r="D221" s="83" t="str">
        <x:f>IF($A221&lt;&gt;"",Katalog_Fiyatlayici!$W221,"")</x:f>
      </x:c>
      <x:c r="E221" s="75" t="str">
        <x:f>IF($A221&lt;&gt;"","Service","")</x:f>
      </x:c>
      <x:c r="F221" s="75" t="str">
        <x:f>IF($A221&lt;&gt;"",Katalog_Fiyatlayici!$AE221,"")</x:f>
      </x:c>
      <x:c r="G221" s="75" t="str">
        <x:f>IF($A221&lt;&gt;"",Katalog_Fiyatlayici!$AD221,"")</x:f>
      </x:c>
      <x:c r="H221" s="75" t="str">
        <x:f>IF($A221&lt;&gt;"",Katalog_Fiyatlayici!$B221,"")</x:f>
      </x:c>
      <x:c r="I221" s="75" t="str">
        <x:f>IF($A221&lt;&gt;"","MakerWorld model linkine göre tahmini 3D baskı fiyatı. Gerçek üretimden önce Bambu Studio ile gramaj ve süre doğrulanır.","")</x:f>
      </x:c>
      <x:c r="J221" s="75" t="str">
        <x:f>IF($A221&lt;&gt;"",TRUE,"")</x:f>
      </x:c>
      <x:c r="K221" s="75" t="str">
        <x:f>IF($A221&lt;&gt;"",FALSE,"")</x:f>
      </x:c>
      <x:c r="L221" s="75" t="str">
        <x:f>IF($A221&lt;&gt;"","Units","")</x:f>
      </x:c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75" t="str">
        <x:f>IF(Katalog_Fiyatlayici!$AC222="Fiyat Hazır",Katalog_Fiyatlayici!$AD222,"")</x:f>
      </x:c>
      <x:c r="B222" s="75" t="str">
        <x:f>IF($A222&lt;&gt;"",Katalog_Fiyatlayici!$AF222,"")</x:f>
      </x:c>
      <x:c r="C222" s="83" t="str">
        <x:f>IF($A222&lt;&gt;"",Katalog_Fiyatlayici!$AA222,"")</x:f>
      </x:c>
      <x:c r="D222" s="83" t="str">
        <x:f>IF($A222&lt;&gt;"",Katalog_Fiyatlayici!$W222,"")</x:f>
      </x:c>
      <x:c r="E222" s="75" t="str">
        <x:f>IF($A222&lt;&gt;"","Service","")</x:f>
      </x:c>
      <x:c r="F222" s="75" t="str">
        <x:f>IF($A222&lt;&gt;"",Katalog_Fiyatlayici!$AE222,"")</x:f>
      </x:c>
      <x:c r="G222" s="75" t="str">
        <x:f>IF($A222&lt;&gt;"",Katalog_Fiyatlayici!$AD222,"")</x:f>
      </x:c>
      <x:c r="H222" s="75" t="str">
        <x:f>IF($A222&lt;&gt;"",Katalog_Fiyatlayici!$B222,"")</x:f>
      </x:c>
      <x:c r="I222" s="75" t="str">
        <x:f>IF($A222&lt;&gt;"","MakerWorld model linkine göre tahmini 3D baskı fiyatı. Gerçek üretimden önce Bambu Studio ile gramaj ve süre doğrulanır.","")</x:f>
      </x:c>
      <x:c r="J222" s="75" t="str">
        <x:f>IF($A222&lt;&gt;"",TRUE,"")</x:f>
      </x:c>
      <x:c r="K222" s="75" t="str">
        <x:f>IF($A222&lt;&gt;"",FALSE,"")</x:f>
      </x:c>
      <x:c r="L222" s="75" t="str">
        <x:f>IF($A222&lt;&gt;"","Units","")</x:f>
      </x:c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75" t="str">
        <x:f>IF(Katalog_Fiyatlayici!$AC223="Fiyat Hazır",Katalog_Fiyatlayici!$AD223,"")</x:f>
      </x:c>
      <x:c r="B223" s="75" t="str">
        <x:f>IF($A223&lt;&gt;"",Katalog_Fiyatlayici!$AF223,"")</x:f>
      </x:c>
      <x:c r="C223" s="83" t="str">
        <x:f>IF($A223&lt;&gt;"",Katalog_Fiyatlayici!$AA223,"")</x:f>
      </x:c>
      <x:c r="D223" s="83" t="str">
        <x:f>IF($A223&lt;&gt;"",Katalog_Fiyatlayici!$W223,"")</x:f>
      </x:c>
      <x:c r="E223" s="75" t="str">
        <x:f>IF($A223&lt;&gt;"","Service","")</x:f>
      </x:c>
      <x:c r="F223" s="75" t="str">
        <x:f>IF($A223&lt;&gt;"",Katalog_Fiyatlayici!$AE223,"")</x:f>
      </x:c>
      <x:c r="G223" s="75" t="str">
        <x:f>IF($A223&lt;&gt;"",Katalog_Fiyatlayici!$AD223,"")</x:f>
      </x:c>
      <x:c r="H223" s="75" t="str">
        <x:f>IF($A223&lt;&gt;"",Katalog_Fiyatlayici!$B223,"")</x:f>
      </x:c>
      <x:c r="I223" s="75" t="str">
        <x:f>IF($A223&lt;&gt;"","MakerWorld model linkine göre tahmini 3D baskı fiyatı. Gerçek üretimden önce Bambu Studio ile gramaj ve süre doğrulanır.","")</x:f>
      </x:c>
      <x:c r="J223" s="75" t="str">
        <x:f>IF($A223&lt;&gt;"",TRUE,"")</x:f>
      </x:c>
      <x:c r="K223" s="75" t="str">
        <x:f>IF($A223&lt;&gt;"",FALSE,"")</x:f>
      </x:c>
      <x:c r="L223" s="75" t="str">
        <x:f>IF($A223&lt;&gt;"","Units","")</x:f>
      </x:c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75" t="str">
        <x:f>IF(Katalog_Fiyatlayici!$AC224="Fiyat Hazır",Katalog_Fiyatlayici!$AD224,"")</x:f>
      </x:c>
      <x:c r="B224" s="75" t="str">
        <x:f>IF($A224&lt;&gt;"",Katalog_Fiyatlayici!$AF224,"")</x:f>
      </x:c>
      <x:c r="C224" s="83" t="str">
        <x:f>IF($A224&lt;&gt;"",Katalog_Fiyatlayici!$AA224,"")</x:f>
      </x:c>
      <x:c r="D224" s="83" t="str">
        <x:f>IF($A224&lt;&gt;"",Katalog_Fiyatlayici!$W224,"")</x:f>
      </x:c>
      <x:c r="E224" s="75" t="str">
        <x:f>IF($A224&lt;&gt;"","Service","")</x:f>
      </x:c>
      <x:c r="F224" s="75" t="str">
        <x:f>IF($A224&lt;&gt;"",Katalog_Fiyatlayici!$AE224,"")</x:f>
      </x:c>
      <x:c r="G224" s="75" t="str">
        <x:f>IF($A224&lt;&gt;"",Katalog_Fiyatlayici!$AD224,"")</x:f>
      </x:c>
      <x:c r="H224" s="75" t="str">
        <x:f>IF($A224&lt;&gt;"",Katalog_Fiyatlayici!$B224,"")</x:f>
      </x:c>
      <x:c r="I224" s="75" t="str">
        <x:f>IF($A224&lt;&gt;"","MakerWorld model linkine göre tahmini 3D baskı fiyatı. Gerçek üretimden önce Bambu Studio ile gramaj ve süre doğrulanır.","")</x:f>
      </x:c>
      <x:c r="J224" s="75" t="str">
        <x:f>IF($A224&lt;&gt;"",TRUE,"")</x:f>
      </x:c>
      <x:c r="K224" s="75" t="str">
        <x:f>IF($A224&lt;&gt;"",FALSE,"")</x:f>
      </x:c>
      <x:c r="L224" s="75" t="str">
        <x:f>IF($A224&lt;&gt;"","Units","")</x:f>
      </x:c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75" t="str">
        <x:f>IF(Katalog_Fiyatlayici!$AC225="Fiyat Hazır",Katalog_Fiyatlayici!$AD225,"")</x:f>
      </x:c>
      <x:c r="B225" s="75" t="str">
        <x:f>IF($A225&lt;&gt;"",Katalog_Fiyatlayici!$AF225,"")</x:f>
      </x:c>
      <x:c r="C225" s="83" t="str">
        <x:f>IF($A225&lt;&gt;"",Katalog_Fiyatlayici!$AA225,"")</x:f>
      </x:c>
      <x:c r="D225" s="83" t="str">
        <x:f>IF($A225&lt;&gt;"",Katalog_Fiyatlayici!$W225,"")</x:f>
      </x:c>
      <x:c r="E225" s="75" t="str">
        <x:f>IF($A225&lt;&gt;"","Service","")</x:f>
      </x:c>
      <x:c r="F225" s="75" t="str">
        <x:f>IF($A225&lt;&gt;"",Katalog_Fiyatlayici!$AE225,"")</x:f>
      </x:c>
      <x:c r="G225" s="75" t="str">
        <x:f>IF($A225&lt;&gt;"",Katalog_Fiyatlayici!$AD225,"")</x:f>
      </x:c>
      <x:c r="H225" s="75" t="str">
        <x:f>IF($A225&lt;&gt;"",Katalog_Fiyatlayici!$B225,"")</x:f>
      </x:c>
      <x:c r="I225" s="75" t="str">
        <x:f>IF($A225&lt;&gt;"","MakerWorld model linkine göre tahmini 3D baskı fiyatı. Gerçek üretimden önce Bambu Studio ile gramaj ve süre doğrulanır.","")</x:f>
      </x:c>
      <x:c r="J225" s="75" t="str">
        <x:f>IF($A225&lt;&gt;"",TRUE,"")</x:f>
      </x:c>
      <x:c r="K225" s="75" t="str">
        <x:f>IF($A225&lt;&gt;"",FALSE,"")</x:f>
      </x:c>
      <x:c r="L225" s="75" t="str">
        <x:f>IF($A225&lt;&gt;"","Units","")</x:f>
      </x:c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75" t="str">
        <x:f>IF(Katalog_Fiyatlayici!$AC226="Fiyat Hazır",Katalog_Fiyatlayici!$AD226,"")</x:f>
      </x:c>
      <x:c r="B226" s="75" t="str">
        <x:f>IF($A226&lt;&gt;"",Katalog_Fiyatlayici!$AF226,"")</x:f>
      </x:c>
      <x:c r="C226" s="83" t="str">
        <x:f>IF($A226&lt;&gt;"",Katalog_Fiyatlayici!$AA226,"")</x:f>
      </x:c>
      <x:c r="D226" s="83" t="str">
        <x:f>IF($A226&lt;&gt;"",Katalog_Fiyatlayici!$W226,"")</x:f>
      </x:c>
      <x:c r="E226" s="75" t="str">
        <x:f>IF($A226&lt;&gt;"","Service","")</x:f>
      </x:c>
      <x:c r="F226" s="75" t="str">
        <x:f>IF($A226&lt;&gt;"",Katalog_Fiyatlayici!$AE226,"")</x:f>
      </x:c>
      <x:c r="G226" s="75" t="str">
        <x:f>IF($A226&lt;&gt;"",Katalog_Fiyatlayici!$AD226,"")</x:f>
      </x:c>
      <x:c r="H226" s="75" t="str">
        <x:f>IF($A226&lt;&gt;"",Katalog_Fiyatlayici!$B226,"")</x:f>
      </x:c>
      <x:c r="I226" s="75" t="str">
        <x:f>IF($A226&lt;&gt;"","MakerWorld model linkine göre tahmini 3D baskı fiyatı. Gerçek üretimden önce Bambu Studio ile gramaj ve süre doğrulanır.","")</x:f>
      </x:c>
      <x:c r="J226" s="75" t="str">
        <x:f>IF($A226&lt;&gt;"",TRUE,"")</x:f>
      </x:c>
      <x:c r="K226" s="75" t="str">
        <x:f>IF($A226&lt;&gt;"",FALSE,"")</x:f>
      </x:c>
      <x:c r="L226" s="75" t="str">
        <x:f>IF($A226&lt;&gt;"","Units","")</x:f>
      </x:c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75" t="str">
        <x:f>IF(Katalog_Fiyatlayici!$AC227="Fiyat Hazır",Katalog_Fiyatlayici!$AD227,"")</x:f>
      </x:c>
      <x:c r="B227" s="75" t="str">
        <x:f>IF($A227&lt;&gt;"",Katalog_Fiyatlayici!$AF227,"")</x:f>
      </x:c>
      <x:c r="C227" s="83" t="str">
        <x:f>IF($A227&lt;&gt;"",Katalog_Fiyatlayici!$AA227,"")</x:f>
      </x:c>
      <x:c r="D227" s="83" t="str">
        <x:f>IF($A227&lt;&gt;"",Katalog_Fiyatlayici!$W227,"")</x:f>
      </x:c>
      <x:c r="E227" s="75" t="str">
        <x:f>IF($A227&lt;&gt;"","Service","")</x:f>
      </x:c>
      <x:c r="F227" s="75" t="str">
        <x:f>IF($A227&lt;&gt;"",Katalog_Fiyatlayici!$AE227,"")</x:f>
      </x:c>
      <x:c r="G227" s="75" t="str">
        <x:f>IF($A227&lt;&gt;"",Katalog_Fiyatlayici!$AD227,"")</x:f>
      </x:c>
      <x:c r="H227" s="75" t="str">
        <x:f>IF($A227&lt;&gt;"",Katalog_Fiyatlayici!$B227,"")</x:f>
      </x:c>
      <x:c r="I227" s="75" t="str">
        <x:f>IF($A227&lt;&gt;"","MakerWorld model linkine göre tahmini 3D baskı fiyatı. Gerçek üretimden önce Bambu Studio ile gramaj ve süre doğrulanır.","")</x:f>
      </x:c>
      <x:c r="J227" s="75" t="str">
        <x:f>IF($A227&lt;&gt;"",TRUE,"")</x:f>
      </x:c>
      <x:c r="K227" s="75" t="str">
        <x:f>IF($A227&lt;&gt;"",FALSE,"")</x:f>
      </x:c>
      <x:c r="L227" s="75" t="str">
        <x:f>IF($A227&lt;&gt;"","Units","")</x:f>
      </x:c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75" t="str">
        <x:f>IF(Katalog_Fiyatlayici!$AC228="Fiyat Hazır",Katalog_Fiyatlayici!$AD228,"")</x:f>
      </x:c>
      <x:c r="B228" s="75" t="str">
        <x:f>IF($A228&lt;&gt;"",Katalog_Fiyatlayici!$AF228,"")</x:f>
      </x:c>
      <x:c r="C228" s="83" t="str">
        <x:f>IF($A228&lt;&gt;"",Katalog_Fiyatlayici!$AA228,"")</x:f>
      </x:c>
      <x:c r="D228" s="83" t="str">
        <x:f>IF($A228&lt;&gt;"",Katalog_Fiyatlayici!$W228,"")</x:f>
      </x:c>
      <x:c r="E228" s="75" t="str">
        <x:f>IF($A228&lt;&gt;"","Service","")</x:f>
      </x:c>
      <x:c r="F228" s="75" t="str">
        <x:f>IF($A228&lt;&gt;"",Katalog_Fiyatlayici!$AE228,"")</x:f>
      </x:c>
      <x:c r="G228" s="75" t="str">
        <x:f>IF($A228&lt;&gt;"",Katalog_Fiyatlayici!$AD228,"")</x:f>
      </x:c>
      <x:c r="H228" s="75" t="str">
        <x:f>IF($A228&lt;&gt;"",Katalog_Fiyatlayici!$B228,"")</x:f>
      </x:c>
      <x:c r="I228" s="75" t="str">
        <x:f>IF($A228&lt;&gt;"","MakerWorld model linkine göre tahmini 3D baskı fiyatı. Gerçek üretimden önce Bambu Studio ile gramaj ve süre doğrulanır.","")</x:f>
      </x:c>
      <x:c r="J228" s="75" t="str">
        <x:f>IF($A228&lt;&gt;"",TRUE,"")</x:f>
      </x:c>
      <x:c r="K228" s="75" t="str">
        <x:f>IF($A228&lt;&gt;"",FALSE,"")</x:f>
      </x:c>
      <x:c r="L228" s="75" t="str">
        <x:f>IF($A228&lt;&gt;"","Units","")</x:f>
      </x:c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75" t="str">
        <x:f>IF(Katalog_Fiyatlayici!$AC229="Fiyat Hazır",Katalog_Fiyatlayici!$AD229,"")</x:f>
      </x:c>
      <x:c r="B229" s="75" t="str">
        <x:f>IF($A229&lt;&gt;"",Katalog_Fiyatlayici!$AF229,"")</x:f>
      </x:c>
      <x:c r="C229" s="83" t="str">
        <x:f>IF($A229&lt;&gt;"",Katalog_Fiyatlayici!$AA229,"")</x:f>
      </x:c>
      <x:c r="D229" s="83" t="str">
        <x:f>IF($A229&lt;&gt;"",Katalog_Fiyatlayici!$W229,"")</x:f>
      </x:c>
      <x:c r="E229" s="75" t="str">
        <x:f>IF($A229&lt;&gt;"","Service","")</x:f>
      </x:c>
      <x:c r="F229" s="75" t="str">
        <x:f>IF($A229&lt;&gt;"",Katalog_Fiyatlayici!$AE229,"")</x:f>
      </x:c>
      <x:c r="G229" s="75" t="str">
        <x:f>IF($A229&lt;&gt;"",Katalog_Fiyatlayici!$AD229,"")</x:f>
      </x:c>
      <x:c r="H229" s="75" t="str">
        <x:f>IF($A229&lt;&gt;"",Katalog_Fiyatlayici!$B229,"")</x:f>
      </x:c>
      <x:c r="I229" s="75" t="str">
        <x:f>IF($A229&lt;&gt;"","MakerWorld model linkine göre tahmini 3D baskı fiyatı. Gerçek üretimden önce Bambu Studio ile gramaj ve süre doğrulanır.","")</x:f>
      </x:c>
      <x:c r="J229" s="75" t="str">
        <x:f>IF($A229&lt;&gt;"",TRUE,"")</x:f>
      </x:c>
      <x:c r="K229" s="75" t="str">
        <x:f>IF($A229&lt;&gt;"",FALSE,"")</x:f>
      </x:c>
      <x:c r="L229" s="75" t="str">
        <x:f>IF($A229&lt;&gt;"","Units","")</x:f>
      </x:c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75" t="str">
        <x:f>IF(Katalog_Fiyatlayici!$AC230="Fiyat Hazır",Katalog_Fiyatlayici!$AD230,"")</x:f>
      </x:c>
      <x:c r="B230" s="75" t="str">
        <x:f>IF($A230&lt;&gt;"",Katalog_Fiyatlayici!$AF230,"")</x:f>
      </x:c>
      <x:c r="C230" s="83" t="str">
        <x:f>IF($A230&lt;&gt;"",Katalog_Fiyatlayici!$AA230,"")</x:f>
      </x:c>
      <x:c r="D230" s="83" t="str">
        <x:f>IF($A230&lt;&gt;"",Katalog_Fiyatlayici!$W230,"")</x:f>
      </x:c>
      <x:c r="E230" s="75" t="str">
        <x:f>IF($A230&lt;&gt;"","Service","")</x:f>
      </x:c>
      <x:c r="F230" s="75" t="str">
        <x:f>IF($A230&lt;&gt;"",Katalog_Fiyatlayici!$AE230,"")</x:f>
      </x:c>
      <x:c r="G230" s="75" t="str">
        <x:f>IF($A230&lt;&gt;"",Katalog_Fiyatlayici!$AD230,"")</x:f>
      </x:c>
      <x:c r="H230" s="75" t="str">
        <x:f>IF($A230&lt;&gt;"",Katalog_Fiyatlayici!$B230,"")</x:f>
      </x:c>
      <x:c r="I230" s="75" t="str">
        <x:f>IF($A230&lt;&gt;"","MakerWorld model linkine göre tahmini 3D baskı fiyatı. Gerçek üretimden önce Bambu Studio ile gramaj ve süre doğrulanır.","")</x:f>
      </x:c>
      <x:c r="J230" s="75" t="str">
        <x:f>IF($A230&lt;&gt;"",TRUE,"")</x:f>
      </x:c>
      <x:c r="K230" s="75" t="str">
        <x:f>IF($A230&lt;&gt;"",FALSE,"")</x:f>
      </x:c>
      <x:c r="L230" s="75" t="str">
        <x:f>IF($A230&lt;&gt;"","Units","")</x:f>
      </x:c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75" t="str">
        <x:f>IF(Katalog_Fiyatlayici!$AC231="Fiyat Hazır",Katalog_Fiyatlayici!$AD231,"")</x:f>
      </x:c>
      <x:c r="B231" s="75" t="str">
        <x:f>IF($A231&lt;&gt;"",Katalog_Fiyatlayici!$AF231,"")</x:f>
      </x:c>
      <x:c r="C231" s="83" t="str">
        <x:f>IF($A231&lt;&gt;"",Katalog_Fiyatlayici!$AA231,"")</x:f>
      </x:c>
      <x:c r="D231" s="83" t="str">
        <x:f>IF($A231&lt;&gt;"",Katalog_Fiyatlayici!$W231,"")</x:f>
      </x:c>
      <x:c r="E231" s="75" t="str">
        <x:f>IF($A231&lt;&gt;"","Service","")</x:f>
      </x:c>
      <x:c r="F231" s="75" t="str">
        <x:f>IF($A231&lt;&gt;"",Katalog_Fiyatlayici!$AE231,"")</x:f>
      </x:c>
      <x:c r="G231" s="75" t="str">
        <x:f>IF($A231&lt;&gt;"",Katalog_Fiyatlayici!$AD231,"")</x:f>
      </x:c>
      <x:c r="H231" s="75" t="str">
        <x:f>IF($A231&lt;&gt;"",Katalog_Fiyatlayici!$B231,"")</x:f>
      </x:c>
      <x:c r="I231" s="75" t="str">
        <x:f>IF($A231&lt;&gt;"","MakerWorld model linkine göre tahmini 3D baskı fiyatı. Gerçek üretimden önce Bambu Studio ile gramaj ve süre doğrulanır.","")</x:f>
      </x:c>
      <x:c r="J231" s="75" t="str">
        <x:f>IF($A231&lt;&gt;"",TRUE,"")</x:f>
      </x:c>
      <x:c r="K231" s="75" t="str">
        <x:f>IF($A231&lt;&gt;"",FALSE,"")</x:f>
      </x:c>
      <x:c r="L231" s="75" t="str">
        <x:f>IF($A231&lt;&gt;"","Units","")</x:f>
      </x:c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75" t="str">
        <x:f>IF(Katalog_Fiyatlayici!$AC232="Fiyat Hazır",Katalog_Fiyatlayici!$AD232,"")</x:f>
      </x:c>
      <x:c r="B232" s="75" t="str">
        <x:f>IF($A232&lt;&gt;"",Katalog_Fiyatlayici!$AF232,"")</x:f>
      </x:c>
      <x:c r="C232" s="83" t="str">
        <x:f>IF($A232&lt;&gt;"",Katalog_Fiyatlayici!$AA232,"")</x:f>
      </x:c>
      <x:c r="D232" s="83" t="str">
        <x:f>IF($A232&lt;&gt;"",Katalog_Fiyatlayici!$W232,"")</x:f>
      </x:c>
      <x:c r="E232" s="75" t="str">
        <x:f>IF($A232&lt;&gt;"","Service","")</x:f>
      </x:c>
      <x:c r="F232" s="75" t="str">
        <x:f>IF($A232&lt;&gt;"",Katalog_Fiyatlayici!$AE232,"")</x:f>
      </x:c>
      <x:c r="G232" s="75" t="str">
        <x:f>IF($A232&lt;&gt;"",Katalog_Fiyatlayici!$AD232,"")</x:f>
      </x:c>
      <x:c r="H232" s="75" t="str">
        <x:f>IF($A232&lt;&gt;"",Katalog_Fiyatlayici!$B232,"")</x:f>
      </x:c>
      <x:c r="I232" s="75" t="str">
        <x:f>IF($A232&lt;&gt;"","MakerWorld model linkine göre tahmini 3D baskı fiyatı. Gerçek üretimden önce Bambu Studio ile gramaj ve süre doğrulanır.","")</x:f>
      </x:c>
      <x:c r="J232" s="75" t="str">
        <x:f>IF($A232&lt;&gt;"",TRUE,"")</x:f>
      </x:c>
      <x:c r="K232" s="75" t="str">
        <x:f>IF($A232&lt;&gt;"",FALSE,"")</x:f>
      </x:c>
      <x:c r="L232" s="75" t="str">
        <x:f>IF($A232&lt;&gt;"","Units","")</x:f>
      </x:c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75" t="str">
        <x:f>IF(Katalog_Fiyatlayici!$AC233="Fiyat Hazır",Katalog_Fiyatlayici!$AD233,"")</x:f>
      </x:c>
      <x:c r="B233" s="75" t="str">
        <x:f>IF($A233&lt;&gt;"",Katalog_Fiyatlayici!$AF233,"")</x:f>
      </x:c>
      <x:c r="C233" s="83" t="str">
        <x:f>IF($A233&lt;&gt;"",Katalog_Fiyatlayici!$AA233,"")</x:f>
      </x:c>
      <x:c r="D233" s="83" t="str">
        <x:f>IF($A233&lt;&gt;"",Katalog_Fiyatlayici!$W233,"")</x:f>
      </x:c>
      <x:c r="E233" s="75" t="str">
        <x:f>IF($A233&lt;&gt;"","Service","")</x:f>
      </x:c>
      <x:c r="F233" s="75" t="str">
        <x:f>IF($A233&lt;&gt;"",Katalog_Fiyatlayici!$AE233,"")</x:f>
      </x:c>
      <x:c r="G233" s="75" t="str">
        <x:f>IF($A233&lt;&gt;"",Katalog_Fiyatlayici!$AD233,"")</x:f>
      </x:c>
      <x:c r="H233" s="75" t="str">
        <x:f>IF($A233&lt;&gt;"",Katalog_Fiyatlayici!$B233,"")</x:f>
      </x:c>
      <x:c r="I233" s="75" t="str">
        <x:f>IF($A233&lt;&gt;"","MakerWorld model linkine göre tahmini 3D baskı fiyatı. Gerçek üretimden önce Bambu Studio ile gramaj ve süre doğrulanır.","")</x:f>
      </x:c>
      <x:c r="J233" s="75" t="str">
        <x:f>IF($A233&lt;&gt;"",TRUE,"")</x:f>
      </x:c>
      <x:c r="K233" s="75" t="str">
        <x:f>IF($A233&lt;&gt;"",FALSE,"")</x:f>
      </x:c>
      <x:c r="L233" s="75" t="str">
        <x:f>IF($A233&lt;&gt;"","Units","")</x:f>
      </x:c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75" t="str">
        <x:f>IF(Katalog_Fiyatlayici!$AC234="Fiyat Hazır",Katalog_Fiyatlayici!$AD234,"")</x:f>
      </x:c>
      <x:c r="B234" s="75" t="str">
        <x:f>IF($A234&lt;&gt;"",Katalog_Fiyatlayici!$AF234,"")</x:f>
      </x:c>
      <x:c r="C234" s="83" t="str">
        <x:f>IF($A234&lt;&gt;"",Katalog_Fiyatlayici!$AA234,"")</x:f>
      </x:c>
      <x:c r="D234" s="83" t="str">
        <x:f>IF($A234&lt;&gt;"",Katalog_Fiyatlayici!$W234,"")</x:f>
      </x:c>
      <x:c r="E234" s="75" t="str">
        <x:f>IF($A234&lt;&gt;"","Service","")</x:f>
      </x:c>
      <x:c r="F234" s="75" t="str">
        <x:f>IF($A234&lt;&gt;"",Katalog_Fiyatlayici!$AE234,"")</x:f>
      </x:c>
      <x:c r="G234" s="75" t="str">
        <x:f>IF($A234&lt;&gt;"",Katalog_Fiyatlayici!$AD234,"")</x:f>
      </x:c>
      <x:c r="H234" s="75" t="str">
        <x:f>IF($A234&lt;&gt;"",Katalog_Fiyatlayici!$B234,"")</x:f>
      </x:c>
      <x:c r="I234" s="75" t="str">
        <x:f>IF($A234&lt;&gt;"","MakerWorld model linkine göre tahmini 3D baskı fiyatı. Gerçek üretimden önce Bambu Studio ile gramaj ve süre doğrulanır.","")</x:f>
      </x:c>
      <x:c r="J234" s="75" t="str">
        <x:f>IF($A234&lt;&gt;"",TRUE,"")</x:f>
      </x:c>
      <x:c r="K234" s="75" t="str">
        <x:f>IF($A234&lt;&gt;"",FALSE,"")</x:f>
      </x:c>
      <x:c r="L234" s="75" t="str">
        <x:f>IF($A234&lt;&gt;"","Units","")</x:f>
      </x:c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75" t="str">
        <x:f>IF(Katalog_Fiyatlayici!$AC235="Fiyat Hazır",Katalog_Fiyatlayici!$AD235,"")</x:f>
      </x:c>
      <x:c r="B235" s="75" t="str">
        <x:f>IF($A235&lt;&gt;"",Katalog_Fiyatlayici!$AF235,"")</x:f>
      </x:c>
      <x:c r="C235" s="83" t="str">
        <x:f>IF($A235&lt;&gt;"",Katalog_Fiyatlayici!$AA235,"")</x:f>
      </x:c>
      <x:c r="D235" s="83" t="str">
        <x:f>IF($A235&lt;&gt;"",Katalog_Fiyatlayici!$W235,"")</x:f>
      </x:c>
      <x:c r="E235" s="75" t="str">
        <x:f>IF($A235&lt;&gt;"","Service","")</x:f>
      </x:c>
      <x:c r="F235" s="75" t="str">
        <x:f>IF($A235&lt;&gt;"",Katalog_Fiyatlayici!$AE235,"")</x:f>
      </x:c>
      <x:c r="G235" s="75" t="str">
        <x:f>IF($A235&lt;&gt;"",Katalog_Fiyatlayici!$AD235,"")</x:f>
      </x:c>
      <x:c r="H235" s="75" t="str">
        <x:f>IF($A235&lt;&gt;"",Katalog_Fiyatlayici!$B235,"")</x:f>
      </x:c>
      <x:c r="I235" s="75" t="str">
        <x:f>IF($A235&lt;&gt;"","MakerWorld model linkine göre tahmini 3D baskı fiyatı. Gerçek üretimden önce Bambu Studio ile gramaj ve süre doğrulanır.","")</x:f>
      </x:c>
      <x:c r="J235" s="75" t="str">
        <x:f>IF($A235&lt;&gt;"",TRUE,"")</x:f>
      </x:c>
      <x:c r="K235" s="75" t="str">
        <x:f>IF($A235&lt;&gt;"",FALSE,"")</x:f>
      </x:c>
      <x:c r="L235" s="75" t="str">
        <x:f>IF($A235&lt;&gt;"","Units","")</x:f>
      </x:c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75" t="str">
        <x:f>IF(Katalog_Fiyatlayici!$AC236="Fiyat Hazır",Katalog_Fiyatlayici!$AD236,"")</x:f>
      </x:c>
      <x:c r="B236" s="75" t="str">
        <x:f>IF($A236&lt;&gt;"",Katalog_Fiyatlayici!$AF236,"")</x:f>
      </x:c>
      <x:c r="C236" s="83" t="str">
        <x:f>IF($A236&lt;&gt;"",Katalog_Fiyatlayici!$AA236,"")</x:f>
      </x:c>
      <x:c r="D236" s="83" t="str">
        <x:f>IF($A236&lt;&gt;"",Katalog_Fiyatlayici!$W236,"")</x:f>
      </x:c>
      <x:c r="E236" s="75" t="str">
        <x:f>IF($A236&lt;&gt;"","Service","")</x:f>
      </x:c>
      <x:c r="F236" s="75" t="str">
        <x:f>IF($A236&lt;&gt;"",Katalog_Fiyatlayici!$AE236,"")</x:f>
      </x:c>
      <x:c r="G236" s="75" t="str">
        <x:f>IF($A236&lt;&gt;"",Katalog_Fiyatlayici!$AD236,"")</x:f>
      </x:c>
      <x:c r="H236" s="75" t="str">
        <x:f>IF($A236&lt;&gt;"",Katalog_Fiyatlayici!$B236,"")</x:f>
      </x:c>
      <x:c r="I236" s="75" t="str">
        <x:f>IF($A236&lt;&gt;"","MakerWorld model linkine göre tahmini 3D baskı fiyatı. Gerçek üretimden önce Bambu Studio ile gramaj ve süre doğrulanır.","")</x:f>
      </x:c>
      <x:c r="J236" s="75" t="str">
        <x:f>IF($A236&lt;&gt;"",TRUE,"")</x:f>
      </x:c>
      <x:c r="K236" s="75" t="str">
        <x:f>IF($A236&lt;&gt;"",FALSE,"")</x:f>
      </x:c>
      <x:c r="L236" s="75" t="str">
        <x:f>IF($A236&lt;&gt;"","Units","")</x:f>
      </x:c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75" t="str">
        <x:f>IF(Katalog_Fiyatlayici!$AC237="Fiyat Hazır",Katalog_Fiyatlayici!$AD237,"")</x:f>
      </x:c>
      <x:c r="B237" s="75" t="str">
        <x:f>IF($A237&lt;&gt;"",Katalog_Fiyatlayici!$AF237,"")</x:f>
      </x:c>
      <x:c r="C237" s="83" t="str">
        <x:f>IF($A237&lt;&gt;"",Katalog_Fiyatlayici!$AA237,"")</x:f>
      </x:c>
      <x:c r="D237" s="83" t="str">
        <x:f>IF($A237&lt;&gt;"",Katalog_Fiyatlayici!$W237,"")</x:f>
      </x:c>
      <x:c r="E237" s="75" t="str">
        <x:f>IF($A237&lt;&gt;"","Service","")</x:f>
      </x:c>
      <x:c r="F237" s="75" t="str">
        <x:f>IF($A237&lt;&gt;"",Katalog_Fiyatlayici!$AE237,"")</x:f>
      </x:c>
      <x:c r="G237" s="75" t="str">
        <x:f>IF($A237&lt;&gt;"",Katalog_Fiyatlayici!$AD237,"")</x:f>
      </x:c>
      <x:c r="H237" s="75" t="str">
        <x:f>IF($A237&lt;&gt;"",Katalog_Fiyatlayici!$B237,"")</x:f>
      </x:c>
      <x:c r="I237" s="75" t="str">
        <x:f>IF($A237&lt;&gt;"","MakerWorld model linkine göre tahmini 3D baskı fiyatı. Gerçek üretimden önce Bambu Studio ile gramaj ve süre doğrulanır.","")</x:f>
      </x:c>
      <x:c r="J237" s="75" t="str">
        <x:f>IF($A237&lt;&gt;"",TRUE,"")</x:f>
      </x:c>
      <x:c r="K237" s="75" t="str">
        <x:f>IF($A237&lt;&gt;"",FALSE,"")</x:f>
      </x:c>
      <x:c r="L237" s="75" t="str">
        <x:f>IF($A237&lt;&gt;"","Units","")</x:f>
      </x:c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75" t="str">
        <x:f>IF(Katalog_Fiyatlayici!$AC238="Fiyat Hazır",Katalog_Fiyatlayici!$AD238,"")</x:f>
      </x:c>
      <x:c r="B238" s="75" t="str">
        <x:f>IF($A238&lt;&gt;"",Katalog_Fiyatlayici!$AF238,"")</x:f>
      </x:c>
      <x:c r="C238" s="83" t="str">
        <x:f>IF($A238&lt;&gt;"",Katalog_Fiyatlayici!$AA238,"")</x:f>
      </x:c>
      <x:c r="D238" s="83" t="str">
        <x:f>IF($A238&lt;&gt;"",Katalog_Fiyatlayici!$W238,"")</x:f>
      </x:c>
      <x:c r="E238" s="75" t="str">
        <x:f>IF($A238&lt;&gt;"","Service","")</x:f>
      </x:c>
      <x:c r="F238" s="75" t="str">
        <x:f>IF($A238&lt;&gt;"",Katalog_Fiyatlayici!$AE238,"")</x:f>
      </x:c>
      <x:c r="G238" s="75" t="str">
        <x:f>IF($A238&lt;&gt;"",Katalog_Fiyatlayici!$AD238,"")</x:f>
      </x:c>
      <x:c r="H238" s="75" t="str">
        <x:f>IF($A238&lt;&gt;"",Katalog_Fiyatlayici!$B238,"")</x:f>
      </x:c>
      <x:c r="I238" s="75" t="str">
        <x:f>IF($A238&lt;&gt;"","MakerWorld model linkine göre tahmini 3D baskı fiyatı. Gerçek üretimden önce Bambu Studio ile gramaj ve süre doğrulanır.","")</x:f>
      </x:c>
      <x:c r="J238" s="75" t="str">
        <x:f>IF($A238&lt;&gt;"",TRUE,"")</x:f>
      </x:c>
      <x:c r="K238" s="75" t="str">
        <x:f>IF($A238&lt;&gt;"",FALSE,"")</x:f>
      </x:c>
      <x:c r="L238" s="75" t="str">
        <x:f>IF($A238&lt;&gt;"","Units","")</x:f>
      </x:c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75" t="str">
        <x:f>IF(Katalog_Fiyatlayici!$AC239="Fiyat Hazır",Katalog_Fiyatlayici!$AD239,"")</x:f>
      </x:c>
      <x:c r="B239" s="75" t="str">
        <x:f>IF($A239&lt;&gt;"",Katalog_Fiyatlayici!$AF239,"")</x:f>
      </x:c>
      <x:c r="C239" s="83" t="str">
        <x:f>IF($A239&lt;&gt;"",Katalog_Fiyatlayici!$AA239,"")</x:f>
      </x:c>
      <x:c r="D239" s="83" t="str">
        <x:f>IF($A239&lt;&gt;"",Katalog_Fiyatlayici!$W239,"")</x:f>
      </x:c>
      <x:c r="E239" s="75" t="str">
        <x:f>IF($A239&lt;&gt;"","Service","")</x:f>
      </x:c>
      <x:c r="F239" s="75" t="str">
        <x:f>IF($A239&lt;&gt;"",Katalog_Fiyatlayici!$AE239,"")</x:f>
      </x:c>
      <x:c r="G239" s="75" t="str">
        <x:f>IF($A239&lt;&gt;"",Katalog_Fiyatlayici!$AD239,"")</x:f>
      </x:c>
      <x:c r="H239" s="75" t="str">
        <x:f>IF($A239&lt;&gt;"",Katalog_Fiyatlayici!$B239,"")</x:f>
      </x:c>
      <x:c r="I239" s="75" t="str">
        <x:f>IF($A239&lt;&gt;"","MakerWorld model linkine göre tahmini 3D baskı fiyatı. Gerçek üretimden önce Bambu Studio ile gramaj ve süre doğrulanır.","")</x:f>
      </x:c>
      <x:c r="J239" s="75" t="str">
        <x:f>IF($A239&lt;&gt;"",TRUE,"")</x:f>
      </x:c>
      <x:c r="K239" s="75" t="str">
        <x:f>IF($A239&lt;&gt;"",FALSE,"")</x:f>
      </x:c>
      <x:c r="L239" s="75" t="str">
        <x:f>IF($A239&lt;&gt;"","Units","")</x:f>
      </x:c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75" t="str">
        <x:f>IF(Katalog_Fiyatlayici!$AC240="Fiyat Hazır",Katalog_Fiyatlayici!$AD240,"")</x:f>
      </x:c>
      <x:c r="B240" s="75" t="str">
        <x:f>IF($A240&lt;&gt;"",Katalog_Fiyatlayici!$AF240,"")</x:f>
      </x:c>
      <x:c r="C240" s="83" t="str">
        <x:f>IF($A240&lt;&gt;"",Katalog_Fiyatlayici!$AA240,"")</x:f>
      </x:c>
      <x:c r="D240" s="83" t="str">
        <x:f>IF($A240&lt;&gt;"",Katalog_Fiyatlayici!$W240,"")</x:f>
      </x:c>
      <x:c r="E240" s="75" t="str">
        <x:f>IF($A240&lt;&gt;"","Service","")</x:f>
      </x:c>
      <x:c r="F240" s="75" t="str">
        <x:f>IF($A240&lt;&gt;"",Katalog_Fiyatlayici!$AE240,"")</x:f>
      </x:c>
      <x:c r="G240" s="75" t="str">
        <x:f>IF($A240&lt;&gt;"",Katalog_Fiyatlayici!$AD240,"")</x:f>
      </x:c>
      <x:c r="H240" s="75" t="str">
        <x:f>IF($A240&lt;&gt;"",Katalog_Fiyatlayici!$B240,"")</x:f>
      </x:c>
      <x:c r="I240" s="75" t="str">
        <x:f>IF($A240&lt;&gt;"","MakerWorld model linkine göre tahmini 3D baskı fiyatı. Gerçek üretimden önce Bambu Studio ile gramaj ve süre doğrulanır.","")</x:f>
      </x:c>
      <x:c r="J240" s="75" t="str">
        <x:f>IF($A240&lt;&gt;"",TRUE,"")</x:f>
      </x:c>
      <x:c r="K240" s="75" t="str">
        <x:f>IF($A240&lt;&gt;"",FALSE,"")</x:f>
      </x:c>
      <x:c r="L240" s="75" t="str">
        <x:f>IF($A240&lt;&gt;"","Units","")</x:f>
      </x:c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75" t="str">
        <x:f>IF(Katalog_Fiyatlayici!$AC241="Fiyat Hazır",Katalog_Fiyatlayici!$AD241,"")</x:f>
      </x:c>
      <x:c r="B241" s="75" t="str">
        <x:f>IF($A241&lt;&gt;"",Katalog_Fiyatlayici!$AF241,"")</x:f>
      </x:c>
      <x:c r="C241" s="83" t="str">
        <x:f>IF($A241&lt;&gt;"",Katalog_Fiyatlayici!$AA241,"")</x:f>
      </x:c>
      <x:c r="D241" s="83" t="str">
        <x:f>IF($A241&lt;&gt;"",Katalog_Fiyatlayici!$W241,"")</x:f>
      </x:c>
      <x:c r="E241" s="75" t="str">
        <x:f>IF($A241&lt;&gt;"","Service","")</x:f>
      </x:c>
      <x:c r="F241" s="75" t="str">
        <x:f>IF($A241&lt;&gt;"",Katalog_Fiyatlayici!$AE241,"")</x:f>
      </x:c>
      <x:c r="G241" s="75" t="str">
        <x:f>IF($A241&lt;&gt;"",Katalog_Fiyatlayici!$AD241,"")</x:f>
      </x:c>
      <x:c r="H241" s="75" t="str">
        <x:f>IF($A241&lt;&gt;"",Katalog_Fiyatlayici!$B241,"")</x:f>
      </x:c>
      <x:c r="I241" s="75" t="str">
        <x:f>IF($A241&lt;&gt;"","MakerWorld model linkine göre tahmini 3D baskı fiyatı. Gerçek üretimden önce Bambu Studio ile gramaj ve süre doğrulanır.","")</x:f>
      </x:c>
      <x:c r="J241" s="75" t="str">
        <x:f>IF($A241&lt;&gt;"",TRUE,"")</x:f>
      </x:c>
      <x:c r="K241" s="75" t="str">
        <x:f>IF($A241&lt;&gt;"",FALSE,"")</x:f>
      </x:c>
      <x:c r="L241" s="75" t="str">
        <x:f>IF($A241&lt;&gt;"","Units","")</x:f>
      </x:c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75" t="str">
        <x:f>IF(Katalog_Fiyatlayici!$AC242="Fiyat Hazır",Katalog_Fiyatlayici!$AD242,"")</x:f>
      </x:c>
      <x:c r="B242" s="75" t="str">
        <x:f>IF($A242&lt;&gt;"",Katalog_Fiyatlayici!$AF242,"")</x:f>
      </x:c>
      <x:c r="C242" s="83" t="str">
        <x:f>IF($A242&lt;&gt;"",Katalog_Fiyatlayici!$AA242,"")</x:f>
      </x:c>
      <x:c r="D242" s="83" t="str">
        <x:f>IF($A242&lt;&gt;"",Katalog_Fiyatlayici!$W242,"")</x:f>
      </x:c>
      <x:c r="E242" s="75" t="str">
        <x:f>IF($A242&lt;&gt;"","Service","")</x:f>
      </x:c>
      <x:c r="F242" s="75" t="str">
        <x:f>IF($A242&lt;&gt;"",Katalog_Fiyatlayici!$AE242,"")</x:f>
      </x:c>
      <x:c r="G242" s="75" t="str">
        <x:f>IF($A242&lt;&gt;"",Katalog_Fiyatlayici!$AD242,"")</x:f>
      </x:c>
      <x:c r="H242" s="75" t="str">
        <x:f>IF($A242&lt;&gt;"",Katalog_Fiyatlayici!$B242,"")</x:f>
      </x:c>
      <x:c r="I242" s="75" t="str">
        <x:f>IF($A242&lt;&gt;"","MakerWorld model linkine göre tahmini 3D baskı fiyatı. Gerçek üretimden önce Bambu Studio ile gramaj ve süre doğrulanır.","")</x:f>
      </x:c>
      <x:c r="J242" s="75" t="str">
        <x:f>IF($A242&lt;&gt;"",TRUE,"")</x:f>
      </x:c>
      <x:c r="K242" s="75" t="str">
        <x:f>IF($A242&lt;&gt;"",FALSE,"")</x:f>
      </x:c>
      <x:c r="L242" s="75" t="str">
        <x:f>IF($A242&lt;&gt;"","Units","")</x:f>
      </x:c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75" t="str">
        <x:f>IF(Katalog_Fiyatlayici!$AC243="Fiyat Hazır",Katalog_Fiyatlayici!$AD243,"")</x:f>
      </x:c>
      <x:c r="B243" s="75" t="str">
        <x:f>IF($A243&lt;&gt;"",Katalog_Fiyatlayici!$AF243,"")</x:f>
      </x:c>
      <x:c r="C243" s="83" t="str">
        <x:f>IF($A243&lt;&gt;"",Katalog_Fiyatlayici!$AA243,"")</x:f>
      </x:c>
      <x:c r="D243" s="83" t="str">
        <x:f>IF($A243&lt;&gt;"",Katalog_Fiyatlayici!$W243,"")</x:f>
      </x:c>
      <x:c r="E243" s="75" t="str">
        <x:f>IF($A243&lt;&gt;"","Service","")</x:f>
      </x:c>
      <x:c r="F243" s="75" t="str">
        <x:f>IF($A243&lt;&gt;"",Katalog_Fiyatlayici!$AE243,"")</x:f>
      </x:c>
      <x:c r="G243" s="75" t="str">
        <x:f>IF($A243&lt;&gt;"",Katalog_Fiyatlayici!$AD243,"")</x:f>
      </x:c>
      <x:c r="H243" s="75" t="str">
        <x:f>IF($A243&lt;&gt;"",Katalog_Fiyatlayici!$B243,"")</x:f>
      </x:c>
      <x:c r="I243" s="75" t="str">
        <x:f>IF($A243&lt;&gt;"","MakerWorld model linkine göre tahmini 3D baskı fiyatı. Gerçek üretimden önce Bambu Studio ile gramaj ve süre doğrulanır.","")</x:f>
      </x:c>
      <x:c r="J243" s="75" t="str">
        <x:f>IF($A243&lt;&gt;"",TRUE,"")</x:f>
      </x:c>
      <x:c r="K243" s="75" t="str">
        <x:f>IF($A243&lt;&gt;"",FALSE,"")</x:f>
      </x:c>
      <x:c r="L243" s="75" t="str">
        <x:f>IF($A243&lt;&gt;"","Units","")</x:f>
      </x:c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75" t="str">
        <x:f>IF(Katalog_Fiyatlayici!$AC244="Fiyat Hazır",Katalog_Fiyatlayici!$AD244,"")</x:f>
      </x:c>
      <x:c r="B244" s="75" t="str">
        <x:f>IF($A244&lt;&gt;"",Katalog_Fiyatlayici!$AF244,"")</x:f>
      </x:c>
      <x:c r="C244" s="83" t="str">
        <x:f>IF($A244&lt;&gt;"",Katalog_Fiyatlayici!$AA244,"")</x:f>
      </x:c>
      <x:c r="D244" s="83" t="str">
        <x:f>IF($A244&lt;&gt;"",Katalog_Fiyatlayici!$W244,"")</x:f>
      </x:c>
      <x:c r="E244" s="75" t="str">
        <x:f>IF($A244&lt;&gt;"","Service","")</x:f>
      </x:c>
      <x:c r="F244" s="75" t="str">
        <x:f>IF($A244&lt;&gt;"",Katalog_Fiyatlayici!$AE244,"")</x:f>
      </x:c>
      <x:c r="G244" s="75" t="str">
        <x:f>IF($A244&lt;&gt;"",Katalog_Fiyatlayici!$AD244,"")</x:f>
      </x:c>
      <x:c r="H244" s="75" t="str">
        <x:f>IF($A244&lt;&gt;"",Katalog_Fiyatlayici!$B244,"")</x:f>
      </x:c>
      <x:c r="I244" s="75" t="str">
        <x:f>IF($A244&lt;&gt;"","MakerWorld model linkine göre tahmini 3D baskı fiyatı. Gerçek üretimden önce Bambu Studio ile gramaj ve süre doğrulanır.","")</x:f>
      </x:c>
      <x:c r="J244" s="75" t="str">
        <x:f>IF($A244&lt;&gt;"",TRUE,"")</x:f>
      </x:c>
      <x:c r="K244" s="75" t="str">
        <x:f>IF($A244&lt;&gt;"",FALSE,"")</x:f>
      </x:c>
      <x:c r="L244" s="75" t="str">
        <x:f>IF($A244&lt;&gt;"","Units","")</x:f>
      </x:c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75" t="str">
        <x:f>IF(Katalog_Fiyatlayici!$AC245="Fiyat Hazır",Katalog_Fiyatlayici!$AD245,"")</x:f>
      </x:c>
      <x:c r="B245" s="75" t="str">
        <x:f>IF($A245&lt;&gt;"",Katalog_Fiyatlayici!$AF245,"")</x:f>
      </x:c>
      <x:c r="C245" s="83" t="str">
        <x:f>IF($A245&lt;&gt;"",Katalog_Fiyatlayici!$AA245,"")</x:f>
      </x:c>
      <x:c r="D245" s="83" t="str">
        <x:f>IF($A245&lt;&gt;"",Katalog_Fiyatlayici!$W245,"")</x:f>
      </x:c>
      <x:c r="E245" s="75" t="str">
        <x:f>IF($A245&lt;&gt;"","Service","")</x:f>
      </x:c>
      <x:c r="F245" s="75" t="str">
        <x:f>IF($A245&lt;&gt;"",Katalog_Fiyatlayici!$AE245,"")</x:f>
      </x:c>
      <x:c r="G245" s="75" t="str">
        <x:f>IF($A245&lt;&gt;"",Katalog_Fiyatlayici!$AD245,"")</x:f>
      </x:c>
      <x:c r="H245" s="75" t="str">
        <x:f>IF($A245&lt;&gt;"",Katalog_Fiyatlayici!$B245,"")</x:f>
      </x:c>
      <x:c r="I245" s="75" t="str">
        <x:f>IF($A245&lt;&gt;"","MakerWorld model linkine göre tahmini 3D baskı fiyatı. Gerçek üretimden önce Bambu Studio ile gramaj ve süre doğrulanır.","")</x:f>
      </x:c>
      <x:c r="J245" s="75" t="str">
        <x:f>IF($A245&lt;&gt;"",TRUE,"")</x:f>
      </x:c>
      <x:c r="K245" s="75" t="str">
        <x:f>IF($A245&lt;&gt;"",FALSE,"")</x:f>
      </x:c>
      <x:c r="L245" s="75" t="str">
        <x:f>IF($A245&lt;&gt;"","Units","")</x:f>
      </x:c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75" t="str">
        <x:f>IF(Katalog_Fiyatlayici!$AC246="Fiyat Hazır",Katalog_Fiyatlayici!$AD246,"")</x:f>
      </x:c>
      <x:c r="B246" s="75" t="str">
        <x:f>IF($A246&lt;&gt;"",Katalog_Fiyatlayici!$AF246,"")</x:f>
      </x:c>
      <x:c r="C246" s="83" t="str">
        <x:f>IF($A246&lt;&gt;"",Katalog_Fiyatlayici!$AA246,"")</x:f>
      </x:c>
      <x:c r="D246" s="83" t="str">
        <x:f>IF($A246&lt;&gt;"",Katalog_Fiyatlayici!$W246,"")</x:f>
      </x:c>
      <x:c r="E246" s="75" t="str">
        <x:f>IF($A246&lt;&gt;"","Service","")</x:f>
      </x:c>
      <x:c r="F246" s="75" t="str">
        <x:f>IF($A246&lt;&gt;"",Katalog_Fiyatlayici!$AE246,"")</x:f>
      </x:c>
      <x:c r="G246" s="75" t="str">
        <x:f>IF($A246&lt;&gt;"",Katalog_Fiyatlayici!$AD246,"")</x:f>
      </x:c>
      <x:c r="H246" s="75" t="str">
        <x:f>IF($A246&lt;&gt;"",Katalog_Fiyatlayici!$B246,"")</x:f>
      </x:c>
      <x:c r="I246" s="75" t="str">
        <x:f>IF($A246&lt;&gt;"","MakerWorld model linkine göre tahmini 3D baskı fiyatı. Gerçek üretimden önce Bambu Studio ile gramaj ve süre doğrulanır.","")</x:f>
      </x:c>
      <x:c r="J246" s="75" t="str">
        <x:f>IF($A246&lt;&gt;"",TRUE,"")</x:f>
      </x:c>
      <x:c r="K246" s="75" t="str">
        <x:f>IF($A246&lt;&gt;"",FALSE,"")</x:f>
      </x:c>
      <x:c r="L246" s="75" t="str">
        <x:f>IF($A246&lt;&gt;"","Units","")</x:f>
      </x:c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75" t="str">
        <x:f>IF(Katalog_Fiyatlayici!$AC247="Fiyat Hazır",Katalog_Fiyatlayici!$AD247,"")</x:f>
      </x:c>
      <x:c r="B247" s="75" t="str">
        <x:f>IF($A247&lt;&gt;"",Katalog_Fiyatlayici!$AF247,"")</x:f>
      </x:c>
      <x:c r="C247" s="83" t="str">
        <x:f>IF($A247&lt;&gt;"",Katalog_Fiyatlayici!$AA247,"")</x:f>
      </x:c>
      <x:c r="D247" s="83" t="str">
        <x:f>IF($A247&lt;&gt;"",Katalog_Fiyatlayici!$W247,"")</x:f>
      </x:c>
      <x:c r="E247" s="75" t="str">
        <x:f>IF($A247&lt;&gt;"","Service","")</x:f>
      </x:c>
      <x:c r="F247" s="75" t="str">
        <x:f>IF($A247&lt;&gt;"",Katalog_Fiyatlayici!$AE247,"")</x:f>
      </x:c>
      <x:c r="G247" s="75" t="str">
        <x:f>IF($A247&lt;&gt;"",Katalog_Fiyatlayici!$AD247,"")</x:f>
      </x:c>
      <x:c r="H247" s="75" t="str">
        <x:f>IF($A247&lt;&gt;"",Katalog_Fiyatlayici!$B247,"")</x:f>
      </x:c>
      <x:c r="I247" s="75" t="str">
        <x:f>IF($A247&lt;&gt;"","MakerWorld model linkine göre tahmini 3D baskı fiyatı. Gerçek üretimden önce Bambu Studio ile gramaj ve süre doğrulanır.","")</x:f>
      </x:c>
      <x:c r="J247" s="75" t="str">
        <x:f>IF($A247&lt;&gt;"",TRUE,"")</x:f>
      </x:c>
      <x:c r="K247" s="75" t="str">
        <x:f>IF($A247&lt;&gt;"",FALSE,"")</x:f>
      </x:c>
      <x:c r="L247" s="75" t="str">
        <x:f>IF($A247&lt;&gt;"","Units","")</x:f>
      </x:c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75" t="str">
        <x:f>IF(Katalog_Fiyatlayici!$AC248="Fiyat Hazır",Katalog_Fiyatlayici!$AD248,"")</x:f>
      </x:c>
      <x:c r="B248" s="75" t="str">
        <x:f>IF($A248&lt;&gt;"",Katalog_Fiyatlayici!$AF248,"")</x:f>
      </x:c>
      <x:c r="C248" s="83" t="str">
        <x:f>IF($A248&lt;&gt;"",Katalog_Fiyatlayici!$AA248,"")</x:f>
      </x:c>
      <x:c r="D248" s="83" t="str">
        <x:f>IF($A248&lt;&gt;"",Katalog_Fiyatlayici!$W248,"")</x:f>
      </x:c>
      <x:c r="E248" s="75" t="str">
        <x:f>IF($A248&lt;&gt;"","Service","")</x:f>
      </x:c>
      <x:c r="F248" s="75" t="str">
        <x:f>IF($A248&lt;&gt;"",Katalog_Fiyatlayici!$AE248,"")</x:f>
      </x:c>
      <x:c r="G248" s="75" t="str">
        <x:f>IF($A248&lt;&gt;"",Katalog_Fiyatlayici!$AD248,"")</x:f>
      </x:c>
      <x:c r="H248" s="75" t="str">
        <x:f>IF($A248&lt;&gt;"",Katalog_Fiyatlayici!$B248,"")</x:f>
      </x:c>
      <x:c r="I248" s="75" t="str">
        <x:f>IF($A248&lt;&gt;"","MakerWorld model linkine göre tahmini 3D baskı fiyatı. Gerçek üretimden önce Bambu Studio ile gramaj ve süre doğrulanır.","")</x:f>
      </x:c>
      <x:c r="J248" s="75" t="str">
        <x:f>IF($A248&lt;&gt;"",TRUE,"")</x:f>
      </x:c>
      <x:c r="K248" s="75" t="str">
        <x:f>IF($A248&lt;&gt;"",FALSE,"")</x:f>
      </x:c>
      <x:c r="L248" s="75" t="str">
        <x:f>IF($A248&lt;&gt;"","Units","")</x:f>
      </x:c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75" t="str">
        <x:f>IF(Katalog_Fiyatlayici!$AC249="Fiyat Hazır",Katalog_Fiyatlayici!$AD249,"")</x:f>
      </x:c>
      <x:c r="B249" s="75" t="str">
        <x:f>IF($A249&lt;&gt;"",Katalog_Fiyatlayici!$AF249,"")</x:f>
      </x:c>
      <x:c r="C249" s="83" t="str">
        <x:f>IF($A249&lt;&gt;"",Katalog_Fiyatlayici!$AA249,"")</x:f>
      </x:c>
      <x:c r="D249" s="83" t="str">
        <x:f>IF($A249&lt;&gt;"",Katalog_Fiyatlayici!$W249,"")</x:f>
      </x:c>
      <x:c r="E249" s="75" t="str">
        <x:f>IF($A249&lt;&gt;"","Service","")</x:f>
      </x:c>
      <x:c r="F249" s="75" t="str">
        <x:f>IF($A249&lt;&gt;"",Katalog_Fiyatlayici!$AE249,"")</x:f>
      </x:c>
      <x:c r="G249" s="75" t="str">
        <x:f>IF($A249&lt;&gt;"",Katalog_Fiyatlayici!$AD249,"")</x:f>
      </x:c>
      <x:c r="H249" s="75" t="str">
        <x:f>IF($A249&lt;&gt;"",Katalog_Fiyatlayici!$B249,"")</x:f>
      </x:c>
      <x:c r="I249" s="75" t="str">
        <x:f>IF($A249&lt;&gt;"","MakerWorld model linkine göre tahmini 3D baskı fiyatı. Gerçek üretimden önce Bambu Studio ile gramaj ve süre doğrulanır.","")</x:f>
      </x:c>
      <x:c r="J249" s="75" t="str">
        <x:f>IF($A249&lt;&gt;"",TRUE,"")</x:f>
      </x:c>
      <x:c r="K249" s="75" t="str">
        <x:f>IF($A249&lt;&gt;"",FALSE,"")</x:f>
      </x:c>
      <x:c r="L249" s="75" t="str">
        <x:f>IF($A249&lt;&gt;"","Units","")</x:f>
      </x:c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75" t="str">
        <x:f>IF(Katalog_Fiyatlayici!$AC250="Fiyat Hazır",Katalog_Fiyatlayici!$AD250,"")</x:f>
      </x:c>
      <x:c r="B250" s="75" t="str">
        <x:f>IF($A250&lt;&gt;"",Katalog_Fiyatlayici!$AF250,"")</x:f>
      </x:c>
      <x:c r="C250" s="83" t="str">
        <x:f>IF($A250&lt;&gt;"",Katalog_Fiyatlayici!$AA250,"")</x:f>
      </x:c>
      <x:c r="D250" s="83" t="str">
        <x:f>IF($A250&lt;&gt;"",Katalog_Fiyatlayici!$W250,"")</x:f>
      </x:c>
      <x:c r="E250" s="75" t="str">
        <x:f>IF($A250&lt;&gt;"","Service","")</x:f>
      </x:c>
      <x:c r="F250" s="75" t="str">
        <x:f>IF($A250&lt;&gt;"",Katalog_Fiyatlayici!$AE250,"")</x:f>
      </x:c>
      <x:c r="G250" s="75" t="str">
        <x:f>IF($A250&lt;&gt;"",Katalog_Fiyatlayici!$AD250,"")</x:f>
      </x:c>
      <x:c r="H250" s="75" t="str">
        <x:f>IF($A250&lt;&gt;"",Katalog_Fiyatlayici!$B250,"")</x:f>
      </x:c>
      <x:c r="I250" s="75" t="str">
        <x:f>IF($A250&lt;&gt;"","MakerWorld model linkine göre tahmini 3D baskı fiyatı. Gerçek üretimden önce Bambu Studio ile gramaj ve süre doğrulanır.","")</x:f>
      </x:c>
      <x:c r="J250" s="75" t="str">
        <x:f>IF($A250&lt;&gt;"",TRUE,"")</x:f>
      </x:c>
      <x:c r="K250" s="75" t="str">
        <x:f>IF($A250&lt;&gt;"",FALSE,"")</x:f>
      </x:c>
      <x:c r="L250" s="75" t="str">
        <x:f>IF($A250&lt;&gt;"","Units","")</x:f>
      </x:c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75" t="str">
        <x:f>IF(Katalog_Fiyatlayici!$AC251="Fiyat Hazır",Katalog_Fiyatlayici!$AD251,"")</x:f>
      </x:c>
      <x:c r="B251" s="75" t="str">
        <x:f>IF($A251&lt;&gt;"",Katalog_Fiyatlayici!$AF251,"")</x:f>
      </x:c>
      <x:c r="C251" s="83" t="str">
        <x:f>IF($A251&lt;&gt;"",Katalog_Fiyatlayici!$AA251,"")</x:f>
      </x:c>
      <x:c r="D251" s="83" t="str">
        <x:f>IF($A251&lt;&gt;"",Katalog_Fiyatlayici!$W251,"")</x:f>
      </x:c>
      <x:c r="E251" s="75" t="str">
        <x:f>IF($A251&lt;&gt;"","Service","")</x:f>
      </x:c>
      <x:c r="F251" s="75" t="str">
        <x:f>IF($A251&lt;&gt;"",Katalog_Fiyatlayici!$AE251,"")</x:f>
      </x:c>
      <x:c r="G251" s="75" t="str">
        <x:f>IF($A251&lt;&gt;"",Katalog_Fiyatlayici!$AD251,"")</x:f>
      </x:c>
      <x:c r="H251" s="75" t="str">
        <x:f>IF($A251&lt;&gt;"",Katalog_Fiyatlayici!$B251,"")</x:f>
      </x:c>
      <x:c r="I251" s="75" t="str">
        <x:f>IF($A251&lt;&gt;"","MakerWorld model linkine göre tahmini 3D baskı fiyatı. Gerçek üretimden önce Bambu Studio ile gramaj ve süre doğrulanır.","")</x:f>
      </x:c>
      <x:c r="J251" s="75" t="str">
        <x:f>IF($A251&lt;&gt;"",TRUE,"")</x:f>
      </x:c>
      <x:c r="K251" s="75" t="str">
        <x:f>IF($A251&lt;&gt;"",FALSE,"")</x:f>
      </x:c>
      <x:c r="L251" s="75" t="str">
        <x:f>IF($A251&lt;&gt;"","Units","")</x:f>
      </x:c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75" t="str">
        <x:f>IF(Katalog_Fiyatlayici!$AC252="Fiyat Hazır",Katalog_Fiyatlayici!$AD252,"")</x:f>
      </x:c>
      <x:c r="B252" s="75" t="str">
        <x:f>IF($A252&lt;&gt;"",Katalog_Fiyatlayici!$AF252,"")</x:f>
      </x:c>
      <x:c r="C252" s="83" t="str">
        <x:f>IF($A252&lt;&gt;"",Katalog_Fiyatlayici!$AA252,"")</x:f>
      </x:c>
      <x:c r="D252" s="83" t="str">
        <x:f>IF($A252&lt;&gt;"",Katalog_Fiyatlayici!$W252,"")</x:f>
      </x:c>
      <x:c r="E252" s="75" t="str">
        <x:f>IF($A252&lt;&gt;"","Service","")</x:f>
      </x:c>
      <x:c r="F252" s="75" t="str">
        <x:f>IF($A252&lt;&gt;"",Katalog_Fiyatlayici!$AE252,"")</x:f>
      </x:c>
      <x:c r="G252" s="75" t="str">
        <x:f>IF($A252&lt;&gt;"",Katalog_Fiyatlayici!$AD252,"")</x:f>
      </x:c>
      <x:c r="H252" s="75" t="str">
        <x:f>IF($A252&lt;&gt;"",Katalog_Fiyatlayici!$B252,"")</x:f>
      </x:c>
      <x:c r="I252" s="75" t="str">
        <x:f>IF($A252&lt;&gt;"","MakerWorld model linkine göre tahmini 3D baskı fiyatı. Gerçek üretimden önce Bambu Studio ile gramaj ve süre doğrulanır.","")</x:f>
      </x:c>
      <x:c r="J252" s="75" t="str">
        <x:f>IF($A252&lt;&gt;"",TRUE,"")</x:f>
      </x:c>
      <x:c r="K252" s="75" t="str">
        <x:f>IF($A252&lt;&gt;"",FALSE,"")</x:f>
      </x:c>
      <x:c r="L252" s="75" t="str">
        <x:f>IF($A252&lt;&gt;"","Units","")</x:f>
      </x:c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75" t="str">
        <x:f>IF(Katalog_Fiyatlayici!$AC253="Fiyat Hazır",Katalog_Fiyatlayici!$AD253,"")</x:f>
      </x:c>
      <x:c r="B253" s="75" t="str">
        <x:f>IF($A253&lt;&gt;"",Katalog_Fiyatlayici!$AF253,"")</x:f>
      </x:c>
      <x:c r="C253" s="83" t="str">
        <x:f>IF($A253&lt;&gt;"",Katalog_Fiyatlayici!$AA253,"")</x:f>
      </x:c>
      <x:c r="D253" s="83" t="str">
        <x:f>IF($A253&lt;&gt;"",Katalog_Fiyatlayici!$W253,"")</x:f>
      </x:c>
      <x:c r="E253" s="75" t="str">
        <x:f>IF($A253&lt;&gt;"","Service","")</x:f>
      </x:c>
      <x:c r="F253" s="75" t="str">
        <x:f>IF($A253&lt;&gt;"",Katalog_Fiyatlayici!$AE253,"")</x:f>
      </x:c>
      <x:c r="G253" s="75" t="str">
        <x:f>IF($A253&lt;&gt;"",Katalog_Fiyatlayici!$AD253,"")</x:f>
      </x:c>
      <x:c r="H253" s="75" t="str">
        <x:f>IF($A253&lt;&gt;"",Katalog_Fiyatlayici!$B253,"")</x:f>
      </x:c>
      <x:c r="I253" s="75" t="str">
        <x:f>IF($A253&lt;&gt;"","MakerWorld model linkine göre tahmini 3D baskı fiyatı. Gerçek üretimden önce Bambu Studio ile gramaj ve süre doğrulanır.","")</x:f>
      </x:c>
      <x:c r="J253" s="75" t="str">
        <x:f>IF($A253&lt;&gt;"",TRUE,"")</x:f>
      </x:c>
      <x:c r="K253" s="75" t="str">
        <x:f>IF($A253&lt;&gt;"",FALSE,"")</x:f>
      </x:c>
      <x:c r="L253" s="75" t="str">
        <x:f>IF($A253&lt;&gt;"","Units","")</x:f>
      </x:c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75" t="str">
        <x:f>IF(Katalog_Fiyatlayici!$AC254="Fiyat Hazır",Katalog_Fiyatlayici!$AD254,"")</x:f>
      </x:c>
      <x:c r="B254" s="75" t="str">
        <x:f>IF($A254&lt;&gt;"",Katalog_Fiyatlayici!$AF254,"")</x:f>
      </x:c>
      <x:c r="C254" s="83" t="str">
        <x:f>IF($A254&lt;&gt;"",Katalog_Fiyatlayici!$AA254,"")</x:f>
      </x:c>
      <x:c r="D254" s="83" t="str">
        <x:f>IF($A254&lt;&gt;"",Katalog_Fiyatlayici!$W254,"")</x:f>
      </x:c>
      <x:c r="E254" s="75" t="str">
        <x:f>IF($A254&lt;&gt;"","Service","")</x:f>
      </x:c>
      <x:c r="F254" s="75" t="str">
        <x:f>IF($A254&lt;&gt;"",Katalog_Fiyatlayici!$AE254,"")</x:f>
      </x:c>
      <x:c r="G254" s="75" t="str">
        <x:f>IF($A254&lt;&gt;"",Katalog_Fiyatlayici!$AD254,"")</x:f>
      </x:c>
      <x:c r="H254" s="75" t="str">
        <x:f>IF($A254&lt;&gt;"",Katalog_Fiyatlayici!$B254,"")</x:f>
      </x:c>
      <x:c r="I254" s="75" t="str">
        <x:f>IF($A254&lt;&gt;"","MakerWorld model linkine göre tahmini 3D baskı fiyatı. Gerçek üretimden önce Bambu Studio ile gramaj ve süre doğrulanır.","")</x:f>
      </x:c>
      <x:c r="J254" s="75" t="str">
        <x:f>IF($A254&lt;&gt;"",TRUE,"")</x:f>
      </x:c>
      <x:c r="K254" s="75" t="str">
        <x:f>IF($A254&lt;&gt;"",FALSE,"")</x:f>
      </x:c>
      <x:c r="L254" s="75" t="str">
        <x:f>IF($A254&lt;&gt;"","Units","")</x:f>
      </x:c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75" t="str">
        <x:f>IF(Katalog_Fiyatlayici!$AC255="Fiyat Hazır",Katalog_Fiyatlayici!$AD255,"")</x:f>
      </x:c>
      <x:c r="B255" s="75" t="str">
        <x:f>IF($A255&lt;&gt;"",Katalog_Fiyatlayici!$AF255,"")</x:f>
      </x:c>
      <x:c r="C255" s="83" t="str">
        <x:f>IF($A255&lt;&gt;"",Katalog_Fiyatlayici!$AA255,"")</x:f>
      </x:c>
      <x:c r="D255" s="83" t="str">
        <x:f>IF($A255&lt;&gt;"",Katalog_Fiyatlayici!$W255,"")</x:f>
      </x:c>
      <x:c r="E255" s="75" t="str">
        <x:f>IF($A255&lt;&gt;"","Service","")</x:f>
      </x:c>
      <x:c r="F255" s="75" t="str">
        <x:f>IF($A255&lt;&gt;"",Katalog_Fiyatlayici!$AE255,"")</x:f>
      </x:c>
      <x:c r="G255" s="75" t="str">
        <x:f>IF($A255&lt;&gt;"",Katalog_Fiyatlayici!$AD255,"")</x:f>
      </x:c>
      <x:c r="H255" s="75" t="str">
        <x:f>IF($A255&lt;&gt;"",Katalog_Fiyatlayici!$B255,"")</x:f>
      </x:c>
      <x:c r="I255" s="75" t="str">
        <x:f>IF($A255&lt;&gt;"","MakerWorld model linkine göre tahmini 3D baskı fiyatı. Gerçek üretimden önce Bambu Studio ile gramaj ve süre doğrulanır.","")</x:f>
      </x:c>
      <x:c r="J255" s="75" t="str">
        <x:f>IF($A255&lt;&gt;"",TRUE,"")</x:f>
      </x:c>
      <x:c r="K255" s="75" t="str">
        <x:f>IF($A255&lt;&gt;"",FALSE,"")</x:f>
      </x:c>
      <x:c r="L255" s="75" t="str">
        <x:f>IF($A255&lt;&gt;"","Units","")</x:f>
      </x:c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75" t="str">
        <x:f>IF(Katalog_Fiyatlayici!$AC256="Fiyat Hazır",Katalog_Fiyatlayici!$AD256,"")</x:f>
      </x:c>
      <x:c r="B256" s="75" t="str">
        <x:f>IF($A256&lt;&gt;"",Katalog_Fiyatlayici!$AF256,"")</x:f>
      </x:c>
      <x:c r="C256" s="83" t="str">
        <x:f>IF($A256&lt;&gt;"",Katalog_Fiyatlayici!$AA256,"")</x:f>
      </x:c>
      <x:c r="D256" s="83" t="str">
        <x:f>IF($A256&lt;&gt;"",Katalog_Fiyatlayici!$W256,"")</x:f>
      </x:c>
      <x:c r="E256" s="75" t="str">
        <x:f>IF($A256&lt;&gt;"","Service","")</x:f>
      </x:c>
      <x:c r="F256" s="75" t="str">
        <x:f>IF($A256&lt;&gt;"",Katalog_Fiyatlayici!$AE256,"")</x:f>
      </x:c>
      <x:c r="G256" s="75" t="str">
        <x:f>IF($A256&lt;&gt;"",Katalog_Fiyatlayici!$AD256,"")</x:f>
      </x:c>
      <x:c r="H256" s="75" t="str">
        <x:f>IF($A256&lt;&gt;"",Katalog_Fiyatlayici!$B256,"")</x:f>
      </x:c>
      <x:c r="I256" s="75" t="str">
        <x:f>IF($A256&lt;&gt;"","MakerWorld model linkine göre tahmini 3D baskı fiyatı. Gerçek üretimden önce Bambu Studio ile gramaj ve süre doğrulanır.","")</x:f>
      </x:c>
      <x:c r="J256" s="75" t="str">
        <x:f>IF($A256&lt;&gt;"",TRUE,"")</x:f>
      </x:c>
      <x:c r="K256" s="75" t="str">
        <x:f>IF($A256&lt;&gt;"",FALSE,"")</x:f>
      </x:c>
      <x:c r="L256" s="75" t="str">
        <x:f>IF($A256&lt;&gt;"","Units","")</x:f>
      </x:c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75" t="str">
        <x:f>IF(Katalog_Fiyatlayici!$AC257="Fiyat Hazır",Katalog_Fiyatlayici!$AD257,"")</x:f>
      </x:c>
      <x:c r="B257" s="75" t="str">
        <x:f>IF($A257&lt;&gt;"",Katalog_Fiyatlayici!$AF257,"")</x:f>
      </x:c>
      <x:c r="C257" s="83" t="str">
        <x:f>IF($A257&lt;&gt;"",Katalog_Fiyatlayici!$AA257,"")</x:f>
      </x:c>
      <x:c r="D257" s="83" t="str">
        <x:f>IF($A257&lt;&gt;"",Katalog_Fiyatlayici!$W257,"")</x:f>
      </x:c>
      <x:c r="E257" s="75" t="str">
        <x:f>IF($A257&lt;&gt;"","Service","")</x:f>
      </x:c>
      <x:c r="F257" s="75" t="str">
        <x:f>IF($A257&lt;&gt;"",Katalog_Fiyatlayici!$AE257,"")</x:f>
      </x:c>
      <x:c r="G257" s="75" t="str">
        <x:f>IF($A257&lt;&gt;"",Katalog_Fiyatlayici!$AD257,"")</x:f>
      </x:c>
      <x:c r="H257" s="75" t="str">
        <x:f>IF($A257&lt;&gt;"",Katalog_Fiyatlayici!$B257,"")</x:f>
      </x:c>
      <x:c r="I257" s="75" t="str">
        <x:f>IF($A257&lt;&gt;"","MakerWorld model linkine göre tahmini 3D baskı fiyatı. Gerçek üretimden önce Bambu Studio ile gramaj ve süre doğrulanır.","")</x:f>
      </x:c>
      <x:c r="J257" s="75" t="str">
        <x:f>IF($A257&lt;&gt;"",TRUE,"")</x:f>
      </x:c>
      <x:c r="K257" s="75" t="str">
        <x:f>IF($A257&lt;&gt;"",FALSE,"")</x:f>
      </x:c>
      <x:c r="L257" s="75" t="str">
        <x:f>IF($A257&lt;&gt;"","Units","")</x:f>
      </x:c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75" t="str">
        <x:f>IF(Katalog_Fiyatlayici!$AC258="Fiyat Hazır",Katalog_Fiyatlayici!$AD258,"")</x:f>
      </x:c>
      <x:c r="B258" s="75" t="str">
        <x:f>IF($A258&lt;&gt;"",Katalog_Fiyatlayici!$AF258,"")</x:f>
      </x:c>
      <x:c r="C258" s="83" t="str">
        <x:f>IF($A258&lt;&gt;"",Katalog_Fiyatlayici!$AA258,"")</x:f>
      </x:c>
      <x:c r="D258" s="83" t="str">
        <x:f>IF($A258&lt;&gt;"",Katalog_Fiyatlayici!$W258,"")</x:f>
      </x:c>
      <x:c r="E258" s="75" t="str">
        <x:f>IF($A258&lt;&gt;"","Service","")</x:f>
      </x:c>
      <x:c r="F258" s="75" t="str">
        <x:f>IF($A258&lt;&gt;"",Katalog_Fiyatlayici!$AE258,"")</x:f>
      </x:c>
      <x:c r="G258" s="75" t="str">
        <x:f>IF($A258&lt;&gt;"",Katalog_Fiyatlayici!$AD258,"")</x:f>
      </x:c>
      <x:c r="H258" s="75" t="str">
        <x:f>IF($A258&lt;&gt;"",Katalog_Fiyatlayici!$B258,"")</x:f>
      </x:c>
      <x:c r="I258" s="75" t="str">
        <x:f>IF($A258&lt;&gt;"","MakerWorld model linkine göre tahmini 3D baskı fiyatı. Gerçek üretimden önce Bambu Studio ile gramaj ve süre doğrulanır.","")</x:f>
      </x:c>
      <x:c r="J258" s="75" t="str">
        <x:f>IF($A258&lt;&gt;"",TRUE,"")</x:f>
      </x:c>
      <x:c r="K258" s="75" t="str">
        <x:f>IF($A258&lt;&gt;"",FALSE,"")</x:f>
      </x:c>
      <x:c r="L258" s="75" t="str">
        <x:f>IF($A258&lt;&gt;"","Units","")</x:f>
      </x:c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75" t="str">
        <x:f>IF(Katalog_Fiyatlayici!$AC259="Fiyat Hazır",Katalog_Fiyatlayici!$AD259,"")</x:f>
      </x:c>
      <x:c r="B259" s="75" t="str">
        <x:f>IF($A259&lt;&gt;"",Katalog_Fiyatlayici!$AF259,"")</x:f>
      </x:c>
      <x:c r="C259" s="83" t="str">
        <x:f>IF($A259&lt;&gt;"",Katalog_Fiyatlayici!$AA259,"")</x:f>
      </x:c>
      <x:c r="D259" s="83" t="str">
        <x:f>IF($A259&lt;&gt;"",Katalog_Fiyatlayici!$W259,"")</x:f>
      </x:c>
      <x:c r="E259" s="75" t="str">
        <x:f>IF($A259&lt;&gt;"","Service","")</x:f>
      </x:c>
      <x:c r="F259" s="75" t="str">
        <x:f>IF($A259&lt;&gt;"",Katalog_Fiyatlayici!$AE259,"")</x:f>
      </x:c>
      <x:c r="G259" s="75" t="str">
        <x:f>IF($A259&lt;&gt;"",Katalog_Fiyatlayici!$AD259,"")</x:f>
      </x:c>
      <x:c r="H259" s="75" t="str">
        <x:f>IF($A259&lt;&gt;"",Katalog_Fiyatlayici!$B259,"")</x:f>
      </x:c>
      <x:c r="I259" s="75" t="str">
        <x:f>IF($A259&lt;&gt;"","MakerWorld model linkine göre tahmini 3D baskı fiyatı. Gerçek üretimden önce Bambu Studio ile gramaj ve süre doğrulanır.","")</x:f>
      </x:c>
      <x:c r="J259" s="75" t="str">
        <x:f>IF($A259&lt;&gt;"",TRUE,"")</x:f>
      </x:c>
      <x:c r="K259" s="75" t="str">
        <x:f>IF($A259&lt;&gt;"",FALSE,"")</x:f>
      </x:c>
      <x:c r="L259" s="75" t="str">
        <x:f>IF($A259&lt;&gt;"","Units","")</x:f>
      </x:c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75" t="str">
        <x:f>IF(Katalog_Fiyatlayici!$AC260="Fiyat Hazır",Katalog_Fiyatlayici!$AD260,"")</x:f>
      </x:c>
      <x:c r="B260" s="75" t="str">
        <x:f>IF($A260&lt;&gt;"",Katalog_Fiyatlayici!$AF260,"")</x:f>
      </x:c>
      <x:c r="C260" s="83" t="str">
        <x:f>IF($A260&lt;&gt;"",Katalog_Fiyatlayici!$AA260,"")</x:f>
      </x:c>
      <x:c r="D260" s="83" t="str">
        <x:f>IF($A260&lt;&gt;"",Katalog_Fiyatlayici!$W260,"")</x:f>
      </x:c>
      <x:c r="E260" s="75" t="str">
        <x:f>IF($A260&lt;&gt;"","Service","")</x:f>
      </x:c>
      <x:c r="F260" s="75" t="str">
        <x:f>IF($A260&lt;&gt;"",Katalog_Fiyatlayici!$AE260,"")</x:f>
      </x:c>
      <x:c r="G260" s="75" t="str">
        <x:f>IF($A260&lt;&gt;"",Katalog_Fiyatlayici!$AD260,"")</x:f>
      </x:c>
      <x:c r="H260" s="75" t="str">
        <x:f>IF($A260&lt;&gt;"",Katalog_Fiyatlayici!$B260,"")</x:f>
      </x:c>
      <x:c r="I260" s="75" t="str">
        <x:f>IF($A260&lt;&gt;"","MakerWorld model linkine göre tahmini 3D baskı fiyatı. Gerçek üretimden önce Bambu Studio ile gramaj ve süre doğrulanır.","")</x:f>
      </x:c>
      <x:c r="J260" s="75" t="str">
        <x:f>IF($A260&lt;&gt;"",TRUE,"")</x:f>
      </x:c>
      <x:c r="K260" s="75" t="str">
        <x:f>IF($A260&lt;&gt;"",FALSE,"")</x:f>
      </x:c>
      <x:c r="L260" s="75" t="str">
        <x:f>IF($A260&lt;&gt;"","Units","")</x:f>
      </x:c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75" t="str">
        <x:f>IF(Katalog_Fiyatlayici!$AC261="Fiyat Hazır",Katalog_Fiyatlayici!$AD261,"")</x:f>
      </x:c>
      <x:c r="B261" s="75" t="str">
        <x:f>IF($A261&lt;&gt;"",Katalog_Fiyatlayici!$AF261,"")</x:f>
      </x:c>
      <x:c r="C261" s="83" t="str">
        <x:f>IF($A261&lt;&gt;"",Katalog_Fiyatlayici!$AA261,"")</x:f>
      </x:c>
      <x:c r="D261" s="83" t="str">
        <x:f>IF($A261&lt;&gt;"",Katalog_Fiyatlayici!$W261,"")</x:f>
      </x:c>
      <x:c r="E261" s="75" t="str">
        <x:f>IF($A261&lt;&gt;"","Service","")</x:f>
      </x:c>
      <x:c r="F261" s="75" t="str">
        <x:f>IF($A261&lt;&gt;"",Katalog_Fiyatlayici!$AE261,"")</x:f>
      </x:c>
      <x:c r="G261" s="75" t="str">
        <x:f>IF($A261&lt;&gt;"",Katalog_Fiyatlayici!$AD261,"")</x:f>
      </x:c>
      <x:c r="H261" s="75" t="str">
        <x:f>IF($A261&lt;&gt;"",Katalog_Fiyatlayici!$B261,"")</x:f>
      </x:c>
      <x:c r="I261" s="75" t="str">
        <x:f>IF($A261&lt;&gt;"","MakerWorld model linkine göre tahmini 3D baskı fiyatı. Gerçek üretimden önce Bambu Studio ile gramaj ve süre doğrulanır.","")</x:f>
      </x:c>
      <x:c r="J261" s="75" t="str">
        <x:f>IF($A261&lt;&gt;"",TRUE,"")</x:f>
      </x:c>
      <x:c r="K261" s="75" t="str">
        <x:f>IF($A261&lt;&gt;"",FALSE,"")</x:f>
      </x:c>
      <x:c r="L261" s="75" t="str">
        <x:f>IF($A261&lt;&gt;"","Units","")</x:f>
      </x:c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75" t="str">
        <x:f>IF(Katalog_Fiyatlayici!$AC262="Fiyat Hazır",Katalog_Fiyatlayici!$AD262,"")</x:f>
      </x:c>
      <x:c r="B262" s="75" t="str">
        <x:f>IF($A262&lt;&gt;"",Katalog_Fiyatlayici!$AF262,"")</x:f>
      </x:c>
      <x:c r="C262" s="83" t="str">
        <x:f>IF($A262&lt;&gt;"",Katalog_Fiyatlayici!$AA262,"")</x:f>
      </x:c>
      <x:c r="D262" s="83" t="str">
        <x:f>IF($A262&lt;&gt;"",Katalog_Fiyatlayici!$W262,"")</x:f>
      </x:c>
      <x:c r="E262" s="75" t="str">
        <x:f>IF($A262&lt;&gt;"","Service","")</x:f>
      </x:c>
      <x:c r="F262" s="75" t="str">
        <x:f>IF($A262&lt;&gt;"",Katalog_Fiyatlayici!$AE262,"")</x:f>
      </x:c>
      <x:c r="G262" s="75" t="str">
        <x:f>IF($A262&lt;&gt;"",Katalog_Fiyatlayici!$AD262,"")</x:f>
      </x:c>
      <x:c r="H262" s="75" t="str">
        <x:f>IF($A262&lt;&gt;"",Katalog_Fiyatlayici!$B262,"")</x:f>
      </x:c>
      <x:c r="I262" s="75" t="str">
        <x:f>IF($A262&lt;&gt;"","MakerWorld model linkine göre tahmini 3D baskı fiyatı. Gerçek üretimden önce Bambu Studio ile gramaj ve süre doğrulanır.","")</x:f>
      </x:c>
      <x:c r="J262" s="75" t="str">
        <x:f>IF($A262&lt;&gt;"",TRUE,"")</x:f>
      </x:c>
      <x:c r="K262" s="75" t="str">
        <x:f>IF($A262&lt;&gt;"",FALSE,"")</x:f>
      </x:c>
      <x:c r="L262" s="75" t="str">
        <x:f>IF($A262&lt;&gt;"","Units","")</x:f>
      </x:c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75" t="str">
        <x:f>IF(Katalog_Fiyatlayici!$AC263="Fiyat Hazır",Katalog_Fiyatlayici!$AD263,"")</x:f>
      </x:c>
      <x:c r="B263" s="75" t="str">
        <x:f>IF($A263&lt;&gt;"",Katalog_Fiyatlayici!$AF263,"")</x:f>
      </x:c>
      <x:c r="C263" s="83" t="str">
        <x:f>IF($A263&lt;&gt;"",Katalog_Fiyatlayici!$AA263,"")</x:f>
      </x:c>
      <x:c r="D263" s="83" t="str">
        <x:f>IF($A263&lt;&gt;"",Katalog_Fiyatlayici!$W263,"")</x:f>
      </x:c>
      <x:c r="E263" s="75" t="str">
        <x:f>IF($A263&lt;&gt;"","Service","")</x:f>
      </x:c>
      <x:c r="F263" s="75" t="str">
        <x:f>IF($A263&lt;&gt;"",Katalog_Fiyatlayici!$AE263,"")</x:f>
      </x:c>
      <x:c r="G263" s="75" t="str">
        <x:f>IF($A263&lt;&gt;"",Katalog_Fiyatlayici!$AD263,"")</x:f>
      </x:c>
      <x:c r="H263" s="75" t="str">
        <x:f>IF($A263&lt;&gt;"",Katalog_Fiyatlayici!$B263,"")</x:f>
      </x:c>
      <x:c r="I263" s="75" t="str">
        <x:f>IF($A263&lt;&gt;"","MakerWorld model linkine göre tahmini 3D baskı fiyatı. Gerçek üretimden önce Bambu Studio ile gramaj ve süre doğrulanır.","")</x:f>
      </x:c>
      <x:c r="J263" s="75" t="str">
        <x:f>IF($A263&lt;&gt;"",TRUE,"")</x:f>
      </x:c>
      <x:c r="K263" s="75" t="str">
        <x:f>IF($A263&lt;&gt;"",FALSE,"")</x:f>
      </x:c>
      <x:c r="L263" s="75" t="str">
        <x:f>IF($A263&lt;&gt;"","Units","")</x:f>
      </x:c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75" t="str">
        <x:f>IF(Katalog_Fiyatlayici!$AC264="Fiyat Hazır",Katalog_Fiyatlayici!$AD264,"")</x:f>
      </x:c>
      <x:c r="B264" s="75" t="str">
        <x:f>IF($A264&lt;&gt;"",Katalog_Fiyatlayici!$AF264,"")</x:f>
      </x:c>
      <x:c r="C264" s="83" t="str">
        <x:f>IF($A264&lt;&gt;"",Katalog_Fiyatlayici!$AA264,"")</x:f>
      </x:c>
      <x:c r="D264" s="83" t="str">
        <x:f>IF($A264&lt;&gt;"",Katalog_Fiyatlayici!$W264,"")</x:f>
      </x:c>
      <x:c r="E264" s="75" t="str">
        <x:f>IF($A264&lt;&gt;"","Service","")</x:f>
      </x:c>
      <x:c r="F264" s="75" t="str">
        <x:f>IF($A264&lt;&gt;"",Katalog_Fiyatlayici!$AE264,"")</x:f>
      </x:c>
      <x:c r="G264" s="75" t="str">
        <x:f>IF($A264&lt;&gt;"",Katalog_Fiyatlayici!$AD264,"")</x:f>
      </x:c>
      <x:c r="H264" s="75" t="str">
        <x:f>IF($A264&lt;&gt;"",Katalog_Fiyatlayici!$B264,"")</x:f>
      </x:c>
      <x:c r="I264" s="75" t="str">
        <x:f>IF($A264&lt;&gt;"","MakerWorld model linkine göre tahmini 3D baskı fiyatı. Gerçek üretimden önce Bambu Studio ile gramaj ve süre doğrulanır.","")</x:f>
      </x:c>
      <x:c r="J264" s="75" t="str">
        <x:f>IF($A264&lt;&gt;"",TRUE,"")</x:f>
      </x:c>
      <x:c r="K264" s="75" t="str">
        <x:f>IF($A264&lt;&gt;"",FALSE,"")</x:f>
      </x:c>
      <x:c r="L264" s="75" t="str">
        <x:f>IF($A264&lt;&gt;"","Units","")</x:f>
      </x:c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75" t="str">
        <x:f>IF(Katalog_Fiyatlayici!$AC265="Fiyat Hazır",Katalog_Fiyatlayici!$AD265,"")</x:f>
      </x:c>
      <x:c r="B265" s="75" t="str">
        <x:f>IF($A265&lt;&gt;"",Katalog_Fiyatlayici!$AF265,"")</x:f>
      </x:c>
      <x:c r="C265" s="83" t="str">
        <x:f>IF($A265&lt;&gt;"",Katalog_Fiyatlayici!$AA265,"")</x:f>
      </x:c>
      <x:c r="D265" s="83" t="str">
        <x:f>IF($A265&lt;&gt;"",Katalog_Fiyatlayici!$W265,"")</x:f>
      </x:c>
      <x:c r="E265" s="75" t="str">
        <x:f>IF($A265&lt;&gt;"","Service","")</x:f>
      </x:c>
      <x:c r="F265" s="75" t="str">
        <x:f>IF($A265&lt;&gt;"",Katalog_Fiyatlayici!$AE265,"")</x:f>
      </x:c>
      <x:c r="G265" s="75" t="str">
        <x:f>IF($A265&lt;&gt;"",Katalog_Fiyatlayici!$AD265,"")</x:f>
      </x:c>
      <x:c r="H265" s="75" t="str">
        <x:f>IF($A265&lt;&gt;"",Katalog_Fiyatlayici!$B265,"")</x:f>
      </x:c>
      <x:c r="I265" s="75" t="str">
        <x:f>IF($A265&lt;&gt;"","MakerWorld model linkine göre tahmini 3D baskı fiyatı. Gerçek üretimden önce Bambu Studio ile gramaj ve süre doğrulanır.","")</x:f>
      </x:c>
      <x:c r="J265" s="75" t="str">
        <x:f>IF($A265&lt;&gt;"",TRUE,"")</x:f>
      </x:c>
      <x:c r="K265" s="75" t="str">
        <x:f>IF($A265&lt;&gt;"",FALSE,"")</x:f>
      </x:c>
      <x:c r="L265" s="75" t="str">
        <x:f>IF($A265&lt;&gt;"","Units","")</x:f>
      </x:c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75" t="str">
        <x:f>IF(Katalog_Fiyatlayici!$AC266="Fiyat Hazır",Katalog_Fiyatlayici!$AD266,"")</x:f>
      </x:c>
      <x:c r="B266" s="75" t="str">
        <x:f>IF($A266&lt;&gt;"",Katalog_Fiyatlayici!$AF266,"")</x:f>
      </x:c>
      <x:c r="C266" s="83" t="str">
        <x:f>IF($A266&lt;&gt;"",Katalog_Fiyatlayici!$AA266,"")</x:f>
      </x:c>
      <x:c r="D266" s="83" t="str">
        <x:f>IF($A266&lt;&gt;"",Katalog_Fiyatlayici!$W266,"")</x:f>
      </x:c>
      <x:c r="E266" s="75" t="str">
        <x:f>IF($A266&lt;&gt;"","Service","")</x:f>
      </x:c>
      <x:c r="F266" s="75" t="str">
        <x:f>IF($A266&lt;&gt;"",Katalog_Fiyatlayici!$AE266,"")</x:f>
      </x:c>
      <x:c r="G266" s="75" t="str">
        <x:f>IF($A266&lt;&gt;"",Katalog_Fiyatlayici!$AD266,"")</x:f>
      </x:c>
      <x:c r="H266" s="75" t="str">
        <x:f>IF($A266&lt;&gt;"",Katalog_Fiyatlayici!$B266,"")</x:f>
      </x:c>
      <x:c r="I266" s="75" t="str">
        <x:f>IF($A266&lt;&gt;"","MakerWorld model linkine göre tahmini 3D baskı fiyatı. Gerçek üretimden önce Bambu Studio ile gramaj ve süre doğrulanır.","")</x:f>
      </x:c>
      <x:c r="J266" s="75" t="str">
        <x:f>IF($A266&lt;&gt;"",TRUE,"")</x:f>
      </x:c>
      <x:c r="K266" s="75" t="str">
        <x:f>IF($A266&lt;&gt;"",FALSE,"")</x:f>
      </x:c>
      <x:c r="L266" s="75" t="str">
        <x:f>IF($A266&lt;&gt;"","Units","")</x:f>
      </x:c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75" t="str">
        <x:f>IF(Katalog_Fiyatlayici!$AC267="Fiyat Hazır",Katalog_Fiyatlayici!$AD267,"")</x:f>
      </x:c>
      <x:c r="B267" s="75" t="str">
        <x:f>IF($A267&lt;&gt;"",Katalog_Fiyatlayici!$AF267,"")</x:f>
      </x:c>
      <x:c r="C267" s="83" t="str">
        <x:f>IF($A267&lt;&gt;"",Katalog_Fiyatlayici!$AA267,"")</x:f>
      </x:c>
      <x:c r="D267" s="83" t="str">
        <x:f>IF($A267&lt;&gt;"",Katalog_Fiyatlayici!$W267,"")</x:f>
      </x:c>
      <x:c r="E267" s="75" t="str">
        <x:f>IF($A267&lt;&gt;"","Service","")</x:f>
      </x:c>
      <x:c r="F267" s="75" t="str">
        <x:f>IF($A267&lt;&gt;"",Katalog_Fiyatlayici!$AE267,"")</x:f>
      </x:c>
      <x:c r="G267" s="75" t="str">
        <x:f>IF($A267&lt;&gt;"",Katalog_Fiyatlayici!$AD267,"")</x:f>
      </x:c>
      <x:c r="H267" s="75" t="str">
        <x:f>IF($A267&lt;&gt;"",Katalog_Fiyatlayici!$B267,"")</x:f>
      </x:c>
      <x:c r="I267" s="75" t="str">
        <x:f>IF($A267&lt;&gt;"","MakerWorld model linkine göre tahmini 3D baskı fiyatı. Gerçek üretimden önce Bambu Studio ile gramaj ve süre doğrulanır.","")</x:f>
      </x:c>
      <x:c r="J267" s="75" t="str">
        <x:f>IF($A267&lt;&gt;"",TRUE,"")</x:f>
      </x:c>
      <x:c r="K267" s="75" t="str">
        <x:f>IF($A267&lt;&gt;"",FALSE,"")</x:f>
      </x:c>
      <x:c r="L267" s="75" t="str">
        <x:f>IF($A267&lt;&gt;"","Units","")</x:f>
      </x:c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75" t="str">
        <x:f>IF(Katalog_Fiyatlayici!$AC268="Fiyat Hazır",Katalog_Fiyatlayici!$AD268,"")</x:f>
      </x:c>
      <x:c r="B268" s="75" t="str">
        <x:f>IF($A268&lt;&gt;"",Katalog_Fiyatlayici!$AF268,"")</x:f>
      </x:c>
      <x:c r="C268" s="83" t="str">
        <x:f>IF($A268&lt;&gt;"",Katalog_Fiyatlayici!$AA268,"")</x:f>
      </x:c>
      <x:c r="D268" s="83" t="str">
        <x:f>IF($A268&lt;&gt;"",Katalog_Fiyatlayici!$W268,"")</x:f>
      </x:c>
      <x:c r="E268" s="75" t="str">
        <x:f>IF($A268&lt;&gt;"","Service","")</x:f>
      </x:c>
      <x:c r="F268" s="75" t="str">
        <x:f>IF($A268&lt;&gt;"",Katalog_Fiyatlayici!$AE268,"")</x:f>
      </x:c>
      <x:c r="G268" s="75" t="str">
        <x:f>IF($A268&lt;&gt;"",Katalog_Fiyatlayici!$AD268,"")</x:f>
      </x:c>
      <x:c r="H268" s="75" t="str">
        <x:f>IF($A268&lt;&gt;"",Katalog_Fiyatlayici!$B268,"")</x:f>
      </x:c>
      <x:c r="I268" s="75" t="str">
        <x:f>IF($A268&lt;&gt;"","MakerWorld model linkine göre tahmini 3D baskı fiyatı. Gerçek üretimden önce Bambu Studio ile gramaj ve süre doğrulanır.","")</x:f>
      </x:c>
      <x:c r="J268" s="75" t="str">
        <x:f>IF($A268&lt;&gt;"",TRUE,"")</x:f>
      </x:c>
      <x:c r="K268" s="75" t="str">
        <x:f>IF($A268&lt;&gt;"",FALSE,"")</x:f>
      </x:c>
      <x:c r="L268" s="75" t="str">
        <x:f>IF($A268&lt;&gt;"","Units","")</x:f>
      </x:c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75" t="str">
        <x:f>IF(Katalog_Fiyatlayici!$AC269="Fiyat Hazır",Katalog_Fiyatlayici!$AD269,"")</x:f>
      </x:c>
      <x:c r="B269" s="75" t="str">
        <x:f>IF($A269&lt;&gt;"",Katalog_Fiyatlayici!$AF269,"")</x:f>
      </x:c>
      <x:c r="C269" s="83" t="str">
        <x:f>IF($A269&lt;&gt;"",Katalog_Fiyatlayici!$AA269,"")</x:f>
      </x:c>
      <x:c r="D269" s="83" t="str">
        <x:f>IF($A269&lt;&gt;"",Katalog_Fiyatlayici!$W269,"")</x:f>
      </x:c>
      <x:c r="E269" s="75" t="str">
        <x:f>IF($A269&lt;&gt;"","Service","")</x:f>
      </x:c>
      <x:c r="F269" s="75" t="str">
        <x:f>IF($A269&lt;&gt;"",Katalog_Fiyatlayici!$AE269,"")</x:f>
      </x:c>
      <x:c r="G269" s="75" t="str">
        <x:f>IF($A269&lt;&gt;"",Katalog_Fiyatlayici!$AD269,"")</x:f>
      </x:c>
      <x:c r="H269" s="75" t="str">
        <x:f>IF($A269&lt;&gt;"",Katalog_Fiyatlayici!$B269,"")</x:f>
      </x:c>
      <x:c r="I269" s="75" t="str">
        <x:f>IF($A269&lt;&gt;"","MakerWorld model linkine göre tahmini 3D baskı fiyatı. Gerçek üretimden önce Bambu Studio ile gramaj ve süre doğrulanır.","")</x:f>
      </x:c>
      <x:c r="J269" s="75" t="str">
        <x:f>IF($A269&lt;&gt;"",TRUE,"")</x:f>
      </x:c>
      <x:c r="K269" s="75" t="str">
        <x:f>IF($A269&lt;&gt;"",FALSE,"")</x:f>
      </x:c>
      <x:c r="L269" s="75" t="str">
        <x:f>IF($A269&lt;&gt;"","Units","")</x:f>
      </x:c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75" t="str">
        <x:f>IF(Katalog_Fiyatlayici!$AC270="Fiyat Hazır",Katalog_Fiyatlayici!$AD270,"")</x:f>
      </x:c>
      <x:c r="B270" s="75" t="str">
        <x:f>IF($A270&lt;&gt;"",Katalog_Fiyatlayici!$AF270,"")</x:f>
      </x:c>
      <x:c r="C270" s="83" t="str">
        <x:f>IF($A270&lt;&gt;"",Katalog_Fiyatlayici!$AA270,"")</x:f>
      </x:c>
      <x:c r="D270" s="83" t="str">
        <x:f>IF($A270&lt;&gt;"",Katalog_Fiyatlayici!$W270,"")</x:f>
      </x:c>
      <x:c r="E270" s="75" t="str">
        <x:f>IF($A270&lt;&gt;"","Service","")</x:f>
      </x:c>
      <x:c r="F270" s="75" t="str">
        <x:f>IF($A270&lt;&gt;"",Katalog_Fiyatlayici!$AE270,"")</x:f>
      </x:c>
      <x:c r="G270" s="75" t="str">
        <x:f>IF($A270&lt;&gt;"",Katalog_Fiyatlayici!$AD270,"")</x:f>
      </x:c>
      <x:c r="H270" s="75" t="str">
        <x:f>IF($A270&lt;&gt;"",Katalog_Fiyatlayici!$B270,"")</x:f>
      </x:c>
      <x:c r="I270" s="75" t="str">
        <x:f>IF($A270&lt;&gt;"","MakerWorld model linkine göre tahmini 3D baskı fiyatı. Gerçek üretimden önce Bambu Studio ile gramaj ve süre doğrulanır.","")</x:f>
      </x:c>
      <x:c r="J270" s="75" t="str">
        <x:f>IF($A270&lt;&gt;"",TRUE,"")</x:f>
      </x:c>
      <x:c r="K270" s="75" t="str">
        <x:f>IF($A270&lt;&gt;"",FALSE,"")</x:f>
      </x:c>
      <x:c r="L270" s="75" t="str">
        <x:f>IF($A270&lt;&gt;"","Units","")</x:f>
      </x:c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75" t="str">
        <x:f>IF(Katalog_Fiyatlayici!$AC271="Fiyat Hazır",Katalog_Fiyatlayici!$AD271,"")</x:f>
      </x:c>
      <x:c r="B271" s="75" t="str">
        <x:f>IF($A271&lt;&gt;"",Katalog_Fiyatlayici!$AF271,"")</x:f>
      </x:c>
      <x:c r="C271" s="83" t="str">
        <x:f>IF($A271&lt;&gt;"",Katalog_Fiyatlayici!$AA271,"")</x:f>
      </x:c>
      <x:c r="D271" s="83" t="str">
        <x:f>IF($A271&lt;&gt;"",Katalog_Fiyatlayici!$W271,"")</x:f>
      </x:c>
      <x:c r="E271" s="75" t="str">
        <x:f>IF($A271&lt;&gt;"","Service","")</x:f>
      </x:c>
      <x:c r="F271" s="75" t="str">
        <x:f>IF($A271&lt;&gt;"",Katalog_Fiyatlayici!$AE271,"")</x:f>
      </x:c>
      <x:c r="G271" s="75" t="str">
        <x:f>IF($A271&lt;&gt;"",Katalog_Fiyatlayici!$AD271,"")</x:f>
      </x:c>
      <x:c r="H271" s="75" t="str">
        <x:f>IF($A271&lt;&gt;"",Katalog_Fiyatlayici!$B271,"")</x:f>
      </x:c>
      <x:c r="I271" s="75" t="str">
        <x:f>IF($A271&lt;&gt;"","MakerWorld model linkine göre tahmini 3D baskı fiyatı. Gerçek üretimden önce Bambu Studio ile gramaj ve süre doğrulanır.","")</x:f>
      </x:c>
      <x:c r="J271" s="75" t="str">
        <x:f>IF($A271&lt;&gt;"",TRUE,"")</x:f>
      </x:c>
      <x:c r="K271" s="75" t="str">
        <x:f>IF($A271&lt;&gt;"",FALSE,"")</x:f>
      </x:c>
      <x:c r="L271" s="75" t="str">
        <x:f>IF($A271&lt;&gt;"","Units","")</x:f>
      </x:c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75" t="str">
        <x:f>IF(Katalog_Fiyatlayici!$AC272="Fiyat Hazır",Katalog_Fiyatlayici!$AD272,"")</x:f>
      </x:c>
      <x:c r="B272" s="75" t="str">
        <x:f>IF($A272&lt;&gt;"",Katalog_Fiyatlayici!$AF272,"")</x:f>
      </x:c>
      <x:c r="C272" s="83" t="str">
        <x:f>IF($A272&lt;&gt;"",Katalog_Fiyatlayici!$AA272,"")</x:f>
      </x:c>
      <x:c r="D272" s="83" t="str">
        <x:f>IF($A272&lt;&gt;"",Katalog_Fiyatlayici!$W272,"")</x:f>
      </x:c>
      <x:c r="E272" s="75" t="str">
        <x:f>IF($A272&lt;&gt;"","Service","")</x:f>
      </x:c>
      <x:c r="F272" s="75" t="str">
        <x:f>IF($A272&lt;&gt;"",Katalog_Fiyatlayici!$AE272,"")</x:f>
      </x:c>
      <x:c r="G272" s="75" t="str">
        <x:f>IF($A272&lt;&gt;"",Katalog_Fiyatlayici!$AD272,"")</x:f>
      </x:c>
      <x:c r="H272" s="75" t="str">
        <x:f>IF($A272&lt;&gt;"",Katalog_Fiyatlayici!$B272,"")</x:f>
      </x:c>
      <x:c r="I272" s="75" t="str">
        <x:f>IF($A272&lt;&gt;"","MakerWorld model linkine göre tahmini 3D baskı fiyatı. Gerçek üretimden önce Bambu Studio ile gramaj ve süre doğrulanır.","")</x:f>
      </x:c>
      <x:c r="J272" s="75" t="str">
        <x:f>IF($A272&lt;&gt;"",TRUE,"")</x:f>
      </x:c>
      <x:c r="K272" s="75" t="str">
        <x:f>IF($A272&lt;&gt;"",FALSE,"")</x:f>
      </x:c>
      <x:c r="L272" s="75" t="str">
        <x:f>IF($A272&lt;&gt;"","Units","")</x:f>
      </x:c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75" t="str">
        <x:f>IF(Katalog_Fiyatlayici!$AC273="Fiyat Hazır",Katalog_Fiyatlayici!$AD273,"")</x:f>
      </x:c>
      <x:c r="B273" s="75" t="str">
        <x:f>IF($A273&lt;&gt;"",Katalog_Fiyatlayici!$AF273,"")</x:f>
      </x:c>
      <x:c r="C273" s="83" t="str">
        <x:f>IF($A273&lt;&gt;"",Katalog_Fiyatlayici!$AA273,"")</x:f>
      </x:c>
      <x:c r="D273" s="83" t="str">
        <x:f>IF($A273&lt;&gt;"",Katalog_Fiyatlayici!$W273,"")</x:f>
      </x:c>
      <x:c r="E273" s="75" t="str">
        <x:f>IF($A273&lt;&gt;"","Service","")</x:f>
      </x:c>
      <x:c r="F273" s="75" t="str">
        <x:f>IF($A273&lt;&gt;"",Katalog_Fiyatlayici!$AE273,"")</x:f>
      </x:c>
      <x:c r="G273" s="75" t="str">
        <x:f>IF($A273&lt;&gt;"",Katalog_Fiyatlayici!$AD273,"")</x:f>
      </x:c>
      <x:c r="H273" s="75" t="str">
        <x:f>IF($A273&lt;&gt;"",Katalog_Fiyatlayici!$B273,"")</x:f>
      </x:c>
      <x:c r="I273" s="75" t="str">
        <x:f>IF($A273&lt;&gt;"","MakerWorld model linkine göre tahmini 3D baskı fiyatı. Gerçek üretimden önce Bambu Studio ile gramaj ve süre doğrulanır.","")</x:f>
      </x:c>
      <x:c r="J273" s="75" t="str">
        <x:f>IF($A273&lt;&gt;"",TRUE,"")</x:f>
      </x:c>
      <x:c r="K273" s="75" t="str">
        <x:f>IF($A273&lt;&gt;"",FALSE,"")</x:f>
      </x:c>
      <x:c r="L273" s="75" t="str">
        <x:f>IF($A273&lt;&gt;"","Units","")</x:f>
      </x:c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75" t="str">
        <x:f>IF(Katalog_Fiyatlayici!$AC274="Fiyat Hazır",Katalog_Fiyatlayici!$AD274,"")</x:f>
      </x:c>
      <x:c r="B274" s="75" t="str">
        <x:f>IF($A274&lt;&gt;"",Katalog_Fiyatlayici!$AF274,"")</x:f>
      </x:c>
      <x:c r="C274" s="83" t="str">
        <x:f>IF($A274&lt;&gt;"",Katalog_Fiyatlayici!$AA274,"")</x:f>
      </x:c>
      <x:c r="D274" s="83" t="str">
        <x:f>IF($A274&lt;&gt;"",Katalog_Fiyatlayici!$W274,"")</x:f>
      </x:c>
      <x:c r="E274" s="75" t="str">
        <x:f>IF($A274&lt;&gt;"","Service","")</x:f>
      </x:c>
      <x:c r="F274" s="75" t="str">
        <x:f>IF($A274&lt;&gt;"",Katalog_Fiyatlayici!$AE274,"")</x:f>
      </x:c>
      <x:c r="G274" s="75" t="str">
        <x:f>IF($A274&lt;&gt;"",Katalog_Fiyatlayici!$AD274,"")</x:f>
      </x:c>
      <x:c r="H274" s="75" t="str">
        <x:f>IF($A274&lt;&gt;"",Katalog_Fiyatlayici!$B274,"")</x:f>
      </x:c>
      <x:c r="I274" s="75" t="str">
        <x:f>IF($A274&lt;&gt;"","MakerWorld model linkine göre tahmini 3D baskı fiyatı. Gerçek üretimden önce Bambu Studio ile gramaj ve süre doğrulanır.","")</x:f>
      </x:c>
      <x:c r="J274" s="75" t="str">
        <x:f>IF($A274&lt;&gt;"",TRUE,"")</x:f>
      </x:c>
      <x:c r="K274" s="75" t="str">
        <x:f>IF($A274&lt;&gt;"",FALSE,"")</x:f>
      </x:c>
      <x:c r="L274" s="75" t="str">
        <x:f>IF($A274&lt;&gt;"","Units","")</x:f>
      </x:c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75" t="str">
        <x:f>IF(Katalog_Fiyatlayici!$AC275="Fiyat Hazır",Katalog_Fiyatlayici!$AD275,"")</x:f>
      </x:c>
      <x:c r="B275" s="75" t="str">
        <x:f>IF($A275&lt;&gt;"",Katalog_Fiyatlayici!$AF275,"")</x:f>
      </x:c>
      <x:c r="C275" s="83" t="str">
        <x:f>IF($A275&lt;&gt;"",Katalog_Fiyatlayici!$AA275,"")</x:f>
      </x:c>
      <x:c r="D275" s="83" t="str">
        <x:f>IF($A275&lt;&gt;"",Katalog_Fiyatlayici!$W275,"")</x:f>
      </x:c>
      <x:c r="E275" s="75" t="str">
        <x:f>IF($A275&lt;&gt;"","Service","")</x:f>
      </x:c>
      <x:c r="F275" s="75" t="str">
        <x:f>IF($A275&lt;&gt;"",Katalog_Fiyatlayici!$AE275,"")</x:f>
      </x:c>
      <x:c r="G275" s="75" t="str">
        <x:f>IF($A275&lt;&gt;"",Katalog_Fiyatlayici!$AD275,"")</x:f>
      </x:c>
      <x:c r="H275" s="75" t="str">
        <x:f>IF($A275&lt;&gt;"",Katalog_Fiyatlayici!$B275,"")</x:f>
      </x:c>
      <x:c r="I275" s="75" t="str">
        <x:f>IF($A275&lt;&gt;"","MakerWorld model linkine göre tahmini 3D baskı fiyatı. Gerçek üretimden önce Bambu Studio ile gramaj ve süre doğrulanır.","")</x:f>
      </x:c>
      <x:c r="J275" s="75" t="str">
        <x:f>IF($A275&lt;&gt;"",TRUE,"")</x:f>
      </x:c>
      <x:c r="K275" s="75" t="str">
        <x:f>IF($A275&lt;&gt;"",FALSE,"")</x:f>
      </x:c>
      <x:c r="L275" s="75" t="str">
        <x:f>IF($A275&lt;&gt;"","Units","")</x:f>
      </x:c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75" t="str">
        <x:f>IF(Katalog_Fiyatlayici!$AC276="Fiyat Hazır",Katalog_Fiyatlayici!$AD276,"")</x:f>
      </x:c>
      <x:c r="B276" s="75" t="str">
        <x:f>IF($A276&lt;&gt;"",Katalog_Fiyatlayici!$AF276,"")</x:f>
      </x:c>
      <x:c r="C276" s="83" t="str">
        <x:f>IF($A276&lt;&gt;"",Katalog_Fiyatlayici!$AA276,"")</x:f>
      </x:c>
      <x:c r="D276" s="83" t="str">
        <x:f>IF($A276&lt;&gt;"",Katalog_Fiyatlayici!$W276,"")</x:f>
      </x:c>
      <x:c r="E276" s="75" t="str">
        <x:f>IF($A276&lt;&gt;"","Service","")</x:f>
      </x:c>
      <x:c r="F276" s="75" t="str">
        <x:f>IF($A276&lt;&gt;"",Katalog_Fiyatlayici!$AE276,"")</x:f>
      </x:c>
      <x:c r="G276" s="75" t="str">
        <x:f>IF($A276&lt;&gt;"",Katalog_Fiyatlayici!$AD276,"")</x:f>
      </x:c>
      <x:c r="H276" s="75" t="str">
        <x:f>IF($A276&lt;&gt;"",Katalog_Fiyatlayici!$B276,"")</x:f>
      </x:c>
      <x:c r="I276" s="75" t="str">
        <x:f>IF($A276&lt;&gt;"","MakerWorld model linkine göre tahmini 3D baskı fiyatı. Gerçek üretimden önce Bambu Studio ile gramaj ve süre doğrulanır.","")</x:f>
      </x:c>
      <x:c r="J276" s="75" t="str">
        <x:f>IF($A276&lt;&gt;"",TRUE,"")</x:f>
      </x:c>
      <x:c r="K276" s="75" t="str">
        <x:f>IF($A276&lt;&gt;"",FALSE,"")</x:f>
      </x:c>
      <x:c r="L276" s="75" t="str">
        <x:f>IF($A276&lt;&gt;"","Units","")</x:f>
      </x:c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75" t="str">
        <x:f>IF(Katalog_Fiyatlayici!$AC277="Fiyat Hazır",Katalog_Fiyatlayici!$AD277,"")</x:f>
      </x:c>
      <x:c r="B277" s="75" t="str">
        <x:f>IF($A277&lt;&gt;"",Katalog_Fiyatlayici!$AF277,"")</x:f>
      </x:c>
      <x:c r="C277" s="83" t="str">
        <x:f>IF($A277&lt;&gt;"",Katalog_Fiyatlayici!$AA277,"")</x:f>
      </x:c>
      <x:c r="D277" s="83" t="str">
        <x:f>IF($A277&lt;&gt;"",Katalog_Fiyatlayici!$W277,"")</x:f>
      </x:c>
      <x:c r="E277" s="75" t="str">
        <x:f>IF($A277&lt;&gt;"","Service","")</x:f>
      </x:c>
      <x:c r="F277" s="75" t="str">
        <x:f>IF($A277&lt;&gt;"",Katalog_Fiyatlayici!$AE277,"")</x:f>
      </x:c>
      <x:c r="G277" s="75" t="str">
        <x:f>IF($A277&lt;&gt;"",Katalog_Fiyatlayici!$AD277,"")</x:f>
      </x:c>
      <x:c r="H277" s="75" t="str">
        <x:f>IF($A277&lt;&gt;"",Katalog_Fiyatlayici!$B277,"")</x:f>
      </x:c>
      <x:c r="I277" s="75" t="str">
        <x:f>IF($A277&lt;&gt;"","MakerWorld model linkine göre tahmini 3D baskı fiyatı. Gerçek üretimden önce Bambu Studio ile gramaj ve süre doğrulanır.","")</x:f>
      </x:c>
      <x:c r="J277" s="75" t="str">
        <x:f>IF($A277&lt;&gt;"",TRUE,"")</x:f>
      </x:c>
      <x:c r="K277" s="75" t="str">
        <x:f>IF($A277&lt;&gt;"",FALSE,"")</x:f>
      </x:c>
      <x:c r="L277" s="75" t="str">
        <x:f>IF($A277&lt;&gt;"","Units","")</x:f>
      </x:c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75" t="str">
        <x:f>IF(Katalog_Fiyatlayici!$AC278="Fiyat Hazır",Katalog_Fiyatlayici!$AD278,"")</x:f>
      </x:c>
      <x:c r="B278" s="75" t="str">
        <x:f>IF($A278&lt;&gt;"",Katalog_Fiyatlayici!$AF278,"")</x:f>
      </x:c>
      <x:c r="C278" s="83" t="str">
        <x:f>IF($A278&lt;&gt;"",Katalog_Fiyatlayici!$AA278,"")</x:f>
      </x:c>
      <x:c r="D278" s="83" t="str">
        <x:f>IF($A278&lt;&gt;"",Katalog_Fiyatlayici!$W278,"")</x:f>
      </x:c>
      <x:c r="E278" s="75" t="str">
        <x:f>IF($A278&lt;&gt;"","Service","")</x:f>
      </x:c>
      <x:c r="F278" s="75" t="str">
        <x:f>IF($A278&lt;&gt;"",Katalog_Fiyatlayici!$AE278,"")</x:f>
      </x:c>
      <x:c r="G278" s="75" t="str">
        <x:f>IF($A278&lt;&gt;"",Katalog_Fiyatlayici!$AD278,"")</x:f>
      </x:c>
      <x:c r="H278" s="75" t="str">
        <x:f>IF($A278&lt;&gt;"",Katalog_Fiyatlayici!$B278,"")</x:f>
      </x:c>
      <x:c r="I278" s="75" t="str">
        <x:f>IF($A278&lt;&gt;"","MakerWorld model linkine göre tahmini 3D baskı fiyatı. Gerçek üretimden önce Bambu Studio ile gramaj ve süre doğrulanır.","")</x:f>
      </x:c>
      <x:c r="J278" s="75" t="str">
        <x:f>IF($A278&lt;&gt;"",TRUE,"")</x:f>
      </x:c>
      <x:c r="K278" s="75" t="str">
        <x:f>IF($A278&lt;&gt;"",FALSE,"")</x:f>
      </x:c>
      <x:c r="L278" s="75" t="str">
        <x:f>IF($A278&lt;&gt;"","Units","")</x:f>
      </x:c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75" t="str">
        <x:f>IF(Katalog_Fiyatlayici!$AC279="Fiyat Hazır",Katalog_Fiyatlayici!$AD279,"")</x:f>
      </x:c>
      <x:c r="B279" s="75" t="str">
        <x:f>IF($A279&lt;&gt;"",Katalog_Fiyatlayici!$AF279,"")</x:f>
      </x:c>
      <x:c r="C279" s="83" t="str">
        <x:f>IF($A279&lt;&gt;"",Katalog_Fiyatlayici!$AA279,"")</x:f>
      </x:c>
      <x:c r="D279" s="83" t="str">
        <x:f>IF($A279&lt;&gt;"",Katalog_Fiyatlayici!$W279,"")</x:f>
      </x:c>
      <x:c r="E279" s="75" t="str">
        <x:f>IF($A279&lt;&gt;"","Service","")</x:f>
      </x:c>
      <x:c r="F279" s="75" t="str">
        <x:f>IF($A279&lt;&gt;"",Katalog_Fiyatlayici!$AE279,"")</x:f>
      </x:c>
      <x:c r="G279" s="75" t="str">
        <x:f>IF($A279&lt;&gt;"",Katalog_Fiyatlayici!$AD279,"")</x:f>
      </x:c>
      <x:c r="H279" s="75" t="str">
        <x:f>IF($A279&lt;&gt;"",Katalog_Fiyatlayici!$B279,"")</x:f>
      </x:c>
      <x:c r="I279" s="75" t="str">
        <x:f>IF($A279&lt;&gt;"","MakerWorld model linkine göre tahmini 3D baskı fiyatı. Gerçek üretimden önce Bambu Studio ile gramaj ve süre doğrulanır.","")</x:f>
      </x:c>
      <x:c r="J279" s="75" t="str">
        <x:f>IF($A279&lt;&gt;"",TRUE,"")</x:f>
      </x:c>
      <x:c r="K279" s="75" t="str">
        <x:f>IF($A279&lt;&gt;"",FALSE,"")</x:f>
      </x:c>
      <x:c r="L279" s="75" t="str">
        <x:f>IF($A279&lt;&gt;"","Units","")</x:f>
      </x:c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75" t="str">
        <x:f>IF(Katalog_Fiyatlayici!$AC280="Fiyat Hazır",Katalog_Fiyatlayici!$AD280,"")</x:f>
      </x:c>
      <x:c r="B280" s="75" t="str">
        <x:f>IF($A280&lt;&gt;"",Katalog_Fiyatlayici!$AF280,"")</x:f>
      </x:c>
      <x:c r="C280" s="83" t="str">
        <x:f>IF($A280&lt;&gt;"",Katalog_Fiyatlayici!$AA280,"")</x:f>
      </x:c>
      <x:c r="D280" s="83" t="str">
        <x:f>IF($A280&lt;&gt;"",Katalog_Fiyatlayici!$W280,"")</x:f>
      </x:c>
      <x:c r="E280" s="75" t="str">
        <x:f>IF($A280&lt;&gt;"","Service","")</x:f>
      </x:c>
      <x:c r="F280" s="75" t="str">
        <x:f>IF($A280&lt;&gt;"",Katalog_Fiyatlayici!$AE280,"")</x:f>
      </x:c>
      <x:c r="G280" s="75" t="str">
        <x:f>IF($A280&lt;&gt;"",Katalog_Fiyatlayici!$AD280,"")</x:f>
      </x:c>
      <x:c r="H280" s="75" t="str">
        <x:f>IF($A280&lt;&gt;"",Katalog_Fiyatlayici!$B280,"")</x:f>
      </x:c>
      <x:c r="I280" s="75" t="str">
        <x:f>IF($A280&lt;&gt;"","MakerWorld model linkine göre tahmini 3D baskı fiyatı. Gerçek üretimden önce Bambu Studio ile gramaj ve süre doğrulanır.","")</x:f>
      </x:c>
      <x:c r="J280" s="75" t="str">
        <x:f>IF($A280&lt;&gt;"",TRUE,"")</x:f>
      </x:c>
      <x:c r="K280" s="75" t="str">
        <x:f>IF($A280&lt;&gt;"",FALSE,"")</x:f>
      </x:c>
      <x:c r="L280" s="75" t="str">
        <x:f>IF($A280&lt;&gt;"","Units","")</x:f>
      </x:c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75" t="str">
        <x:f>IF(Katalog_Fiyatlayici!$AC281="Fiyat Hazır",Katalog_Fiyatlayici!$AD281,"")</x:f>
      </x:c>
      <x:c r="B281" s="75" t="str">
        <x:f>IF($A281&lt;&gt;"",Katalog_Fiyatlayici!$AF281,"")</x:f>
      </x:c>
      <x:c r="C281" s="83" t="str">
        <x:f>IF($A281&lt;&gt;"",Katalog_Fiyatlayici!$AA281,"")</x:f>
      </x:c>
      <x:c r="D281" s="83" t="str">
        <x:f>IF($A281&lt;&gt;"",Katalog_Fiyatlayici!$W281,"")</x:f>
      </x:c>
      <x:c r="E281" s="75" t="str">
        <x:f>IF($A281&lt;&gt;"","Service","")</x:f>
      </x:c>
      <x:c r="F281" s="75" t="str">
        <x:f>IF($A281&lt;&gt;"",Katalog_Fiyatlayici!$AE281,"")</x:f>
      </x:c>
      <x:c r="G281" s="75" t="str">
        <x:f>IF($A281&lt;&gt;"",Katalog_Fiyatlayici!$AD281,"")</x:f>
      </x:c>
      <x:c r="H281" s="75" t="str">
        <x:f>IF($A281&lt;&gt;"",Katalog_Fiyatlayici!$B281,"")</x:f>
      </x:c>
      <x:c r="I281" s="75" t="str">
        <x:f>IF($A281&lt;&gt;"","MakerWorld model linkine göre tahmini 3D baskı fiyatı. Gerçek üretimden önce Bambu Studio ile gramaj ve süre doğrulanır.","")</x:f>
      </x:c>
      <x:c r="J281" s="75" t="str">
        <x:f>IF($A281&lt;&gt;"",TRUE,"")</x:f>
      </x:c>
      <x:c r="K281" s="75" t="str">
        <x:f>IF($A281&lt;&gt;"",FALSE,"")</x:f>
      </x:c>
      <x:c r="L281" s="75" t="str">
        <x:f>IF($A281&lt;&gt;"","Units","")</x:f>
      </x:c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75" t="str">
        <x:f>IF(Katalog_Fiyatlayici!$AC282="Fiyat Hazır",Katalog_Fiyatlayici!$AD282,"")</x:f>
      </x:c>
      <x:c r="B282" s="75" t="str">
        <x:f>IF($A282&lt;&gt;"",Katalog_Fiyatlayici!$AF282,"")</x:f>
      </x:c>
      <x:c r="C282" s="83" t="str">
        <x:f>IF($A282&lt;&gt;"",Katalog_Fiyatlayici!$AA282,"")</x:f>
      </x:c>
      <x:c r="D282" s="83" t="str">
        <x:f>IF($A282&lt;&gt;"",Katalog_Fiyatlayici!$W282,"")</x:f>
      </x:c>
      <x:c r="E282" s="75" t="str">
        <x:f>IF($A282&lt;&gt;"","Service","")</x:f>
      </x:c>
      <x:c r="F282" s="75" t="str">
        <x:f>IF($A282&lt;&gt;"",Katalog_Fiyatlayici!$AE282,"")</x:f>
      </x:c>
      <x:c r="G282" s="75" t="str">
        <x:f>IF($A282&lt;&gt;"",Katalog_Fiyatlayici!$AD282,"")</x:f>
      </x:c>
      <x:c r="H282" s="75" t="str">
        <x:f>IF($A282&lt;&gt;"",Katalog_Fiyatlayici!$B282,"")</x:f>
      </x:c>
      <x:c r="I282" s="75" t="str">
        <x:f>IF($A282&lt;&gt;"","MakerWorld model linkine göre tahmini 3D baskı fiyatı. Gerçek üretimden önce Bambu Studio ile gramaj ve süre doğrulanır.","")</x:f>
      </x:c>
      <x:c r="J282" s="75" t="str">
        <x:f>IF($A282&lt;&gt;"",TRUE,"")</x:f>
      </x:c>
      <x:c r="K282" s="75" t="str">
        <x:f>IF($A282&lt;&gt;"",FALSE,"")</x:f>
      </x:c>
      <x:c r="L282" s="75" t="str">
        <x:f>IF($A282&lt;&gt;"","Units","")</x:f>
      </x:c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75" t="str">
        <x:f>IF(Katalog_Fiyatlayici!$AC283="Fiyat Hazır",Katalog_Fiyatlayici!$AD283,"")</x:f>
      </x:c>
      <x:c r="B283" s="75" t="str">
        <x:f>IF($A283&lt;&gt;"",Katalog_Fiyatlayici!$AF283,"")</x:f>
      </x:c>
      <x:c r="C283" s="83" t="str">
        <x:f>IF($A283&lt;&gt;"",Katalog_Fiyatlayici!$AA283,"")</x:f>
      </x:c>
      <x:c r="D283" s="83" t="str">
        <x:f>IF($A283&lt;&gt;"",Katalog_Fiyatlayici!$W283,"")</x:f>
      </x:c>
      <x:c r="E283" s="75" t="str">
        <x:f>IF($A283&lt;&gt;"","Service","")</x:f>
      </x:c>
      <x:c r="F283" s="75" t="str">
        <x:f>IF($A283&lt;&gt;"",Katalog_Fiyatlayici!$AE283,"")</x:f>
      </x:c>
      <x:c r="G283" s="75" t="str">
        <x:f>IF($A283&lt;&gt;"",Katalog_Fiyatlayici!$AD283,"")</x:f>
      </x:c>
      <x:c r="H283" s="75" t="str">
        <x:f>IF($A283&lt;&gt;"",Katalog_Fiyatlayici!$B283,"")</x:f>
      </x:c>
      <x:c r="I283" s="75" t="str">
        <x:f>IF($A283&lt;&gt;"","MakerWorld model linkine göre tahmini 3D baskı fiyatı. Gerçek üretimden önce Bambu Studio ile gramaj ve süre doğrulanır.","")</x:f>
      </x:c>
      <x:c r="J283" s="75" t="str">
        <x:f>IF($A283&lt;&gt;"",TRUE,"")</x:f>
      </x:c>
      <x:c r="K283" s="75" t="str">
        <x:f>IF($A283&lt;&gt;"",FALSE,"")</x:f>
      </x:c>
      <x:c r="L283" s="75" t="str">
        <x:f>IF($A283&lt;&gt;"","Units","")</x:f>
      </x:c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75" t="str">
        <x:f>IF(Katalog_Fiyatlayici!$AC284="Fiyat Hazır",Katalog_Fiyatlayici!$AD284,"")</x:f>
      </x:c>
      <x:c r="B284" s="75" t="str">
        <x:f>IF($A284&lt;&gt;"",Katalog_Fiyatlayici!$AF284,"")</x:f>
      </x:c>
      <x:c r="C284" s="83" t="str">
        <x:f>IF($A284&lt;&gt;"",Katalog_Fiyatlayici!$AA284,"")</x:f>
      </x:c>
      <x:c r="D284" s="83" t="str">
        <x:f>IF($A284&lt;&gt;"",Katalog_Fiyatlayici!$W284,"")</x:f>
      </x:c>
      <x:c r="E284" s="75" t="str">
        <x:f>IF($A284&lt;&gt;"","Service","")</x:f>
      </x:c>
      <x:c r="F284" s="75" t="str">
        <x:f>IF($A284&lt;&gt;"",Katalog_Fiyatlayici!$AE284,"")</x:f>
      </x:c>
      <x:c r="G284" s="75" t="str">
        <x:f>IF($A284&lt;&gt;"",Katalog_Fiyatlayici!$AD284,"")</x:f>
      </x:c>
      <x:c r="H284" s="75" t="str">
        <x:f>IF($A284&lt;&gt;"",Katalog_Fiyatlayici!$B284,"")</x:f>
      </x:c>
      <x:c r="I284" s="75" t="str">
        <x:f>IF($A284&lt;&gt;"","MakerWorld model linkine göre tahmini 3D baskı fiyatı. Gerçek üretimden önce Bambu Studio ile gramaj ve süre doğrulanır.","")</x:f>
      </x:c>
      <x:c r="J284" s="75" t="str">
        <x:f>IF($A284&lt;&gt;"",TRUE,"")</x:f>
      </x:c>
      <x:c r="K284" s="75" t="str">
        <x:f>IF($A284&lt;&gt;"",FALSE,"")</x:f>
      </x:c>
      <x:c r="L284" s="75" t="str">
        <x:f>IF($A284&lt;&gt;"","Units","")</x:f>
      </x:c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75" t="str">
        <x:f>IF(Katalog_Fiyatlayici!$AC285="Fiyat Hazır",Katalog_Fiyatlayici!$AD285,"")</x:f>
      </x:c>
      <x:c r="B285" s="75" t="str">
        <x:f>IF($A285&lt;&gt;"",Katalog_Fiyatlayici!$AF285,"")</x:f>
      </x:c>
      <x:c r="C285" s="83" t="str">
        <x:f>IF($A285&lt;&gt;"",Katalog_Fiyatlayici!$AA285,"")</x:f>
      </x:c>
      <x:c r="D285" s="83" t="str">
        <x:f>IF($A285&lt;&gt;"",Katalog_Fiyatlayici!$W285,"")</x:f>
      </x:c>
      <x:c r="E285" s="75" t="str">
        <x:f>IF($A285&lt;&gt;"","Service","")</x:f>
      </x:c>
      <x:c r="F285" s="75" t="str">
        <x:f>IF($A285&lt;&gt;"",Katalog_Fiyatlayici!$AE285,"")</x:f>
      </x:c>
      <x:c r="G285" s="75" t="str">
        <x:f>IF($A285&lt;&gt;"",Katalog_Fiyatlayici!$AD285,"")</x:f>
      </x:c>
      <x:c r="H285" s="75" t="str">
        <x:f>IF($A285&lt;&gt;"",Katalog_Fiyatlayici!$B285,"")</x:f>
      </x:c>
      <x:c r="I285" s="75" t="str">
        <x:f>IF($A285&lt;&gt;"","MakerWorld model linkine göre tahmini 3D baskı fiyatı. Gerçek üretimden önce Bambu Studio ile gramaj ve süre doğrulanır.","")</x:f>
      </x:c>
      <x:c r="J285" s="75" t="str">
        <x:f>IF($A285&lt;&gt;"",TRUE,"")</x:f>
      </x:c>
      <x:c r="K285" s="75" t="str">
        <x:f>IF($A285&lt;&gt;"",FALSE,"")</x:f>
      </x:c>
      <x:c r="L285" s="75" t="str">
        <x:f>IF($A285&lt;&gt;"","Units","")</x:f>
      </x:c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75" t="str">
        <x:f>IF(Katalog_Fiyatlayici!$AC286="Fiyat Hazır",Katalog_Fiyatlayici!$AD286,"")</x:f>
      </x:c>
      <x:c r="B286" s="75" t="str">
        <x:f>IF($A286&lt;&gt;"",Katalog_Fiyatlayici!$AF286,"")</x:f>
      </x:c>
      <x:c r="C286" s="83" t="str">
        <x:f>IF($A286&lt;&gt;"",Katalog_Fiyatlayici!$AA286,"")</x:f>
      </x:c>
      <x:c r="D286" s="83" t="str">
        <x:f>IF($A286&lt;&gt;"",Katalog_Fiyatlayici!$W286,"")</x:f>
      </x:c>
      <x:c r="E286" s="75" t="str">
        <x:f>IF($A286&lt;&gt;"","Service","")</x:f>
      </x:c>
      <x:c r="F286" s="75" t="str">
        <x:f>IF($A286&lt;&gt;"",Katalog_Fiyatlayici!$AE286,"")</x:f>
      </x:c>
      <x:c r="G286" s="75" t="str">
        <x:f>IF($A286&lt;&gt;"",Katalog_Fiyatlayici!$AD286,"")</x:f>
      </x:c>
      <x:c r="H286" s="75" t="str">
        <x:f>IF($A286&lt;&gt;"",Katalog_Fiyatlayici!$B286,"")</x:f>
      </x:c>
      <x:c r="I286" s="75" t="str">
        <x:f>IF($A286&lt;&gt;"","MakerWorld model linkine göre tahmini 3D baskı fiyatı. Gerçek üretimden önce Bambu Studio ile gramaj ve süre doğrulanır.","")</x:f>
      </x:c>
      <x:c r="J286" s="75" t="str">
        <x:f>IF($A286&lt;&gt;"",TRUE,"")</x:f>
      </x:c>
      <x:c r="K286" s="75" t="str">
        <x:f>IF($A286&lt;&gt;"",FALSE,"")</x:f>
      </x:c>
      <x:c r="L286" s="75" t="str">
        <x:f>IF($A286&lt;&gt;"","Units","")</x:f>
      </x:c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75" t="str">
        <x:f>IF(Katalog_Fiyatlayici!$AC287="Fiyat Hazır",Katalog_Fiyatlayici!$AD287,"")</x:f>
      </x:c>
      <x:c r="B287" s="75" t="str">
        <x:f>IF($A287&lt;&gt;"",Katalog_Fiyatlayici!$AF287,"")</x:f>
      </x:c>
      <x:c r="C287" s="83" t="str">
        <x:f>IF($A287&lt;&gt;"",Katalog_Fiyatlayici!$AA287,"")</x:f>
      </x:c>
      <x:c r="D287" s="83" t="str">
        <x:f>IF($A287&lt;&gt;"",Katalog_Fiyatlayici!$W287,"")</x:f>
      </x:c>
      <x:c r="E287" s="75" t="str">
        <x:f>IF($A287&lt;&gt;"","Service","")</x:f>
      </x:c>
      <x:c r="F287" s="75" t="str">
        <x:f>IF($A287&lt;&gt;"",Katalog_Fiyatlayici!$AE287,"")</x:f>
      </x:c>
      <x:c r="G287" s="75" t="str">
        <x:f>IF($A287&lt;&gt;"",Katalog_Fiyatlayici!$AD287,"")</x:f>
      </x:c>
      <x:c r="H287" s="75" t="str">
        <x:f>IF($A287&lt;&gt;"",Katalog_Fiyatlayici!$B287,"")</x:f>
      </x:c>
      <x:c r="I287" s="75" t="str">
        <x:f>IF($A287&lt;&gt;"","MakerWorld model linkine göre tahmini 3D baskı fiyatı. Gerçek üretimden önce Bambu Studio ile gramaj ve süre doğrulanır.","")</x:f>
      </x:c>
      <x:c r="J287" s="75" t="str">
        <x:f>IF($A287&lt;&gt;"",TRUE,"")</x:f>
      </x:c>
      <x:c r="K287" s="75" t="str">
        <x:f>IF($A287&lt;&gt;"",FALSE,"")</x:f>
      </x:c>
      <x:c r="L287" s="75" t="str">
        <x:f>IF($A287&lt;&gt;"","Units","")</x:f>
      </x:c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75" t="str">
        <x:f>IF(Katalog_Fiyatlayici!$AC288="Fiyat Hazır",Katalog_Fiyatlayici!$AD288,"")</x:f>
      </x:c>
      <x:c r="B288" s="75" t="str">
        <x:f>IF($A288&lt;&gt;"",Katalog_Fiyatlayici!$AF288,"")</x:f>
      </x:c>
      <x:c r="C288" s="83" t="str">
        <x:f>IF($A288&lt;&gt;"",Katalog_Fiyatlayici!$AA288,"")</x:f>
      </x:c>
      <x:c r="D288" s="83" t="str">
        <x:f>IF($A288&lt;&gt;"",Katalog_Fiyatlayici!$W288,"")</x:f>
      </x:c>
      <x:c r="E288" s="75" t="str">
        <x:f>IF($A288&lt;&gt;"","Service","")</x:f>
      </x:c>
      <x:c r="F288" s="75" t="str">
        <x:f>IF($A288&lt;&gt;"",Katalog_Fiyatlayici!$AE288,"")</x:f>
      </x:c>
      <x:c r="G288" s="75" t="str">
        <x:f>IF($A288&lt;&gt;"",Katalog_Fiyatlayici!$AD288,"")</x:f>
      </x:c>
      <x:c r="H288" s="75" t="str">
        <x:f>IF($A288&lt;&gt;"",Katalog_Fiyatlayici!$B288,"")</x:f>
      </x:c>
      <x:c r="I288" s="75" t="str">
        <x:f>IF($A288&lt;&gt;"","MakerWorld model linkine göre tahmini 3D baskı fiyatı. Gerçek üretimden önce Bambu Studio ile gramaj ve süre doğrulanır.","")</x:f>
      </x:c>
      <x:c r="J288" s="75" t="str">
        <x:f>IF($A288&lt;&gt;"",TRUE,"")</x:f>
      </x:c>
      <x:c r="K288" s="75" t="str">
        <x:f>IF($A288&lt;&gt;"",FALSE,"")</x:f>
      </x:c>
      <x:c r="L288" s="75" t="str">
        <x:f>IF($A288&lt;&gt;"","Units","")</x:f>
      </x:c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75" t="str">
        <x:f>IF(Katalog_Fiyatlayici!$AC289="Fiyat Hazır",Katalog_Fiyatlayici!$AD289,"")</x:f>
      </x:c>
      <x:c r="B289" s="75" t="str">
        <x:f>IF($A289&lt;&gt;"",Katalog_Fiyatlayici!$AF289,"")</x:f>
      </x:c>
      <x:c r="C289" s="83" t="str">
        <x:f>IF($A289&lt;&gt;"",Katalog_Fiyatlayici!$AA289,"")</x:f>
      </x:c>
      <x:c r="D289" s="83" t="str">
        <x:f>IF($A289&lt;&gt;"",Katalog_Fiyatlayici!$W289,"")</x:f>
      </x:c>
      <x:c r="E289" s="75" t="str">
        <x:f>IF($A289&lt;&gt;"","Service","")</x:f>
      </x:c>
      <x:c r="F289" s="75" t="str">
        <x:f>IF($A289&lt;&gt;"",Katalog_Fiyatlayici!$AE289,"")</x:f>
      </x:c>
      <x:c r="G289" s="75" t="str">
        <x:f>IF($A289&lt;&gt;"",Katalog_Fiyatlayici!$AD289,"")</x:f>
      </x:c>
      <x:c r="H289" s="75" t="str">
        <x:f>IF($A289&lt;&gt;"",Katalog_Fiyatlayici!$B289,"")</x:f>
      </x:c>
      <x:c r="I289" s="75" t="str">
        <x:f>IF($A289&lt;&gt;"","MakerWorld model linkine göre tahmini 3D baskı fiyatı. Gerçek üretimden önce Bambu Studio ile gramaj ve süre doğrulanır.","")</x:f>
      </x:c>
      <x:c r="J289" s="75" t="str">
        <x:f>IF($A289&lt;&gt;"",TRUE,"")</x:f>
      </x:c>
      <x:c r="K289" s="75" t="str">
        <x:f>IF($A289&lt;&gt;"",FALSE,"")</x:f>
      </x:c>
      <x:c r="L289" s="75" t="str">
        <x:f>IF($A289&lt;&gt;"","Units","")</x:f>
      </x:c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75" t="str">
        <x:f>IF(Katalog_Fiyatlayici!$AC290="Fiyat Hazır",Katalog_Fiyatlayici!$AD290,"")</x:f>
      </x:c>
      <x:c r="B290" s="75" t="str">
        <x:f>IF($A290&lt;&gt;"",Katalog_Fiyatlayici!$AF290,"")</x:f>
      </x:c>
      <x:c r="C290" s="83" t="str">
        <x:f>IF($A290&lt;&gt;"",Katalog_Fiyatlayici!$AA290,"")</x:f>
      </x:c>
      <x:c r="D290" s="83" t="str">
        <x:f>IF($A290&lt;&gt;"",Katalog_Fiyatlayici!$W290,"")</x:f>
      </x:c>
      <x:c r="E290" s="75" t="str">
        <x:f>IF($A290&lt;&gt;"","Service","")</x:f>
      </x:c>
      <x:c r="F290" s="75" t="str">
        <x:f>IF($A290&lt;&gt;"",Katalog_Fiyatlayici!$AE290,"")</x:f>
      </x:c>
      <x:c r="G290" s="75" t="str">
        <x:f>IF($A290&lt;&gt;"",Katalog_Fiyatlayici!$AD290,"")</x:f>
      </x:c>
      <x:c r="H290" s="75" t="str">
        <x:f>IF($A290&lt;&gt;"",Katalog_Fiyatlayici!$B290,"")</x:f>
      </x:c>
      <x:c r="I290" s="75" t="str">
        <x:f>IF($A290&lt;&gt;"","MakerWorld model linkine göre tahmini 3D baskı fiyatı. Gerçek üretimden önce Bambu Studio ile gramaj ve süre doğrulanır.","")</x:f>
      </x:c>
      <x:c r="J290" s="75" t="str">
        <x:f>IF($A290&lt;&gt;"",TRUE,"")</x:f>
      </x:c>
      <x:c r="K290" s="75" t="str">
        <x:f>IF($A290&lt;&gt;"",FALSE,"")</x:f>
      </x:c>
      <x:c r="L290" s="75" t="str">
        <x:f>IF($A290&lt;&gt;"","Units","")</x:f>
      </x:c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75" t="str">
        <x:f>IF(Katalog_Fiyatlayici!$AC291="Fiyat Hazır",Katalog_Fiyatlayici!$AD291,"")</x:f>
      </x:c>
      <x:c r="B291" s="75" t="str">
        <x:f>IF($A291&lt;&gt;"",Katalog_Fiyatlayici!$AF291,"")</x:f>
      </x:c>
      <x:c r="C291" s="83" t="str">
        <x:f>IF($A291&lt;&gt;"",Katalog_Fiyatlayici!$AA291,"")</x:f>
      </x:c>
      <x:c r="D291" s="83" t="str">
        <x:f>IF($A291&lt;&gt;"",Katalog_Fiyatlayici!$W291,"")</x:f>
      </x:c>
      <x:c r="E291" s="75" t="str">
        <x:f>IF($A291&lt;&gt;"","Service","")</x:f>
      </x:c>
      <x:c r="F291" s="75" t="str">
        <x:f>IF($A291&lt;&gt;"",Katalog_Fiyatlayici!$AE291,"")</x:f>
      </x:c>
      <x:c r="G291" s="75" t="str">
        <x:f>IF($A291&lt;&gt;"",Katalog_Fiyatlayici!$AD291,"")</x:f>
      </x:c>
      <x:c r="H291" s="75" t="str">
        <x:f>IF($A291&lt;&gt;"",Katalog_Fiyatlayici!$B291,"")</x:f>
      </x:c>
      <x:c r="I291" s="75" t="str">
        <x:f>IF($A291&lt;&gt;"","MakerWorld model linkine göre tahmini 3D baskı fiyatı. Gerçek üretimden önce Bambu Studio ile gramaj ve süre doğrulanır.","")</x:f>
      </x:c>
      <x:c r="J291" s="75" t="str">
        <x:f>IF($A291&lt;&gt;"",TRUE,"")</x:f>
      </x:c>
      <x:c r="K291" s="75" t="str">
        <x:f>IF($A291&lt;&gt;"",FALSE,"")</x:f>
      </x:c>
      <x:c r="L291" s="75" t="str">
        <x:f>IF($A291&lt;&gt;"","Units","")</x:f>
      </x:c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75" t="str">
        <x:f>IF(Katalog_Fiyatlayici!$AC292="Fiyat Hazır",Katalog_Fiyatlayici!$AD292,"")</x:f>
      </x:c>
      <x:c r="B292" s="75" t="str">
        <x:f>IF($A292&lt;&gt;"",Katalog_Fiyatlayici!$AF292,"")</x:f>
      </x:c>
      <x:c r="C292" s="83" t="str">
        <x:f>IF($A292&lt;&gt;"",Katalog_Fiyatlayici!$AA292,"")</x:f>
      </x:c>
      <x:c r="D292" s="83" t="str">
        <x:f>IF($A292&lt;&gt;"",Katalog_Fiyatlayici!$W292,"")</x:f>
      </x:c>
      <x:c r="E292" s="75" t="str">
        <x:f>IF($A292&lt;&gt;"","Service","")</x:f>
      </x:c>
      <x:c r="F292" s="75" t="str">
        <x:f>IF($A292&lt;&gt;"",Katalog_Fiyatlayici!$AE292,"")</x:f>
      </x:c>
      <x:c r="G292" s="75" t="str">
        <x:f>IF($A292&lt;&gt;"",Katalog_Fiyatlayici!$AD292,"")</x:f>
      </x:c>
      <x:c r="H292" s="75" t="str">
        <x:f>IF($A292&lt;&gt;"",Katalog_Fiyatlayici!$B292,"")</x:f>
      </x:c>
      <x:c r="I292" s="75" t="str">
        <x:f>IF($A292&lt;&gt;"","MakerWorld model linkine göre tahmini 3D baskı fiyatı. Gerçek üretimden önce Bambu Studio ile gramaj ve süre doğrulanır.","")</x:f>
      </x:c>
      <x:c r="J292" s="75" t="str">
        <x:f>IF($A292&lt;&gt;"",TRUE,"")</x:f>
      </x:c>
      <x:c r="K292" s="75" t="str">
        <x:f>IF($A292&lt;&gt;"",FALSE,"")</x:f>
      </x:c>
      <x:c r="L292" s="75" t="str">
        <x:f>IF($A292&lt;&gt;"","Units","")</x:f>
      </x:c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75" t="str">
        <x:f>IF(Katalog_Fiyatlayici!$AC293="Fiyat Hazır",Katalog_Fiyatlayici!$AD293,"")</x:f>
      </x:c>
      <x:c r="B293" s="75" t="str">
        <x:f>IF($A293&lt;&gt;"",Katalog_Fiyatlayici!$AF293,"")</x:f>
      </x:c>
      <x:c r="C293" s="83" t="str">
        <x:f>IF($A293&lt;&gt;"",Katalog_Fiyatlayici!$AA293,"")</x:f>
      </x:c>
      <x:c r="D293" s="83" t="str">
        <x:f>IF($A293&lt;&gt;"",Katalog_Fiyatlayici!$W293,"")</x:f>
      </x:c>
      <x:c r="E293" s="75" t="str">
        <x:f>IF($A293&lt;&gt;"","Service","")</x:f>
      </x:c>
      <x:c r="F293" s="75" t="str">
        <x:f>IF($A293&lt;&gt;"",Katalog_Fiyatlayici!$AE293,"")</x:f>
      </x:c>
      <x:c r="G293" s="75" t="str">
        <x:f>IF($A293&lt;&gt;"",Katalog_Fiyatlayici!$AD293,"")</x:f>
      </x:c>
      <x:c r="H293" s="75" t="str">
        <x:f>IF($A293&lt;&gt;"",Katalog_Fiyatlayici!$B293,"")</x:f>
      </x:c>
      <x:c r="I293" s="75" t="str">
        <x:f>IF($A293&lt;&gt;"","MakerWorld model linkine göre tahmini 3D baskı fiyatı. Gerçek üretimden önce Bambu Studio ile gramaj ve süre doğrulanır.","")</x:f>
      </x:c>
      <x:c r="J293" s="75" t="str">
        <x:f>IF($A293&lt;&gt;"",TRUE,"")</x:f>
      </x:c>
      <x:c r="K293" s="75" t="str">
        <x:f>IF($A293&lt;&gt;"",FALSE,"")</x:f>
      </x:c>
      <x:c r="L293" s="75" t="str">
        <x:f>IF($A293&lt;&gt;"","Units","")</x:f>
      </x:c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75" t="str">
        <x:f>IF(Katalog_Fiyatlayici!$AC294="Fiyat Hazır",Katalog_Fiyatlayici!$AD294,"")</x:f>
      </x:c>
      <x:c r="B294" s="75" t="str">
        <x:f>IF($A294&lt;&gt;"",Katalog_Fiyatlayici!$AF294,"")</x:f>
      </x:c>
      <x:c r="C294" s="83" t="str">
        <x:f>IF($A294&lt;&gt;"",Katalog_Fiyatlayici!$AA294,"")</x:f>
      </x:c>
      <x:c r="D294" s="83" t="str">
        <x:f>IF($A294&lt;&gt;"",Katalog_Fiyatlayici!$W294,"")</x:f>
      </x:c>
      <x:c r="E294" s="75" t="str">
        <x:f>IF($A294&lt;&gt;"","Service","")</x:f>
      </x:c>
      <x:c r="F294" s="75" t="str">
        <x:f>IF($A294&lt;&gt;"",Katalog_Fiyatlayici!$AE294,"")</x:f>
      </x:c>
      <x:c r="G294" s="75" t="str">
        <x:f>IF($A294&lt;&gt;"",Katalog_Fiyatlayici!$AD294,"")</x:f>
      </x:c>
      <x:c r="H294" s="75" t="str">
        <x:f>IF($A294&lt;&gt;"",Katalog_Fiyatlayici!$B294,"")</x:f>
      </x:c>
      <x:c r="I294" s="75" t="str">
        <x:f>IF($A294&lt;&gt;"","MakerWorld model linkine göre tahmini 3D baskı fiyatı. Gerçek üretimden önce Bambu Studio ile gramaj ve süre doğrulanır.","")</x:f>
      </x:c>
      <x:c r="J294" s="75" t="str">
        <x:f>IF($A294&lt;&gt;"",TRUE,"")</x:f>
      </x:c>
      <x:c r="K294" s="75" t="str">
        <x:f>IF($A294&lt;&gt;"",FALSE,"")</x:f>
      </x:c>
      <x:c r="L294" s="75" t="str">
        <x:f>IF($A294&lt;&gt;"","Units","")</x:f>
      </x:c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75" t="str">
        <x:f>IF(Katalog_Fiyatlayici!$AC295="Fiyat Hazır",Katalog_Fiyatlayici!$AD295,"")</x:f>
      </x:c>
      <x:c r="B295" s="75" t="str">
        <x:f>IF($A295&lt;&gt;"",Katalog_Fiyatlayici!$AF295,"")</x:f>
      </x:c>
      <x:c r="C295" s="83" t="str">
        <x:f>IF($A295&lt;&gt;"",Katalog_Fiyatlayici!$AA295,"")</x:f>
      </x:c>
      <x:c r="D295" s="83" t="str">
        <x:f>IF($A295&lt;&gt;"",Katalog_Fiyatlayici!$W295,"")</x:f>
      </x:c>
      <x:c r="E295" s="75" t="str">
        <x:f>IF($A295&lt;&gt;"","Service","")</x:f>
      </x:c>
      <x:c r="F295" s="75" t="str">
        <x:f>IF($A295&lt;&gt;"",Katalog_Fiyatlayici!$AE295,"")</x:f>
      </x:c>
      <x:c r="G295" s="75" t="str">
        <x:f>IF($A295&lt;&gt;"",Katalog_Fiyatlayici!$AD295,"")</x:f>
      </x:c>
      <x:c r="H295" s="75" t="str">
        <x:f>IF($A295&lt;&gt;"",Katalog_Fiyatlayici!$B295,"")</x:f>
      </x:c>
      <x:c r="I295" s="75" t="str">
        <x:f>IF($A295&lt;&gt;"","MakerWorld model linkine göre tahmini 3D baskı fiyatı. Gerçek üretimden önce Bambu Studio ile gramaj ve süre doğrulanır.","")</x:f>
      </x:c>
      <x:c r="J295" s="75" t="str">
        <x:f>IF($A295&lt;&gt;"",TRUE,"")</x:f>
      </x:c>
      <x:c r="K295" s="75" t="str">
        <x:f>IF($A295&lt;&gt;"",FALSE,"")</x:f>
      </x:c>
      <x:c r="L295" s="75" t="str">
        <x:f>IF($A295&lt;&gt;"","Units","")</x:f>
      </x:c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75" t="str">
        <x:f>IF(Katalog_Fiyatlayici!$AC296="Fiyat Hazır",Katalog_Fiyatlayici!$AD296,"")</x:f>
      </x:c>
      <x:c r="B296" s="75" t="str">
        <x:f>IF($A296&lt;&gt;"",Katalog_Fiyatlayici!$AF296,"")</x:f>
      </x:c>
      <x:c r="C296" s="83" t="str">
        <x:f>IF($A296&lt;&gt;"",Katalog_Fiyatlayici!$AA296,"")</x:f>
      </x:c>
      <x:c r="D296" s="83" t="str">
        <x:f>IF($A296&lt;&gt;"",Katalog_Fiyatlayici!$W296,"")</x:f>
      </x:c>
      <x:c r="E296" s="75" t="str">
        <x:f>IF($A296&lt;&gt;"","Service","")</x:f>
      </x:c>
      <x:c r="F296" s="75" t="str">
        <x:f>IF($A296&lt;&gt;"",Katalog_Fiyatlayici!$AE296,"")</x:f>
      </x:c>
      <x:c r="G296" s="75" t="str">
        <x:f>IF($A296&lt;&gt;"",Katalog_Fiyatlayici!$AD296,"")</x:f>
      </x:c>
      <x:c r="H296" s="75" t="str">
        <x:f>IF($A296&lt;&gt;"",Katalog_Fiyatlayici!$B296,"")</x:f>
      </x:c>
      <x:c r="I296" s="75" t="str">
        <x:f>IF($A296&lt;&gt;"","MakerWorld model linkine göre tahmini 3D baskı fiyatı. Gerçek üretimden önce Bambu Studio ile gramaj ve süre doğrulanır.","")</x:f>
      </x:c>
      <x:c r="J296" s="75" t="str">
        <x:f>IF($A296&lt;&gt;"",TRUE,"")</x:f>
      </x:c>
      <x:c r="K296" s="75" t="str">
        <x:f>IF($A296&lt;&gt;"",FALSE,"")</x:f>
      </x:c>
      <x:c r="L296" s="75" t="str">
        <x:f>IF($A296&lt;&gt;"","Units","")</x:f>
      </x:c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75" t="str">
        <x:f>IF(Katalog_Fiyatlayici!$AC297="Fiyat Hazır",Katalog_Fiyatlayici!$AD297,"")</x:f>
      </x:c>
      <x:c r="B297" s="75" t="str">
        <x:f>IF($A297&lt;&gt;"",Katalog_Fiyatlayici!$AF297,"")</x:f>
      </x:c>
      <x:c r="C297" s="83" t="str">
        <x:f>IF($A297&lt;&gt;"",Katalog_Fiyatlayici!$AA297,"")</x:f>
      </x:c>
      <x:c r="D297" s="83" t="str">
        <x:f>IF($A297&lt;&gt;"",Katalog_Fiyatlayici!$W297,"")</x:f>
      </x:c>
      <x:c r="E297" s="75" t="str">
        <x:f>IF($A297&lt;&gt;"","Service","")</x:f>
      </x:c>
      <x:c r="F297" s="75" t="str">
        <x:f>IF($A297&lt;&gt;"",Katalog_Fiyatlayici!$AE297,"")</x:f>
      </x:c>
      <x:c r="G297" s="75" t="str">
        <x:f>IF($A297&lt;&gt;"",Katalog_Fiyatlayici!$AD297,"")</x:f>
      </x:c>
      <x:c r="H297" s="75" t="str">
        <x:f>IF($A297&lt;&gt;"",Katalog_Fiyatlayici!$B297,"")</x:f>
      </x:c>
      <x:c r="I297" s="75" t="str">
        <x:f>IF($A297&lt;&gt;"","MakerWorld model linkine göre tahmini 3D baskı fiyatı. Gerçek üretimden önce Bambu Studio ile gramaj ve süre doğrulanır.","")</x:f>
      </x:c>
      <x:c r="J297" s="75" t="str">
        <x:f>IF($A297&lt;&gt;"",TRUE,"")</x:f>
      </x:c>
      <x:c r="K297" s="75" t="str">
        <x:f>IF($A297&lt;&gt;"",FALSE,"")</x:f>
      </x:c>
      <x:c r="L297" s="75" t="str">
        <x:f>IF($A297&lt;&gt;"","Units","")</x:f>
      </x:c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75" t="str">
        <x:f>IF(Katalog_Fiyatlayici!$AC298="Fiyat Hazır",Katalog_Fiyatlayici!$AD298,"")</x:f>
      </x:c>
      <x:c r="B298" s="75" t="str">
        <x:f>IF($A298&lt;&gt;"",Katalog_Fiyatlayici!$AF298,"")</x:f>
      </x:c>
      <x:c r="C298" s="83" t="str">
        <x:f>IF($A298&lt;&gt;"",Katalog_Fiyatlayici!$AA298,"")</x:f>
      </x:c>
      <x:c r="D298" s="83" t="str">
        <x:f>IF($A298&lt;&gt;"",Katalog_Fiyatlayici!$W298,"")</x:f>
      </x:c>
      <x:c r="E298" s="75" t="str">
        <x:f>IF($A298&lt;&gt;"","Service","")</x:f>
      </x:c>
      <x:c r="F298" s="75" t="str">
        <x:f>IF($A298&lt;&gt;"",Katalog_Fiyatlayici!$AE298,"")</x:f>
      </x:c>
      <x:c r="G298" s="75" t="str">
        <x:f>IF($A298&lt;&gt;"",Katalog_Fiyatlayici!$AD298,"")</x:f>
      </x:c>
      <x:c r="H298" s="75" t="str">
        <x:f>IF($A298&lt;&gt;"",Katalog_Fiyatlayici!$B298,"")</x:f>
      </x:c>
      <x:c r="I298" s="75" t="str">
        <x:f>IF($A298&lt;&gt;"","MakerWorld model linkine göre tahmini 3D baskı fiyatı. Gerçek üretimden önce Bambu Studio ile gramaj ve süre doğrulanır.","")</x:f>
      </x:c>
      <x:c r="J298" s="75" t="str">
        <x:f>IF($A298&lt;&gt;"",TRUE,"")</x:f>
      </x:c>
      <x:c r="K298" s="75" t="str">
        <x:f>IF($A298&lt;&gt;"",FALSE,"")</x:f>
      </x:c>
      <x:c r="L298" s="75" t="str">
        <x:f>IF($A298&lt;&gt;"","Units","")</x:f>
      </x:c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75" t="str">
        <x:f>IF(Katalog_Fiyatlayici!$AC299="Fiyat Hazır",Katalog_Fiyatlayici!$AD299,"")</x:f>
      </x:c>
      <x:c r="B299" s="75" t="str">
        <x:f>IF($A299&lt;&gt;"",Katalog_Fiyatlayici!$AF299,"")</x:f>
      </x:c>
      <x:c r="C299" s="83" t="str">
        <x:f>IF($A299&lt;&gt;"",Katalog_Fiyatlayici!$AA299,"")</x:f>
      </x:c>
      <x:c r="D299" s="83" t="str">
        <x:f>IF($A299&lt;&gt;"",Katalog_Fiyatlayici!$W299,"")</x:f>
      </x:c>
      <x:c r="E299" s="75" t="str">
        <x:f>IF($A299&lt;&gt;"","Service","")</x:f>
      </x:c>
      <x:c r="F299" s="75" t="str">
        <x:f>IF($A299&lt;&gt;"",Katalog_Fiyatlayici!$AE299,"")</x:f>
      </x:c>
      <x:c r="G299" s="75" t="str">
        <x:f>IF($A299&lt;&gt;"",Katalog_Fiyatlayici!$AD299,"")</x:f>
      </x:c>
      <x:c r="H299" s="75" t="str">
        <x:f>IF($A299&lt;&gt;"",Katalog_Fiyatlayici!$B299,"")</x:f>
      </x:c>
      <x:c r="I299" s="75" t="str">
        <x:f>IF($A299&lt;&gt;"","MakerWorld model linkine göre tahmini 3D baskı fiyatı. Gerçek üretimden önce Bambu Studio ile gramaj ve süre doğrulanır.","")</x:f>
      </x:c>
      <x:c r="J299" s="75" t="str">
        <x:f>IF($A299&lt;&gt;"",TRUE,"")</x:f>
      </x:c>
      <x:c r="K299" s="75" t="str">
        <x:f>IF($A299&lt;&gt;"",FALSE,"")</x:f>
      </x:c>
      <x:c r="L299" s="75" t="str">
        <x:f>IF($A299&lt;&gt;"","Units","")</x:f>
      </x:c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75" t="str">
        <x:f>IF(Katalog_Fiyatlayici!$AC300="Fiyat Hazır",Katalog_Fiyatlayici!$AD300,"")</x:f>
      </x:c>
      <x:c r="B300" s="75" t="str">
        <x:f>IF($A300&lt;&gt;"",Katalog_Fiyatlayici!$AF300,"")</x:f>
      </x:c>
      <x:c r="C300" s="83" t="str">
        <x:f>IF($A300&lt;&gt;"",Katalog_Fiyatlayici!$AA300,"")</x:f>
      </x:c>
      <x:c r="D300" s="83" t="str">
        <x:f>IF($A300&lt;&gt;"",Katalog_Fiyatlayici!$W300,"")</x:f>
      </x:c>
      <x:c r="E300" s="75" t="str">
        <x:f>IF($A300&lt;&gt;"","Service","")</x:f>
      </x:c>
      <x:c r="F300" s="75" t="str">
        <x:f>IF($A300&lt;&gt;"",Katalog_Fiyatlayici!$AE300,"")</x:f>
      </x:c>
      <x:c r="G300" s="75" t="str">
        <x:f>IF($A300&lt;&gt;"",Katalog_Fiyatlayici!$AD300,"")</x:f>
      </x:c>
      <x:c r="H300" s="75" t="str">
        <x:f>IF($A300&lt;&gt;"",Katalog_Fiyatlayici!$B300,"")</x:f>
      </x:c>
      <x:c r="I300" s="75" t="str">
        <x:f>IF($A300&lt;&gt;"","MakerWorld model linkine göre tahmini 3D baskı fiyatı. Gerçek üretimden önce Bambu Studio ile gramaj ve süre doğrulanır.","")</x:f>
      </x:c>
      <x:c r="J300" s="75" t="str">
        <x:f>IF($A300&lt;&gt;"",TRUE,"")</x:f>
      </x:c>
      <x:c r="K300" s="75" t="str">
        <x:f>IF($A300&lt;&gt;"",FALSE,"")</x:f>
      </x:c>
      <x:c r="L300" s="75" t="str">
        <x:f>IF($A300&lt;&gt;"","Units","")</x:f>
      </x:c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75" t="str">
        <x:f>IF(Katalog_Fiyatlayici!$AC301="Fiyat Hazır",Katalog_Fiyatlayici!$AD301,"")</x:f>
      </x:c>
      <x:c r="B301" s="75" t="str">
        <x:f>IF($A301&lt;&gt;"",Katalog_Fiyatlayici!$AF301,"")</x:f>
      </x:c>
      <x:c r="C301" s="83" t="str">
        <x:f>IF($A301&lt;&gt;"",Katalog_Fiyatlayici!$AA301,"")</x:f>
      </x:c>
      <x:c r="D301" s="83" t="str">
        <x:f>IF($A301&lt;&gt;"",Katalog_Fiyatlayici!$W301,"")</x:f>
      </x:c>
      <x:c r="E301" s="75" t="str">
        <x:f>IF($A301&lt;&gt;"","Service","")</x:f>
      </x:c>
      <x:c r="F301" s="75" t="str">
        <x:f>IF($A301&lt;&gt;"",Katalog_Fiyatlayici!$AE301,"")</x:f>
      </x:c>
      <x:c r="G301" s="75" t="str">
        <x:f>IF($A301&lt;&gt;"",Katalog_Fiyatlayici!$AD301,"")</x:f>
      </x:c>
      <x:c r="H301" s="75" t="str">
        <x:f>IF($A301&lt;&gt;"",Katalog_Fiyatlayici!$B301,"")</x:f>
      </x:c>
      <x:c r="I301" s="75" t="str">
        <x:f>IF($A301&lt;&gt;"","MakerWorld model linkine göre tahmini 3D baskı fiyatı. Gerçek üretimden önce Bambu Studio ile gramaj ve süre doğrulanır.","")</x:f>
      </x:c>
      <x:c r="J301" s="75" t="str">
        <x:f>IF($A301&lt;&gt;"",TRUE,"")</x:f>
      </x:c>
      <x:c r="K301" s="75" t="str">
        <x:f>IF($A301&lt;&gt;"",FALSE,"")</x:f>
      </x:c>
      <x:c r="L301" s="75" t="str">
        <x:f>IF($A301&lt;&gt;"","Units","")</x:f>
      </x:c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75" t="str">
        <x:f>IF(Katalog_Fiyatlayici!$AC302="Fiyat Hazır",Katalog_Fiyatlayici!$AD302,"")</x:f>
      </x:c>
      <x:c r="B302" s="75" t="str">
        <x:f>IF($A302&lt;&gt;"",Katalog_Fiyatlayici!$AF302,"")</x:f>
      </x:c>
      <x:c r="C302" s="83" t="str">
        <x:f>IF($A302&lt;&gt;"",Katalog_Fiyatlayici!$AA302,"")</x:f>
      </x:c>
      <x:c r="D302" s="83" t="str">
        <x:f>IF($A302&lt;&gt;"",Katalog_Fiyatlayici!$W302,"")</x:f>
      </x:c>
      <x:c r="E302" s="75" t="str">
        <x:f>IF($A302&lt;&gt;"","Service","")</x:f>
      </x:c>
      <x:c r="F302" s="75" t="str">
        <x:f>IF($A302&lt;&gt;"",Katalog_Fiyatlayici!$AE302,"")</x:f>
      </x:c>
      <x:c r="G302" s="75" t="str">
        <x:f>IF($A302&lt;&gt;"",Katalog_Fiyatlayici!$AD302,"")</x:f>
      </x:c>
      <x:c r="H302" s="75" t="str">
        <x:f>IF($A302&lt;&gt;"",Katalog_Fiyatlayici!$B302,"")</x:f>
      </x:c>
      <x:c r="I302" s="75" t="str">
        <x:f>IF($A302&lt;&gt;"","MakerWorld model linkine göre tahmini 3D baskı fiyatı. Gerçek üretimden önce Bambu Studio ile gramaj ve süre doğrulanır.","")</x:f>
      </x:c>
      <x:c r="J302" s="75" t="str">
        <x:f>IF($A302&lt;&gt;"",TRUE,"")</x:f>
      </x:c>
      <x:c r="K302" s="75" t="str">
        <x:f>IF($A302&lt;&gt;"",FALSE,"")</x:f>
      </x:c>
      <x:c r="L302" s="75" t="str">
        <x:f>IF($A302&lt;&gt;"","Units","")</x:f>
      </x:c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75" t="str">
        <x:f>IF(Katalog_Fiyatlayici!$AC303="Fiyat Hazır",Katalog_Fiyatlayici!$AD303,"")</x:f>
      </x:c>
      <x:c r="B303" s="75" t="str">
        <x:f>IF($A303&lt;&gt;"",Katalog_Fiyatlayici!$AF303,"")</x:f>
      </x:c>
      <x:c r="C303" s="83" t="str">
        <x:f>IF($A303&lt;&gt;"",Katalog_Fiyatlayici!$AA303,"")</x:f>
      </x:c>
      <x:c r="D303" s="83" t="str">
        <x:f>IF($A303&lt;&gt;"",Katalog_Fiyatlayici!$W303,"")</x:f>
      </x:c>
      <x:c r="E303" s="75" t="str">
        <x:f>IF($A303&lt;&gt;"","Service","")</x:f>
      </x:c>
      <x:c r="F303" s="75" t="str">
        <x:f>IF($A303&lt;&gt;"",Katalog_Fiyatlayici!$AE303,"")</x:f>
      </x:c>
      <x:c r="G303" s="75" t="str">
        <x:f>IF($A303&lt;&gt;"",Katalog_Fiyatlayici!$AD303,"")</x:f>
      </x:c>
      <x:c r="H303" s="75" t="str">
        <x:f>IF($A303&lt;&gt;"",Katalog_Fiyatlayici!$B303,"")</x:f>
      </x:c>
      <x:c r="I303" s="75" t="str">
        <x:f>IF($A303&lt;&gt;"","MakerWorld model linkine göre tahmini 3D baskı fiyatı. Gerçek üretimden önce Bambu Studio ile gramaj ve süre doğrulanır.","")</x:f>
      </x:c>
      <x:c r="J303" s="75" t="str">
        <x:f>IF($A303&lt;&gt;"",TRUE,"")</x:f>
      </x:c>
      <x:c r="K303" s="75" t="str">
        <x:f>IF($A303&lt;&gt;"",FALSE,"")</x:f>
      </x:c>
      <x:c r="L303" s="75" t="str">
        <x:f>IF($A303&lt;&gt;"","Units","")</x:f>
      </x:c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75" t="str">
        <x:f>IF(Katalog_Fiyatlayici!$AC304="Fiyat Hazır",Katalog_Fiyatlayici!$AD304,"")</x:f>
      </x:c>
      <x:c r="B304" s="75" t="str">
        <x:f>IF($A304&lt;&gt;"",Katalog_Fiyatlayici!$AF304,"")</x:f>
      </x:c>
      <x:c r="C304" s="83" t="str">
        <x:f>IF($A304&lt;&gt;"",Katalog_Fiyatlayici!$AA304,"")</x:f>
      </x:c>
      <x:c r="D304" s="83" t="str">
        <x:f>IF($A304&lt;&gt;"",Katalog_Fiyatlayici!$W304,"")</x:f>
      </x:c>
      <x:c r="E304" s="75" t="str">
        <x:f>IF($A304&lt;&gt;"","Service","")</x:f>
      </x:c>
      <x:c r="F304" s="75" t="str">
        <x:f>IF($A304&lt;&gt;"",Katalog_Fiyatlayici!$AE304,"")</x:f>
      </x:c>
      <x:c r="G304" s="75" t="str">
        <x:f>IF($A304&lt;&gt;"",Katalog_Fiyatlayici!$AD304,"")</x:f>
      </x:c>
      <x:c r="H304" s="75" t="str">
        <x:f>IF($A304&lt;&gt;"",Katalog_Fiyatlayici!$B304,"")</x:f>
      </x:c>
      <x:c r="I304" s="75" t="str">
        <x:f>IF($A304&lt;&gt;"","MakerWorld model linkine göre tahmini 3D baskı fiyatı. Gerçek üretimden önce Bambu Studio ile gramaj ve süre doğrulanır.","")</x:f>
      </x:c>
      <x:c r="J304" s="75" t="str">
        <x:f>IF($A304&lt;&gt;"",TRUE,"")</x:f>
      </x:c>
      <x:c r="K304" s="75" t="str">
        <x:f>IF($A304&lt;&gt;"",FALSE,"")</x:f>
      </x:c>
      <x:c r="L304" s="75" t="str">
        <x:f>IF($A304&lt;&gt;"","Units","")</x:f>
      </x:c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75" t="str">
        <x:f>IF(Katalog_Fiyatlayici!$AC305="Fiyat Hazır",Katalog_Fiyatlayici!$AD305,"")</x:f>
      </x:c>
      <x:c r="B305" s="75" t="str">
        <x:f>IF($A305&lt;&gt;"",Katalog_Fiyatlayici!$AF305,"")</x:f>
      </x:c>
      <x:c r="C305" s="83" t="str">
        <x:f>IF($A305&lt;&gt;"",Katalog_Fiyatlayici!$AA305,"")</x:f>
      </x:c>
      <x:c r="D305" s="83" t="str">
        <x:f>IF($A305&lt;&gt;"",Katalog_Fiyatlayici!$W305,"")</x:f>
      </x:c>
      <x:c r="E305" s="75" t="str">
        <x:f>IF($A305&lt;&gt;"","Service","")</x:f>
      </x:c>
      <x:c r="F305" s="75" t="str">
        <x:f>IF($A305&lt;&gt;"",Katalog_Fiyatlayici!$AE305,"")</x:f>
      </x:c>
      <x:c r="G305" s="75" t="str">
        <x:f>IF($A305&lt;&gt;"",Katalog_Fiyatlayici!$AD305,"")</x:f>
      </x:c>
      <x:c r="H305" s="75" t="str">
        <x:f>IF($A305&lt;&gt;"",Katalog_Fiyatlayici!$B305,"")</x:f>
      </x:c>
      <x:c r="I305" s="75" t="str">
        <x:f>IF($A305&lt;&gt;"","MakerWorld model linkine göre tahmini 3D baskı fiyatı. Gerçek üretimden önce Bambu Studio ile gramaj ve süre doğrulanır.","")</x:f>
      </x:c>
      <x:c r="J305" s="75" t="str">
        <x:f>IF($A305&lt;&gt;"",TRUE,"")</x:f>
      </x:c>
      <x:c r="K305" s="75" t="str">
        <x:f>IF($A305&lt;&gt;"",FALSE,"")</x:f>
      </x:c>
      <x:c r="L305" s="75" t="str">
        <x:f>IF($A305&lt;&gt;"","Units","")</x:f>
      </x:c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75" t="str">
        <x:f>IF(Katalog_Fiyatlayici!$AC306="Fiyat Hazır",Katalog_Fiyatlayici!$AD306,"")</x:f>
      </x:c>
      <x:c r="B306" s="75" t="str">
        <x:f>IF($A306&lt;&gt;"",Katalog_Fiyatlayici!$AF306,"")</x:f>
      </x:c>
      <x:c r="C306" s="83" t="str">
        <x:f>IF($A306&lt;&gt;"",Katalog_Fiyatlayici!$AA306,"")</x:f>
      </x:c>
      <x:c r="D306" s="83" t="str">
        <x:f>IF($A306&lt;&gt;"",Katalog_Fiyatlayici!$W306,"")</x:f>
      </x:c>
      <x:c r="E306" s="75" t="str">
        <x:f>IF($A306&lt;&gt;"","Service","")</x:f>
      </x:c>
      <x:c r="F306" s="75" t="str">
        <x:f>IF($A306&lt;&gt;"",Katalog_Fiyatlayici!$AE306,"")</x:f>
      </x:c>
      <x:c r="G306" s="75" t="str">
        <x:f>IF($A306&lt;&gt;"",Katalog_Fiyatlayici!$AD306,"")</x:f>
      </x:c>
      <x:c r="H306" s="75" t="str">
        <x:f>IF($A306&lt;&gt;"",Katalog_Fiyatlayici!$B306,"")</x:f>
      </x:c>
      <x:c r="I306" s="75" t="str">
        <x:f>IF($A306&lt;&gt;"","MakerWorld model linkine göre tahmini 3D baskı fiyatı. Gerçek üretimden önce Bambu Studio ile gramaj ve süre doğrulanır.","")</x:f>
      </x:c>
      <x:c r="J306" s="75" t="str">
        <x:f>IF($A306&lt;&gt;"",TRUE,"")</x:f>
      </x:c>
      <x:c r="K306" s="75" t="str">
        <x:f>IF($A306&lt;&gt;"",FALSE,"")</x:f>
      </x:c>
      <x:c r="L306" s="75" t="str">
        <x:f>IF($A306&lt;&gt;"","Units","")</x:f>
      </x:c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75" t="str">
        <x:f>IF(Katalog_Fiyatlayici!$AC307="Fiyat Hazır",Katalog_Fiyatlayici!$AD307,"")</x:f>
      </x:c>
      <x:c r="B307" s="75" t="str">
        <x:f>IF($A307&lt;&gt;"",Katalog_Fiyatlayici!$AF307,"")</x:f>
      </x:c>
      <x:c r="C307" s="83" t="str">
        <x:f>IF($A307&lt;&gt;"",Katalog_Fiyatlayici!$AA307,"")</x:f>
      </x:c>
      <x:c r="D307" s="83" t="str">
        <x:f>IF($A307&lt;&gt;"",Katalog_Fiyatlayici!$W307,"")</x:f>
      </x:c>
      <x:c r="E307" s="75" t="str">
        <x:f>IF($A307&lt;&gt;"","Service","")</x:f>
      </x:c>
      <x:c r="F307" s="75" t="str">
        <x:f>IF($A307&lt;&gt;"",Katalog_Fiyatlayici!$AE307,"")</x:f>
      </x:c>
      <x:c r="G307" s="75" t="str">
        <x:f>IF($A307&lt;&gt;"",Katalog_Fiyatlayici!$AD307,"")</x:f>
      </x:c>
      <x:c r="H307" s="75" t="str">
        <x:f>IF($A307&lt;&gt;"",Katalog_Fiyatlayici!$B307,"")</x:f>
      </x:c>
      <x:c r="I307" s="75" t="str">
        <x:f>IF($A307&lt;&gt;"","MakerWorld model linkine göre tahmini 3D baskı fiyatı. Gerçek üretimden önce Bambu Studio ile gramaj ve süre doğrulanır.","")</x:f>
      </x:c>
      <x:c r="J307" s="75" t="str">
        <x:f>IF($A307&lt;&gt;"",TRUE,"")</x:f>
      </x:c>
      <x:c r="K307" s="75" t="str">
        <x:f>IF($A307&lt;&gt;"",FALSE,"")</x:f>
      </x:c>
      <x:c r="L307" s="75" t="str">
        <x:f>IF($A307&lt;&gt;"","Units","")</x:f>
      </x:c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75" t="str">
        <x:f>IF(Katalog_Fiyatlayici!$AC308="Fiyat Hazır",Katalog_Fiyatlayici!$AD308,"")</x:f>
      </x:c>
      <x:c r="B308" s="75" t="str">
        <x:f>IF($A308&lt;&gt;"",Katalog_Fiyatlayici!$AF308,"")</x:f>
      </x:c>
      <x:c r="C308" s="83" t="str">
        <x:f>IF($A308&lt;&gt;"",Katalog_Fiyatlayici!$AA308,"")</x:f>
      </x:c>
      <x:c r="D308" s="83" t="str">
        <x:f>IF($A308&lt;&gt;"",Katalog_Fiyatlayici!$W308,"")</x:f>
      </x:c>
      <x:c r="E308" s="75" t="str">
        <x:f>IF($A308&lt;&gt;"","Service","")</x:f>
      </x:c>
      <x:c r="F308" s="75" t="str">
        <x:f>IF($A308&lt;&gt;"",Katalog_Fiyatlayici!$AE308,"")</x:f>
      </x:c>
      <x:c r="G308" s="75" t="str">
        <x:f>IF($A308&lt;&gt;"",Katalog_Fiyatlayici!$AD308,"")</x:f>
      </x:c>
      <x:c r="H308" s="75" t="str">
        <x:f>IF($A308&lt;&gt;"",Katalog_Fiyatlayici!$B308,"")</x:f>
      </x:c>
      <x:c r="I308" s="75" t="str">
        <x:f>IF($A308&lt;&gt;"","MakerWorld model linkine göre tahmini 3D baskı fiyatı. Gerçek üretimden önce Bambu Studio ile gramaj ve süre doğrulanır.","")</x:f>
      </x:c>
      <x:c r="J308" s="75" t="str">
        <x:f>IF($A308&lt;&gt;"",TRUE,"")</x:f>
      </x:c>
      <x:c r="K308" s="75" t="str">
        <x:f>IF($A308&lt;&gt;"",FALSE,"")</x:f>
      </x:c>
      <x:c r="L308" s="75" t="str">
        <x:f>IF($A308&lt;&gt;"","Units","")</x:f>
      </x:c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75" t="str">
        <x:f>IF(Katalog_Fiyatlayici!$AC309="Fiyat Hazır",Katalog_Fiyatlayici!$AD309,"")</x:f>
      </x:c>
      <x:c r="B309" s="75" t="str">
        <x:f>IF($A309&lt;&gt;"",Katalog_Fiyatlayici!$AF309,"")</x:f>
      </x:c>
      <x:c r="C309" s="83" t="str">
        <x:f>IF($A309&lt;&gt;"",Katalog_Fiyatlayici!$AA309,"")</x:f>
      </x:c>
      <x:c r="D309" s="83" t="str">
        <x:f>IF($A309&lt;&gt;"",Katalog_Fiyatlayici!$W309,"")</x:f>
      </x:c>
      <x:c r="E309" s="75" t="str">
        <x:f>IF($A309&lt;&gt;"","Service","")</x:f>
      </x:c>
      <x:c r="F309" s="75" t="str">
        <x:f>IF($A309&lt;&gt;"",Katalog_Fiyatlayici!$AE309,"")</x:f>
      </x:c>
      <x:c r="G309" s="75" t="str">
        <x:f>IF($A309&lt;&gt;"",Katalog_Fiyatlayici!$AD309,"")</x:f>
      </x:c>
      <x:c r="H309" s="75" t="str">
        <x:f>IF($A309&lt;&gt;"",Katalog_Fiyatlayici!$B309,"")</x:f>
      </x:c>
      <x:c r="I309" s="75" t="str">
        <x:f>IF($A309&lt;&gt;"","MakerWorld model linkine göre tahmini 3D baskı fiyatı. Gerçek üretimden önce Bambu Studio ile gramaj ve süre doğrulanır.","")</x:f>
      </x:c>
      <x:c r="J309" s="75" t="str">
        <x:f>IF($A309&lt;&gt;"",TRUE,"")</x:f>
      </x:c>
      <x:c r="K309" s="75" t="str">
        <x:f>IF($A309&lt;&gt;"",FALSE,"")</x:f>
      </x:c>
      <x:c r="L309" s="75" t="str">
        <x:f>IF($A309&lt;&gt;"","Units","")</x:f>
      </x:c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75" t="str">
        <x:f>IF(Katalog_Fiyatlayici!$AC310="Fiyat Hazır",Katalog_Fiyatlayici!$AD310,"")</x:f>
      </x:c>
      <x:c r="B310" s="75" t="str">
        <x:f>IF($A310&lt;&gt;"",Katalog_Fiyatlayici!$AF310,"")</x:f>
      </x:c>
      <x:c r="C310" s="83" t="str">
        <x:f>IF($A310&lt;&gt;"",Katalog_Fiyatlayici!$AA310,"")</x:f>
      </x:c>
      <x:c r="D310" s="83" t="str">
        <x:f>IF($A310&lt;&gt;"",Katalog_Fiyatlayici!$W310,"")</x:f>
      </x:c>
      <x:c r="E310" s="75" t="str">
        <x:f>IF($A310&lt;&gt;"","Service","")</x:f>
      </x:c>
      <x:c r="F310" s="75" t="str">
        <x:f>IF($A310&lt;&gt;"",Katalog_Fiyatlayici!$AE310,"")</x:f>
      </x:c>
      <x:c r="G310" s="75" t="str">
        <x:f>IF($A310&lt;&gt;"",Katalog_Fiyatlayici!$AD310,"")</x:f>
      </x:c>
      <x:c r="H310" s="75" t="str">
        <x:f>IF($A310&lt;&gt;"",Katalog_Fiyatlayici!$B310,"")</x:f>
      </x:c>
      <x:c r="I310" s="75" t="str">
        <x:f>IF($A310&lt;&gt;"","MakerWorld model linkine göre tahmini 3D baskı fiyatı. Gerçek üretimden önce Bambu Studio ile gramaj ve süre doğrulanır.","")</x:f>
      </x:c>
      <x:c r="J310" s="75" t="str">
        <x:f>IF($A310&lt;&gt;"",TRUE,"")</x:f>
      </x:c>
      <x:c r="K310" s="75" t="str">
        <x:f>IF($A310&lt;&gt;"",FALSE,"")</x:f>
      </x:c>
      <x:c r="L310" s="75" t="str">
        <x:f>IF($A310&lt;&gt;"","Units","")</x:f>
      </x:c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75" t="str">
        <x:f>IF(Katalog_Fiyatlayici!$AC311="Fiyat Hazır",Katalog_Fiyatlayici!$AD311,"")</x:f>
      </x:c>
      <x:c r="B311" s="75" t="str">
        <x:f>IF($A311&lt;&gt;"",Katalog_Fiyatlayici!$AF311,"")</x:f>
      </x:c>
      <x:c r="C311" s="83" t="str">
        <x:f>IF($A311&lt;&gt;"",Katalog_Fiyatlayici!$AA311,"")</x:f>
      </x:c>
      <x:c r="D311" s="83" t="str">
        <x:f>IF($A311&lt;&gt;"",Katalog_Fiyatlayici!$W311,"")</x:f>
      </x:c>
      <x:c r="E311" s="75" t="str">
        <x:f>IF($A311&lt;&gt;"","Service","")</x:f>
      </x:c>
      <x:c r="F311" s="75" t="str">
        <x:f>IF($A311&lt;&gt;"",Katalog_Fiyatlayici!$AE311,"")</x:f>
      </x:c>
      <x:c r="G311" s="75" t="str">
        <x:f>IF($A311&lt;&gt;"",Katalog_Fiyatlayici!$AD311,"")</x:f>
      </x:c>
      <x:c r="H311" s="75" t="str">
        <x:f>IF($A311&lt;&gt;"",Katalog_Fiyatlayici!$B311,"")</x:f>
      </x:c>
      <x:c r="I311" s="75" t="str">
        <x:f>IF($A311&lt;&gt;"","MakerWorld model linkine göre tahmini 3D baskı fiyatı. Gerçek üretimden önce Bambu Studio ile gramaj ve süre doğrulanır.","")</x:f>
      </x:c>
      <x:c r="J311" s="75" t="str">
        <x:f>IF($A311&lt;&gt;"",TRUE,"")</x:f>
      </x:c>
      <x:c r="K311" s="75" t="str">
        <x:f>IF($A311&lt;&gt;"",FALSE,"")</x:f>
      </x:c>
      <x:c r="L311" s="75" t="str">
        <x:f>IF($A311&lt;&gt;"","Units","")</x:f>
      </x:c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75" t="str">
        <x:f>IF(Katalog_Fiyatlayici!$AC312="Fiyat Hazır",Katalog_Fiyatlayici!$AD312,"")</x:f>
      </x:c>
      <x:c r="B312" s="75" t="str">
        <x:f>IF($A312&lt;&gt;"",Katalog_Fiyatlayici!$AF312,"")</x:f>
      </x:c>
      <x:c r="C312" s="83" t="str">
        <x:f>IF($A312&lt;&gt;"",Katalog_Fiyatlayici!$AA312,"")</x:f>
      </x:c>
      <x:c r="D312" s="83" t="str">
        <x:f>IF($A312&lt;&gt;"",Katalog_Fiyatlayici!$W312,"")</x:f>
      </x:c>
      <x:c r="E312" s="75" t="str">
        <x:f>IF($A312&lt;&gt;"","Service","")</x:f>
      </x:c>
      <x:c r="F312" s="75" t="str">
        <x:f>IF($A312&lt;&gt;"",Katalog_Fiyatlayici!$AE312,"")</x:f>
      </x:c>
      <x:c r="G312" s="75" t="str">
        <x:f>IF($A312&lt;&gt;"",Katalog_Fiyatlayici!$AD312,"")</x:f>
      </x:c>
      <x:c r="H312" s="75" t="str">
        <x:f>IF($A312&lt;&gt;"",Katalog_Fiyatlayici!$B312,"")</x:f>
      </x:c>
      <x:c r="I312" s="75" t="str">
        <x:f>IF($A312&lt;&gt;"","MakerWorld model linkine göre tahmini 3D baskı fiyatı. Gerçek üretimden önce Bambu Studio ile gramaj ve süre doğrulanır.","")</x:f>
      </x:c>
      <x:c r="J312" s="75" t="str">
        <x:f>IF($A312&lt;&gt;"",TRUE,"")</x:f>
      </x:c>
      <x:c r="K312" s="75" t="str">
        <x:f>IF($A312&lt;&gt;"",FALSE,"")</x:f>
      </x:c>
      <x:c r="L312" s="75" t="str">
        <x:f>IF($A312&lt;&gt;"","Units","")</x:f>
      </x:c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75" t="str">
        <x:f>IF(Katalog_Fiyatlayici!$AC313="Fiyat Hazır",Katalog_Fiyatlayici!$AD313,"")</x:f>
      </x:c>
      <x:c r="B313" s="75" t="str">
        <x:f>IF($A313&lt;&gt;"",Katalog_Fiyatlayici!$AF313,"")</x:f>
      </x:c>
      <x:c r="C313" s="83" t="str">
        <x:f>IF($A313&lt;&gt;"",Katalog_Fiyatlayici!$AA313,"")</x:f>
      </x:c>
      <x:c r="D313" s="83" t="str">
        <x:f>IF($A313&lt;&gt;"",Katalog_Fiyatlayici!$W313,"")</x:f>
      </x:c>
      <x:c r="E313" s="75" t="str">
        <x:f>IF($A313&lt;&gt;"","Service","")</x:f>
      </x:c>
      <x:c r="F313" s="75" t="str">
        <x:f>IF($A313&lt;&gt;"",Katalog_Fiyatlayici!$AE313,"")</x:f>
      </x:c>
      <x:c r="G313" s="75" t="str">
        <x:f>IF($A313&lt;&gt;"",Katalog_Fiyatlayici!$AD313,"")</x:f>
      </x:c>
      <x:c r="H313" s="75" t="str">
        <x:f>IF($A313&lt;&gt;"",Katalog_Fiyatlayici!$B313,"")</x:f>
      </x:c>
      <x:c r="I313" s="75" t="str">
        <x:f>IF($A313&lt;&gt;"","MakerWorld model linkine göre tahmini 3D baskı fiyatı. Gerçek üretimden önce Bambu Studio ile gramaj ve süre doğrulanır.","")</x:f>
      </x:c>
      <x:c r="J313" s="75" t="str">
        <x:f>IF($A313&lt;&gt;"",TRUE,"")</x:f>
      </x:c>
      <x:c r="K313" s="75" t="str">
        <x:f>IF($A313&lt;&gt;"",FALSE,"")</x:f>
      </x:c>
      <x:c r="L313" s="75" t="str">
        <x:f>IF($A313&lt;&gt;"","Units","")</x:f>
      </x:c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75" t="str">
        <x:f>IF(Katalog_Fiyatlayici!$AC314="Fiyat Hazır",Katalog_Fiyatlayici!$AD314,"")</x:f>
      </x:c>
      <x:c r="B314" s="75" t="str">
        <x:f>IF($A314&lt;&gt;"",Katalog_Fiyatlayici!$AF314,"")</x:f>
      </x:c>
      <x:c r="C314" s="83" t="str">
        <x:f>IF($A314&lt;&gt;"",Katalog_Fiyatlayici!$AA314,"")</x:f>
      </x:c>
      <x:c r="D314" s="83" t="str">
        <x:f>IF($A314&lt;&gt;"",Katalog_Fiyatlayici!$W314,"")</x:f>
      </x:c>
      <x:c r="E314" s="75" t="str">
        <x:f>IF($A314&lt;&gt;"","Service","")</x:f>
      </x:c>
      <x:c r="F314" s="75" t="str">
        <x:f>IF($A314&lt;&gt;"",Katalog_Fiyatlayici!$AE314,"")</x:f>
      </x:c>
      <x:c r="G314" s="75" t="str">
        <x:f>IF($A314&lt;&gt;"",Katalog_Fiyatlayici!$AD314,"")</x:f>
      </x:c>
      <x:c r="H314" s="75" t="str">
        <x:f>IF($A314&lt;&gt;"",Katalog_Fiyatlayici!$B314,"")</x:f>
      </x:c>
      <x:c r="I314" s="75" t="str">
        <x:f>IF($A314&lt;&gt;"","MakerWorld model linkine göre tahmini 3D baskı fiyatı. Gerçek üretimden önce Bambu Studio ile gramaj ve süre doğrulanır.","")</x:f>
      </x:c>
      <x:c r="J314" s="75" t="str">
        <x:f>IF($A314&lt;&gt;"",TRUE,"")</x:f>
      </x:c>
      <x:c r="K314" s="75" t="str">
        <x:f>IF($A314&lt;&gt;"",FALSE,"")</x:f>
      </x:c>
      <x:c r="L314" s="75" t="str">
        <x:f>IF($A314&lt;&gt;"","Units","")</x:f>
      </x:c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75" t="str">
        <x:f>IF(Katalog_Fiyatlayici!$AC315="Fiyat Hazır",Katalog_Fiyatlayici!$AD315,"")</x:f>
      </x:c>
      <x:c r="B315" s="75" t="str">
        <x:f>IF($A315&lt;&gt;"",Katalog_Fiyatlayici!$AF315,"")</x:f>
      </x:c>
      <x:c r="C315" s="83" t="str">
        <x:f>IF($A315&lt;&gt;"",Katalog_Fiyatlayici!$AA315,"")</x:f>
      </x:c>
      <x:c r="D315" s="83" t="str">
        <x:f>IF($A315&lt;&gt;"",Katalog_Fiyatlayici!$W315,"")</x:f>
      </x:c>
      <x:c r="E315" s="75" t="str">
        <x:f>IF($A315&lt;&gt;"","Service","")</x:f>
      </x:c>
      <x:c r="F315" s="75" t="str">
        <x:f>IF($A315&lt;&gt;"",Katalog_Fiyatlayici!$AE315,"")</x:f>
      </x:c>
      <x:c r="G315" s="75" t="str">
        <x:f>IF($A315&lt;&gt;"",Katalog_Fiyatlayici!$AD315,"")</x:f>
      </x:c>
      <x:c r="H315" s="75" t="str">
        <x:f>IF($A315&lt;&gt;"",Katalog_Fiyatlayici!$B315,"")</x:f>
      </x:c>
      <x:c r="I315" s="75" t="str">
        <x:f>IF($A315&lt;&gt;"","MakerWorld model linkine göre tahmini 3D baskı fiyatı. Gerçek üretimden önce Bambu Studio ile gramaj ve süre doğrulanır.","")</x:f>
      </x:c>
      <x:c r="J315" s="75" t="str">
        <x:f>IF($A315&lt;&gt;"",TRUE,"")</x:f>
      </x:c>
      <x:c r="K315" s="75" t="str">
        <x:f>IF($A315&lt;&gt;"",FALSE,"")</x:f>
      </x:c>
      <x:c r="L315" s="75" t="str">
        <x:f>IF($A315&lt;&gt;"","Units","")</x:f>
      </x:c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75" t="str">
        <x:f>IF(Katalog_Fiyatlayici!$AC316="Fiyat Hazır",Katalog_Fiyatlayici!$AD316,"")</x:f>
      </x:c>
      <x:c r="B316" s="75" t="str">
        <x:f>IF($A316&lt;&gt;"",Katalog_Fiyatlayici!$AF316,"")</x:f>
      </x:c>
      <x:c r="C316" s="83" t="str">
        <x:f>IF($A316&lt;&gt;"",Katalog_Fiyatlayici!$AA316,"")</x:f>
      </x:c>
      <x:c r="D316" s="83" t="str">
        <x:f>IF($A316&lt;&gt;"",Katalog_Fiyatlayici!$W316,"")</x:f>
      </x:c>
      <x:c r="E316" s="75" t="str">
        <x:f>IF($A316&lt;&gt;"","Service","")</x:f>
      </x:c>
      <x:c r="F316" s="75" t="str">
        <x:f>IF($A316&lt;&gt;"",Katalog_Fiyatlayici!$AE316,"")</x:f>
      </x:c>
      <x:c r="G316" s="75" t="str">
        <x:f>IF($A316&lt;&gt;"",Katalog_Fiyatlayici!$AD316,"")</x:f>
      </x:c>
      <x:c r="H316" s="75" t="str">
        <x:f>IF($A316&lt;&gt;"",Katalog_Fiyatlayici!$B316,"")</x:f>
      </x:c>
      <x:c r="I316" s="75" t="str">
        <x:f>IF($A316&lt;&gt;"","MakerWorld model linkine göre tahmini 3D baskı fiyatı. Gerçek üretimden önce Bambu Studio ile gramaj ve süre doğrulanır.","")</x:f>
      </x:c>
      <x:c r="J316" s="75" t="str">
        <x:f>IF($A316&lt;&gt;"",TRUE,"")</x:f>
      </x:c>
      <x:c r="K316" s="75" t="str">
        <x:f>IF($A316&lt;&gt;"",FALSE,"")</x:f>
      </x:c>
      <x:c r="L316" s="75" t="str">
        <x:f>IF($A316&lt;&gt;"","Units","")</x:f>
      </x:c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75" t="str">
        <x:f>IF(Katalog_Fiyatlayici!$AC317="Fiyat Hazır",Katalog_Fiyatlayici!$AD317,"")</x:f>
      </x:c>
      <x:c r="B317" s="75" t="str">
        <x:f>IF($A317&lt;&gt;"",Katalog_Fiyatlayici!$AF317,"")</x:f>
      </x:c>
      <x:c r="C317" s="83" t="str">
        <x:f>IF($A317&lt;&gt;"",Katalog_Fiyatlayici!$AA317,"")</x:f>
      </x:c>
      <x:c r="D317" s="83" t="str">
        <x:f>IF($A317&lt;&gt;"",Katalog_Fiyatlayici!$W317,"")</x:f>
      </x:c>
      <x:c r="E317" s="75" t="str">
        <x:f>IF($A317&lt;&gt;"","Service","")</x:f>
      </x:c>
      <x:c r="F317" s="75" t="str">
        <x:f>IF($A317&lt;&gt;"",Katalog_Fiyatlayici!$AE317,"")</x:f>
      </x:c>
      <x:c r="G317" s="75" t="str">
        <x:f>IF($A317&lt;&gt;"",Katalog_Fiyatlayici!$AD317,"")</x:f>
      </x:c>
      <x:c r="H317" s="75" t="str">
        <x:f>IF($A317&lt;&gt;"",Katalog_Fiyatlayici!$B317,"")</x:f>
      </x:c>
      <x:c r="I317" s="75" t="str">
        <x:f>IF($A317&lt;&gt;"","MakerWorld model linkine göre tahmini 3D baskı fiyatı. Gerçek üretimden önce Bambu Studio ile gramaj ve süre doğrulanır.","")</x:f>
      </x:c>
      <x:c r="J317" s="75" t="str">
        <x:f>IF($A317&lt;&gt;"",TRUE,"")</x:f>
      </x:c>
      <x:c r="K317" s="75" t="str">
        <x:f>IF($A317&lt;&gt;"",FALSE,"")</x:f>
      </x:c>
      <x:c r="L317" s="75" t="str">
        <x:f>IF($A317&lt;&gt;"","Units","")</x:f>
      </x:c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75" t="str">
        <x:f>IF(Katalog_Fiyatlayici!$AC318="Fiyat Hazır",Katalog_Fiyatlayici!$AD318,"")</x:f>
      </x:c>
      <x:c r="B318" s="75" t="str">
        <x:f>IF($A318&lt;&gt;"",Katalog_Fiyatlayici!$AF318,"")</x:f>
      </x:c>
      <x:c r="C318" s="83" t="str">
        <x:f>IF($A318&lt;&gt;"",Katalog_Fiyatlayici!$AA318,"")</x:f>
      </x:c>
      <x:c r="D318" s="83" t="str">
        <x:f>IF($A318&lt;&gt;"",Katalog_Fiyatlayici!$W318,"")</x:f>
      </x:c>
      <x:c r="E318" s="75" t="str">
        <x:f>IF($A318&lt;&gt;"","Service","")</x:f>
      </x:c>
      <x:c r="F318" s="75" t="str">
        <x:f>IF($A318&lt;&gt;"",Katalog_Fiyatlayici!$AE318,"")</x:f>
      </x:c>
      <x:c r="G318" s="75" t="str">
        <x:f>IF($A318&lt;&gt;"",Katalog_Fiyatlayici!$AD318,"")</x:f>
      </x:c>
      <x:c r="H318" s="75" t="str">
        <x:f>IF($A318&lt;&gt;"",Katalog_Fiyatlayici!$B318,"")</x:f>
      </x:c>
      <x:c r="I318" s="75" t="str">
        <x:f>IF($A318&lt;&gt;"","MakerWorld model linkine göre tahmini 3D baskı fiyatı. Gerçek üretimden önce Bambu Studio ile gramaj ve süre doğrulanır.","")</x:f>
      </x:c>
      <x:c r="J318" s="75" t="str">
        <x:f>IF($A318&lt;&gt;"",TRUE,"")</x:f>
      </x:c>
      <x:c r="K318" s="75" t="str">
        <x:f>IF($A318&lt;&gt;"",FALSE,"")</x:f>
      </x:c>
      <x:c r="L318" s="75" t="str">
        <x:f>IF($A318&lt;&gt;"","Units","")</x:f>
      </x:c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75" t="str">
        <x:f>IF(Katalog_Fiyatlayici!$AC319="Fiyat Hazır",Katalog_Fiyatlayici!$AD319,"")</x:f>
      </x:c>
      <x:c r="B319" s="75" t="str">
        <x:f>IF($A319&lt;&gt;"",Katalog_Fiyatlayici!$AF319,"")</x:f>
      </x:c>
      <x:c r="C319" s="83" t="str">
        <x:f>IF($A319&lt;&gt;"",Katalog_Fiyatlayici!$AA319,"")</x:f>
      </x:c>
      <x:c r="D319" s="83" t="str">
        <x:f>IF($A319&lt;&gt;"",Katalog_Fiyatlayici!$W319,"")</x:f>
      </x:c>
      <x:c r="E319" s="75" t="str">
        <x:f>IF($A319&lt;&gt;"","Service","")</x:f>
      </x:c>
      <x:c r="F319" s="75" t="str">
        <x:f>IF($A319&lt;&gt;"",Katalog_Fiyatlayici!$AE319,"")</x:f>
      </x:c>
      <x:c r="G319" s="75" t="str">
        <x:f>IF($A319&lt;&gt;"",Katalog_Fiyatlayici!$AD319,"")</x:f>
      </x:c>
      <x:c r="H319" s="75" t="str">
        <x:f>IF($A319&lt;&gt;"",Katalog_Fiyatlayici!$B319,"")</x:f>
      </x:c>
      <x:c r="I319" s="75" t="str">
        <x:f>IF($A319&lt;&gt;"","MakerWorld model linkine göre tahmini 3D baskı fiyatı. Gerçek üretimden önce Bambu Studio ile gramaj ve süre doğrulanır.","")</x:f>
      </x:c>
      <x:c r="J319" s="75" t="str">
        <x:f>IF($A319&lt;&gt;"",TRUE,"")</x:f>
      </x:c>
      <x:c r="K319" s="75" t="str">
        <x:f>IF($A319&lt;&gt;"",FALSE,"")</x:f>
      </x:c>
      <x:c r="L319" s="75" t="str">
        <x:f>IF($A319&lt;&gt;"","Units","")</x:f>
      </x:c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75" t="str">
        <x:f>IF(Katalog_Fiyatlayici!$AC320="Fiyat Hazır",Katalog_Fiyatlayici!$AD320,"")</x:f>
      </x:c>
      <x:c r="B320" s="75" t="str">
        <x:f>IF($A320&lt;&gt;"",Katalog_Fiyatlayici!$AF320,"")</x:f>
      </x:c>
      <x:c r="C320" s="83" t="str">
        <x:f>IF($A320&lt;&gt;"",Katalog_Fiyatlayici!$AA320,"")</x:f>
      </x:c>
      <x:c r="D320" s="83" t="str">
        <x:f>IF($A320&lt;&gt;"",Katalog_Fiyatlayici!$W320,"")</x:f>
      </x:c>
      <x:c r="E320" s="75" t="str">
        <x:f>IF($A320&lt;&gt;"","Service","")</x:f>
      </x:c>
      <x:c r="F320" s="75" t="str">
        <x:f>IF($A320&lt;&gt;"",Katalog_Fiyatlayici!$AE320,"")</x:f>
      </x:c>
      <x:c r="G320" s="75" t="str">
        <x:f>IF($A320&lt;&gt;"",Katalog_Fiyatlayici!$AD320,"")</x:f>
      </x:c>
      <x:c r="H320" s="75" t="str">
        <x:f>IF($A320&lt;&gt;"",Katalog_Fiyatlayici!$B320,"")</x:f>
      </x:c>
      <x:c r="I320" s="75" t="str">
        <x:f>IF($A320&lt;&gt;"","MakerWorld model linkine göre tahmini 3D baskı fiyatı. Gerçek üretimden önce Bambu Studio ile gramaj ve süre doğrulanır.","")</x:f>
      </x:c>
      <x:c r="J320" s="75" t="str">
        <x:f>IF($A320&lt;&gt;"",TRUE,"")</x:f>
      </x:c>
      <x:c r="K320" s="75" t="str">
        <x:f>IF($A320&lt;&gt;"",FALSE,"")</x:f>
      </x:c>
      <x:c r="L320" s="75" t="str">
        <x:f>IF($A320&lt;&gt;"","Units","")</x:f>
      </x:c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75" t="str">
        <x:f>IF(Katalog_Fiyatlayici!$AC321="Fiyat Hazır",Katalog_Fiyatlayici!$AD321,"")</x:f>
      </x:c>
      <x:c r="B321" s="75" t="str">
        <x:f>IF($A321&lt;&gt;"",Katalog_Fiyatlayici!$AF321,"")</x:f>
      </x:c>
      <x:c r="C321" s="83" t="str">
        <x:f>IF($A321&lt;&gt;"",Katalog_Fiyatlayici!$AA321,"")</x:f>
      </x:c>
      <x:c r="D321" s="83" t="str">
        <x:f>IF($A321&lt;&gt;"",Katalog_Fiyatlayici!$W321,"")</x:f>
      </x:c>
      <x:c r="E321" s="75" t="str">
        <x:f>IF($A321&lt;&gt;"","Service","")</x:f>
      </x:c>
      <x:c r="F321" s="75" t="str">
        <x:f>IF($A321&lt;&gt;"",Katalog_Fiyatlayici!$AE321,"")</x:f>
      </x:c>
      <x:c r="G321" s="75" t="str">
        <x:f>IF($A321&lt;&gt;"",Katalog_Fiyatlayici!$AD321,"")</x:f>
      </x:c>
      <x:c r="H321" s="75" t="str">
        <x:f>IF($A321&lt;&gt;"",Katalog_Fiyatlayici!$B321,"")</x:f>
      </x:c>
      <x:c r="I321" s="75" t="str">
        <x:f>IF($A321&lt;&gt;"","MakerWorld model linkine göre tahmini 3D baskı fiyatı. Gerçek üretimden önce Bambu Studio ile gramaj ve süre doğrulanır.","")</x:f>
      </x:c>
      <x:c r="J321" s="75" t="str">
        <x:f>IF($A321&lt;&gt;"",TRUE,"")</x:f>
      </x:c>
      <x:c r="K321" s="75" t="str">
        <x:f>IF($A321&lt;&gt;"",FALSE,"")</x:f>
      </x:c>
      <x:c r="L321" s="75" t="str">
        <x:f>IF($A321&lt;&gt;"","Units","")</x:f>
      </x:c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75" t="str">
        <x:f>IF(Katalog_Fiyatlayici!$AC322="Fiyat Hazır",Katalog_Fiyatlayici!$AD322,"")</x:f>
      </x:c>
      <x:c r="B322" s="75" t="str">
        <x:f>IF($A322&lt;&gt;"",Katalog_Fiyatlayici!$AF322,"")</x:f>
      </x:c>
      <x:c r="C322" s="83" t="str">
        <x:f>IF($A322&lt;&gt;"",Katalog_Fiyatlayici!$AA322,"")</x:f>
      </x:c>
      <x:c r="D322" s="83" t="str">
        <x:f>IF($A322&lt;&gt;"",Katalog_Fiyatlayici!$W322,"")</x:f>
      </x:c>
      <x:c r="E322" s="75" t="str">
        <x:f>IF($A322&lt;&gt;"","Service","")</x:f>
      </x:c>
      <x:c r="F322" s="75" t="str">
        <x:f>IF($A322&lt;&gt;"",Katalog_Fiyatlayici!$AE322,"")</x:f>
      </x:c>
      <x:c r="G322" s="75" t="str">
        <x:f>IF($A322&lt;&gt;"",Katalog_Fiyatlayici!$AD322,"")</x:f>
      </x:c>
      <x:c r="H322" s="75" t="str">
        <x:f>IF($A322&lt;&gt;"",Katalog_Fiyatlayici!$B322,"")</x:f>
      </x:c>
      <x:c r="I322" s="75" t="str">
        <x:f>IF($A322&lt;&gt;"","MakerWorld model linkine göre tahmini 3D baskı fiyatı. Gerçek üretimden önce Bambu Studio ile gramaj ve süre doğrulanır.","")</x:f>
      </x:c>
      <x:c r="J322" s="75" t="str">
        <x:f>IF($A322&lt;&gt;"",TRUE,"")</x:f>
      </x:c>
      <x:c r="K322" s="75" t="str">
        <x:f>IF($A322&lt;&gt;"",FALSE,"")</x:f>
      </x:c>
      <x:c r="L322" s="75" t="str">
        <x:f>IF($A322&lt;&gt;"","Units","")</x:f>
      </x:c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75" t="str">
        <x:f>IF(Katalog_Fiyatlayici!$AC323="Fiyat Hazır",Katalog_Fiyatlayici!$AD323,"")</x:f>
      </x:c>
      <x:c r="B323" s="75" t="str">
        <x:f>IF($A323&lt;&gt;"",Katalog_Fiyatlayici!$AF323,"")</x:f>
      </x:c>
      <x:c r="C323" s="83" t="str">
        <x:f>IF($A323&lt;&gt;"",Katalog_Fiyatlayici!$AA323,"")</x:f>
      </x:c>
      <x:c r="D323" s="83" t="str">
        <x:f>IF($A323&lt;&gt;"",Katalog_Fiyatlayici!$W323,"")</x:f>
      </x:c>
      <x:c r="E323" s="75" t="str">
        <x:f>IF($A323&lt;&gt;"","Service","")</x:f>
      </x:c>
      <x:c r="F323" s="75" t="str">
        <x:f>IF($A323&lt;&gt;"",Katalog_Fiyatlayici!$AE323,"")</x:f>
      </x:c>
      <x:c r="G323" s="75" t="str">
        <x:f>IF($A323&lt;&gt;"",Katalog_Fiyatlayici!$AD323,"")</x:f>
      </x:c>
      <x:c r="H323" s="75" t="str">
        <x:f>IF($A323&lt;&gt;"",Katalog_Fiyatlayici!$B323,"")</x:f>
      </x:c>
      <x:c r="I323" s="75" t="str">
        <x:f>IF($A323&lt;&gt;"","MakerWorld model linkine göre tahmini 3D baskı fiyatı. Gerçek üretimden önce Bambu Studio ile gramaj ve süre doğrulanır.","")</x:f>
      </x:c>
      <x:c r="J323" s="75" t="str">
        <x:f>IF($A323&lt;&gt;"",TRUE,"")</x:f>
      </x:c>
      <x:c r="K323" s="75" t="str">
        <x:f>IF($A323&lt;&gt;"",FALSE,"")</x:f>
      </x:c>
      <x:c r="L323" s="75" t="str">
        <x:f>IF($A323&lt;&gt;"","Units","")</x:f>
      </x:c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75" t="str">
        <x:f>IF(Katalog_Fiyatlayici!$AC324="Fiyat Hazır",Katalog_Fiyatlayici!$AD324,"")</x:f>
      </x:c>
      <x:c r="B324" s="75" t="str">
        <x:f>IF($A324&lt;&gt;"",Katalog_Fiyatlayici!$AF324,"")</x:f>
      </x:c>
      <x:c r="C324" s="83" t="str">
        <x:f>IF($A324&lt;&gt;"",Katalog_Fiyatlayici!$AA324,"")</x:f>
      </x:c>
      <x:c r="D324" s="83" t="str">
        <x:f>IF($A324&lt;&gt;"",Katalog_Fiyatlayici!$W324,"")</x:f>
      </x:c>
      <x:c r="E324" s="75" t="str">
        <x:f>IF($A324&lt;&gt;"","Service","")</x:f>
      </x:c>
      <x:c r="F324" s="75" t="str">
        <x:f>IF($A324&lt;&gt;"",Katalog_Fiyatlayici!$AE324,"")</x:f>
      </x:c>
      <x:c r="G324" s="75" t="str">
        <x:f>IF($A324&lt;&gt;"",Katalog_Fiyatlayici!$AD324,"")</x:f>
      </x:c>
      <x:c r="H324" s="75" t="str">
        <x:f>IF($A324&lt;&gt;"",Katalog_Fiyatlayici!$B324,"")</x:f>
      </x:c>
      <x:c r="I324" s="75" t="str">
        <x:f>IF($A324&lt;&gt;"","MakerWorld model linkine göre tahmini 3D baskı fiyatı. Gerçek üretimden önce Bambu Studio ile gramaj ve süre doğrulanır.","")</x:f>
      </x:c>
      <x:c r="J324" s="75" t="str">
        <x:f>IF($A324&lt;&gt;"",TRUE,"")</x:f>
      </x:c>
      <x:c r="K324" s="75" t="str">
        <x:f>IF($A324&lt;&gt;"",FALSE,"")</x:f>
      </x:c>
      <x:c r="L324" s="75" t="str">
        <x:f>IF($A324&lt;&gt;"","Units","")</x:f>
      </x:c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75" t="str">
        <x:f>IF(Katalog_Fiyatlayici!$AC325="Fiyat Hazır",Katalog_Fiyatlayici!$AD325,"")</x:f>
      </x:c>
      <x:c r="B325" s="75" t="str">
        <x:f>IF($A325&lt;&gt;"",Katalog_Fiyatlayici!$AF325,"")</x:f>
      </x:c>
      <x:c r="C325" s="83" t="str">
        <x:f>IF($A325&lt;&gt;"",Katalog_Fiyatlayici!$AA325,"")</x:f>
      </x:c>
      <x:c r="D325" s="83" t="str">
        <x:f>IF($A325&lt;&gt;"",Katalog_Fiyatlayici!$W325,"")</x:f>
      </x:c>
      <x:c r="E325" s="75" t="str">
        <x:f>IF($A325&lt;&gt;"","Service","")</x:f>
      </x:c>
      <x:c r="F325" s="75" t="str">
        <x:f>IF($A325&lt;&gt;"",Katalog_Fiyatlayici!$AE325,"")</x:f>
      </x:c>
      <x:c r="G325" s="75" t="str">
        <x:f>IF($A325&lt;&gt;"",Katalog_Fiyatlayici!$AD325,"")</x:f>
      </x:c>
      <x:c r="H325" s="75" t="str">
        <x:f>IF($A325&lt;&gt;"",Katalog_Fiyatlayici!$B325,"")</x:f>
      </x:c>
      <x:c r="I325" s="75" t="str">
        <x:f>IF($A325&lt;&gt;"","MakerWorld model linkine göre tahmini 3D baskı fiyatı. Gerçek üretimden önce Bambu Studio ile gramaj ve süre doğrulanır.","")</x:f>
      </x:c>
      <x:c r="J325" s="75" t="str">
        <x:f>IF($A325&lt;&gt;"",TRUE,"")</x:f>
      </x:c>
      <x:c r="K325" s="75" t="str">
        <x:f>IF($A325&lt;&gt;"",FALSE,"")</x:f>
      </x:c>
      <x:c r="L325" s="75" t="str">
        <x:f>IF($A325&lt;&gt;"","Units","")</x:f>
      </x:c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75" t="str">
        <x:f>IF(Katalog_Fiyatlayici!$AC326="Fiyat Hazır",Katalog_Fiyatlayici!$AD326,"")</x:f>
      </x:c>
      <x:c r="B326" s="75" t="str">
        <x:f>IF($A326&lt;&gt;"",Katalog_Fiyatlayici!$AF326,"")</x:f>
      </x:c>
      <x:c r="C326" s="83" t="str">
        <x:f>IF($A326&lt;&gt;"",Katalog_Fiyatlayici!$AA326,"")</x:f>
      </x:c>
      <x:c r="D326" s="83" t="str">
        <x:f>IF($A326&lt;&gt;"",Katalog_Fiyatlayici!$W326,"")</x:f>
      </x:c>
      <x:c r="E326" s="75" t="str">
        <x:f>IF($A326&lt;&gt;"","Service","")</x:f>
      </x:c>
      <x:c r="F326" s="75" t="str">
        <x:f>IF($A326&lt;&gt;"",Katalog_Fiyatlayici!$AE326,"")</x:f>
      </x:c>
      <x:c r="G326" s="75" t="str">
        <x:f>IF($A326&lt;&gt;"",Katalog_Fiyatlayici!$AD326,"")</x:f>
      </x:c>
      <x:c r="H326" s="75" t="str">
        <x:f>IF($A326&lt;&gt;"",Katalog_Fiyatlayici!$B326,"")</x:f>
      </x:c>
      <x:c r="I326" s="75" t="str">
        <x:f>IF($A326&lt;&gt;"","MakerWorld model linkine göre tahmini 3D baskı fiyatı. Gerçek üretimden önce Bambu Studio ile gramaj ve süre doğrulanır.","")</x:f>
      </x:c>
      <x:c r="J326" s="75" t="str">
        <x:f>IF($A326&lt;&gt;"",TRUE,"")</x:f>
      </x:c>
      <x:c r="K326" s="75" t="str">
        <x:f>IF($A326&lt;&gt;"",FALSE,"")</x:f>
      </x:c>
      <x:c r="L326" s="75" t="str">
        <x:f>IF($A326&lt;&gt;"","Units","")</x:f>
      </x:c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75" t="str">
        <x:f>IF(Katalog_Fiyatlayici!$AC327="Fiyat Hazır",Katalog_Fiyatlayici!$AD327,"")</x:f>
      </x:c>
      <x:c r="B327" s="75" t="str">
        <x:f>IF($A327&lt;&gt;"",Katalog_Fiyatlayici!$AF327,"")</x:f>
      </x:c>
      <x:c r="C327" s="83" t="str">
        <x:f>IF($A327&lt;&gt;"",Katalog_Fiyatlayici!$AA327,"")</x:f>
      </x:c>
      <x:c r="D327" s="83" t="str">
        <x:f>IF($A327&lt;&gt;"",Katalog_Fiyatlayici!$W327,"")</x:f>
      </x:c>
      <x:c r="E327" s="75" t="str">
        <x:f>IF($A327&lt;&gt;"","Service","")</x:f>
      </x:c>
      <x:c r="F327" s="75" t="str">
        <x:f>IF($A327&lt;&gt;"",Katalog_Fiyatlayici!$AE327,"")</x:f>
      </x:c>
      <x:c r="G327" s="75" t="str">
        <x:f>IF($A327&lt;&gt;"",Katalog_Fiyatlayici!$AD327,"")</x:f>
      </x:c>
      <x:c r="H327" s="75" t="str">
        <x:f>IF($A327&lt;&gt;"",Katalog_Fiyatlayici!$B327,"")</x:f>
      </x:c>
      <x:c r="I327" s="75" t="str">
        <x:f>IF($A327&lt;&gt;"","MakerWorld model linkine göre tahmini 3D baskı fiyatı. Gerçek üretimden önce Bambu Studio ile gramaj ve süre doğrulanır.","")</x:f>
      </x:c>
      <x:c r="J327" s="75" t="str">
        <x:f>IF($A327&lt;&gt;"",TRUE,"")</x:f>
      </x:c>
      <x:c r="K327" s="75" t="str">
        <x:f>IF($A327&lt;&gt;"",FALSE,"")</x:f>
      </x:c>
      <x:c r="L327" s="75" t="str">
        <x:f>IF($A327&lt;&gt;"","Units","")</x:f>
      </x:c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75" t="str">
        <x:f>IF(Katalog_Fiyatlayici!$AC328="Fiyat Hazır",Katalog_Fiyatlayici!$AD328,"")</x:f>
      </x:c>
      <x:c r="B328" s="75" t="str">
        <x:f>IF($A328&lt;&gt;"",Katalog_Fiyatlayici!$AF328,"")</x:f>
      </x:c>
      <x:c r="C328" s="83" t="str">
        <x:f>IF($A328&lt;&gt;"",Katalog_Fiyatlayici!$AA328,"")</x:f>
      </x:c>
      <x:c r="D328" s="83" t="str">
        <x:f>IF($A328&lt;&gt;"",Katalog_Fiyatlayici!$W328,"")</x:f>
      </x:c>
      <x:c r="E328" s="75" t="str">
        <x:f>IF($A328&lt;&gt;"","Service","")</x:f>
      </x:c>
      <x:c r="F328" s="75" t="str">
        <x:f>IF($A328&lt;&gt;"",Katalog_Fiyatlayici!$AE328,"")</x:f>
      </x:c>
      <x:c r="G328" s="75" t="str">
        <x:f>IF($A328&lt;&gt;"",Katalog_Fiyatlayici!$AD328,"")</x:f>
      </x:c>
      <x:c r="H328" s="75" t="str">
        <x:f>IF($A328&lt;&gt;"",Katalog_Fiyatlayici!$B328,"")</x:f>
      </x:c>
      <x:c r="I328" s="75" t="str">
        <x:f>IF($A328&lt;&gt;"","MakerWorld model linkine göre tahmini 3D baskı fiyatı. Gerçek üretimden önce Bambu Studio ile gramaj ve süre doğrulanır.","")</x:f>
      </x:c>
      <x:c r="J328" s="75" t="str">
        <x:f>IF($A328&lt;&gt;"",TRUE,"")</x:f>
      </x:c>
      <x:c r="K328" s="75" t="str">
        <x:f>IF($A328&lt;&gt;"",FALSE,"")</x:f>
      </x:c>
      <x:c r="L328" s="75" t="str">
        <x:f>IF($A328&lt;&gt;"","Units","")</x:f>
      </x:c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75" t="str">
        <x:f>IF(Katalog_Fiyatlayici!$AC329="Fiyat Hazır",Katalog_Fiyatlayici!$AD329,"")</x:f>
      </x:c>
      <x:c r="B329" s="75" t="str">
        <x:f>IF($A329&lt;&gt;"",Katalog_Fiyatlayici!$AF329,"")</x:f>
      </x:c>
      <x:c r="C329" s="83" t="str">
        <x:f>IF($A329&lt;&gt;"",Katalog_Fiyatlayici!$AA329,"")</x:f>
      </x:c>
      <x:c r="D329" s="83" t="str">
        <x:f>IF($A329&lt;&gt;"",Katalog_Fiyatlayici!$W329,"")</x:f>
      </x:c>
      <x:c r="E329" s="75" t="str">
        <x:f>IF($A329&lt;&gt;"","Service","")</x:f>
      </x:c>
      <x:c r="F329" s="75" t="str">
        <x:f>IF($A329&lt;&gt;"",Katalog_Fiyatlayici!$AE329,"")</x:f>
      </x:c>
      <x:c r="G329" s="75" t="str">
        <x:f>IF($A329&lt;&gt;"",Katalog_Fiyatlayici!$AD329,"")</x:f>
      </x:c>
      <x:c r="H329" s="75" t="str">
        <x:f>IF($A329&lt;&gt;"",Katalog_Fiyatlayici!$B329,"")</x:f>
      </x:c>
      <x:c r="I329" s="75" t="str">
        <x:f>IF($A329&lt;&gt;"","MakerWorld model linkine göre tahmini 3D baskı fiyatı. Gerçek üretimden önce Bambu Studio ile gramaj ve süre doğrulanır.","")</x:f>
      </x:c>
      <x:c r="J329" s="75" t="str">
        <x:f>IF($A329&lt;&gt;"",TRUE,"")</x:f>
      </x:c>
      <x:c r="K329" s="75" t="str">
        <x:f>IF($A329&lt;&gt;"",FALSE,"")</x:f>
      </x:c>
      <x:c r="L329" s="75" t="str">
        <x:f>IF($A329&lt;&gt;"","Units","")</x:f>
      </x:c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75" t="str">
        <x:f>IF(Katalog_Fiyatlayici!$AC330="Fiyat Hazır",Katalog_Fiyatlayici!$AD330,"")</x:f>
      </x:c>
      <x:c r="B330" s="75" t="str">
        <x:f>IF($A330&lt;&gt;"",Katalog_Fiyatlayici!$AF330,"")</x:f>
      </x:c>
      <x:c r="C330" s="83" t="str">
        <x:f>IF($A330&lt;&gt;"",Katalog_Fiyatlayici!$AA330,"")</x:f>
      </x:c>
      <x:c r="D330" s="83" t="str">
        <x:f>IF($A330&lt;&gt;"",Katalog_Fiyatlayici!$W330,"")</x:f>
      </x:c>
      <x:c r="E330" s="75" t="str">
        <x:f>IF($A330&lt;&gt;"","Service","")</x:f>
      </x:c>
      <x:c r="F330" s="75" t="str">
        <x:f>IF($A330&lt;&gt;"",Katalog_Fiyatlayici!$AE330,"")</x:f>
      </x:c>
      <x:c r="G330" s="75" t="str">
        <x:f>IF($A330&lt;&gt;"",Katalog_Fiyatlayici!$AD330,"")</x:f>
      </x:c>
      <x:c r="H330" s="75" t="str">
        <x:f>IF($A330&lt;&gt;"",Katalog_Fiyatlayici!$B330,"")</x:f>
      </x:c>
      <x:c r="I330" s="75" t="str">
        <x:f>IF($A330&lt;&gt;"","MakerWorld model linkine göre tahmini 3D baskı fiyatı. Gerçek üretimden önce Bambu Studio ile gramaj ve süre doğrulanır.","")</x:f>
      </x:c>
      <x:c r="J330" s="75" t="str">
        <x:f>IF($A330&lt;&gt;"",TRUE,"")</x:f>
      </x:c>
      <x:c r="K330" s="75" t="str">
        <x:f>IF($A330&lt;&gt;"",FALSE,"")</x:f>
      </x:c>
      <x:c r="L330" s="75" t="str">
        <x:f>IF($A330&lt;&gt;"","Units","")</x:f>
      </x:c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75" t="str">
        <x:f>IF(Katalog_Fiyatlayici!$AC331="Fiyat Hazır",Katalog_Fiyatlayici!$AD331,"")</x:f>
      </x:c>
      <x:c r="B331" s="75" t="str">
        <x:f>IF($A331&lt;&gt;"",Katalog_Fiyatlayici!$AF331,"")</x:f>
      </x:c>
      <x:c r="C331" s="83" t="str">
        <x:f>IF($A331&lt;&gt;"",Katalog_Fiyatlayici!$AA331,"")</x:f>
      </x:c>
      <x:c r="D331" s="83" t="str">
        <x:f>IF($A331&lt;&gt;"",Katalog_Fiyatlayici!$W331,"")</x:f>
      </x:c>
      <x:c r="E331" s="75" t="str">
        <x:f>IF($A331&lt;&gt;"","Service","")</x:f>
      </x:c>
      <x:c r="F331" s="75" t="str">
        <x:f>IF($A331&lt;&gt;"",Katalog_Fiyatlayici!$AE331,"")</x:f>
      </x:c>
      <x:c r="G331" s="75" t="str">
        <x:f>IF($A331&lt;&gt;"",Katalog_Fiyatlayici!$AD331,"")</x:f>
      </x:c>
      <x:c r="H331" s="75" t="str">
        <x:f>IF($A331&lt;&gt;"",Katalog_Fiyatlayici!$B331,"")</x:f>
      </x:c>
      <x:c r="I331" s="75" t="str">
        <x:f>IF($A331&lt;&gt;"","MakerWorld model linkine göre tahmini 3D baskı fiyatı. Gerçek üretimden önce Bambu Studio ile gramaj ve süre doğrulanır.","")</x:f>
      </x:c>
      <x:c r="J331" s="75" t="str">
        <x:f>IF($A331&lt;&gt;"",TRUE,"")</x:f>
      </x:c>
      <x:c r="K331" s="75" t="str">
        <x:f>IF($A331&lt;&gt;"",FALSE,"")</x:f>
      </x:c>
      <x:c r="L331" s="75" t="str">
        <x:f>IF($A331&lt;&gt;"","Units","")</x:f>
      </x:c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75" t="str">
        <x:f>IF(Katalog_Fiyatlayici!$AC332="Fiyat Hazır",Katalog_Fiyatlayici!$AD332,"")</x:f>
      </x:c>
      <x:c r="B332" s="75" t="str">
        <x:f>IF($A332&lt;&gt;"",Katalog_Fiyatlayici!$AF332,"")</x:f>
      </x:c>
      <x:c r="C332" s="83" t="str">
        <x:f>IF($A332&lt;&gt;"",Katalog_Fiyatlayici!$AA332,"")</x:f>
      </x:c>
      <x:c r="D332" s="83" t="str">
        <x:f>IF($A332&lt;&gt;"",Katalog_Fiyatlayici!$W332,"")</x:f>
      </x:c>
      <x:c r="E332" s="75" t="str">
        <x:f>IF($A332&lt;&gt;"","Service","")</x:f>
      </x:c>
      <x:c r="F332" s="75" t="str">
        <x:f>IF($A332&lt;&gt;"",Katalog_Fiyatlayici!$AE332,"")</x:f>
      </x:c>
      <x:c r="G332" s="75" t="str">
        <x:f>IF($A332&lt;&gt;"",Katalog_Fiyatlayici!$AD332,"")</x:f>
      </x:c>
      <x:c r="H332" s="75" t="str">
        <x:f>IF($A332&lt;&gt;"",Katalog_Fiyatlayici!$B332,"")</x:f>
      </x:c>
      <x:c r="I332" s="75" t="str">
        <x:f>IF($A332&lt;&gt;"","MakerWorld model linkine göre tahmini 3D baskı fiyatı. Gerçek üretimden önce Bambu Studio ile gramaj ve süre doğrulanır.","")</x:f>
      </x:c>
      <x:c r="J332" s="75" t="str">
        <x:f>IF($A332&lt;&gt;"",TRUE,"")</x:f>
      </x:c>
      <x:c r="K332" s="75" t="str">
        <x:f>IF($A332&lt;&gt;"",FALSE,"")</x:f>
      </x:c>
      <x:c r="L332" s="75" t="str">
        <x:f>IF($A332&lt;&gt;"","Units","")</x:f>
      </x:c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75" t="str">
        <x:f>IF(Katalog_Fiyatlayici!$AC333="Fiyat Hazır",Katalog_Fiyatlayici!$AD333,"")</x:f>
      </x:c>
      <x:c r="B333" s="75" t="str">
        <x:f>IF($A333&lt;&gt;"",Katalog_Fiyatlayici!$AF333,"")</x:f>
      </x:c>
      <x:c r="C333" s="83" t="str">
        <x:f>IF($A333&lt;&gt;"",Katalog_Fiyatlayici!$AA333,"")</x:f>
      </x:c>
      <x:c r="D333" s="83" t="str">
        <x:f>IF($A333&lt;&gt;"",Katalog_Fiyatlayici!$W333,"")</x:f>
      </x:c>
      <x:c r="E333" s="75" t="str">
        <x:f>IF($A333&lt;&gt;"","Service","")</x:f>
      </x:c>
      <x:c r="F333" s="75" t="str">
        <x:f>IF($A333&lt;&gt;"",Katalog_Fiyatlayici!$AE333,"")</x:f>
      </x:c>
      <x:c r="G333" s="75" t="str">
        <x:f>IF($A333&lt;&gt;"",Katalog_Fiyatlayici!$AD333,"")</x:f>
      </x:c>
      <x:c r="H333" s="75" t="str">
        <x:f>IF($A333&lt;&gt;"",Katalog_Fiyatlayici!$B333,"")</x:f>
      </x:c>
      <x:c r="I333" s="75" t="str">
        <x:f>IF($A333&lt;&gt;"","MakerWorld model linkine göre tahmini 3D baskı fiyatı. Gerçek üretimden önce Bambu Studio ile gramaj ve süre doğrulanır.","")</x:f>
      </x:c>
      <x:c r="J333" s="75" t="str">
        <x:f>IF($A333&lt;&gt;"",TRUE,"")</x:f>
      </x:c>
      <x:c r="K333" s="75" t="str">
        <x:f>IF($A333&lt;&gt;"",FALSE,"")</x:f>
      </x:c>
      <x:c r="L333" s="75" t="str">
        <x:f>IF($A333&lt;&gt;"","Units","")</x:f>
      </x:c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75" t="str">
        <x:f>IF(Katalog_Fiyatlayici!$AC334="Fiyat Hazır",Katalog_Fiyatlayici!$AD334,"")</x:f>
      </x:c>
      <x:c r="B334" s="75" t="str">
        <x:f>IF($A334&lt;&gt;"",Katalog_Fiyatlayici!$AF334,"")</x:f>
      </x:c>
      <x:c r="C334" s="83" t="str">
        <x:f>IF($A334&lt;&gt;"",Katalog_Fiyatlayici!$AA334,"")</x:f>
      </x:c>
      <x:c r="D334" s="83" t="str">
        <x:f>IF($A334&lt;&gt;"",Katalog_Fiyatlayici!$W334,"")</x:f>
      </x:c>
      <x:c r="E334" s="75" t="str">
        <x:f>IF($A334&lt;&gt;"","Service","")</x:f>
      </x:c>
      <x:c r="F334" s="75" t="str">
        <x:f>IF($A334&lt;&gt;"",Katalog_Fiyatlayici!$AE334,"")</x:f>
      </x:c>
      <x:c r="G334" s="75" t="str">
        <x:f>IF($A334&lt;&gt;"",Katalog_Fiyatlayici!$AD334,"")</x:f>
      </x:c>
      <x:c r="H334" s="75" t="str">
        <x:f>IF($A334&lt;&gt;"",Katalog_Fiyatlayici!$B334,"")</x:f>
      </x:c>
      <x:c r="I334" s="75" t="str">
        <x:f>IF($A334&lt;&gt;"","MakerWorld model linkine göre tahmini 3D baskı fiyatı. Gerçek üretimden önce Bambu Studio ile gramaj ve süre doğrulanır.","")</x:f>
      </x:c>
      <x:c r="J334" s="75" t="str">
        <x:f>IF($A334&lt;&gt;"",TRUE,"")</x:f>
      </x:c>
      <x:c r="K334" s="75" t="str">
        <x:f>IF($A334&lt;&gt;"",FALSE,"")</x:f>
      </x:c>
      <x:c r="L334" s="75" t="str">
        <x:f>IF($A334&lt;&gt;"","Units","")</x:f>
      </x:c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75" t="str">
        <x:f>IF(Katalog_Fiyatlayici!$AC335="Fiyat Hazır",Katalog_Fiyatlayici!$AD335,"")</x:f>
      </x:c>
      <x:c r="B335" s="75" t="str">
        <x:f>IF($A335&lt;&gt;"",Katalog_Fiyatlayici!$AF335,"")</x:f>
      </x:c>
      <x:c r="C335" s="83" t="str">
        <x:f>IF($A335&lt;&gt;"",Katalog_Fiyatlayici!$AA335,"")</x:f>
      </x:c>
      <x:c r="D335" s="83" t="str">
        <x:f>IF($A335&lt;&gt;"",Katalog_Fiyatlayici!$W335,"")</x:f>
      </x:c>
      <x:c r="E335" s="75" t="str">
        <x:f>IF($A335&lt;&gt;"","Service","")</x:f>
      </x:c>
      <x:c r="F335" s="75" t="str">
        <x:f>IF($A335&lt;&gt;"",Katalog_Fiyatlayici!$AE335,"")</x:f>
      </x:c>
      <x:c r="G335" s="75" t="str">
        <x:f>IF($A335&lt;&gt;"",Katalog_Fiyatlayici!$AD335,"")</x:f>
      </x:c>
      <x:c r="H335" s="75" t="str">
        <x:f>IF($A335&lt;&gt;"",Katalog_Fiyatlayici!$B335,"")</x:f>
      </x:c>
      <x:c r="I335" s="75" t="str">
        <x:f>IF($A335&lt;&gt;"","MakerWorld model linkine göre tahmini 3D baskı fiyatı. Gerçek üretimden önce Bambu Studio ile gramaj ve süre doğrulanır.","")</x:f>
      </x:c>
      <x:c r="J335" s="75" t="str">
        <x:f>IF($A335&lt;&gt;"",TRUE,"")</x:f>
      </x:c>
      <x:c r="K335" s="75" t="str">
        <x:f>IF($A335&lt;&gt;"",FALSE,"")</x:f>
      </x:c>
      <x:c r="L335" s="75" t="str">
        <x:f>IF($A335&lt;&gt;"","Units","")</x:f>
      </x:c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75" t="str">
        <x:f>IF(Katalog_Fiyatlayici!$AC336="Fiyat Hazır",Katalog_Fiyatlayici!$AD336,"")</x:f>
      </x:c>
      <x:c r="B336" s="75" t="str">
        <x:f>IF($A336&lt;&gt;"",Katalog_Fiyatlayici!$AF336,"")</x:f>
      </x:c>
      <x:c r="C336" s="83" t="str">
        <x:f>IF($A336&lt;&gt;"",Katalog_Fiyatlayici!$AA336,"")</x:f>
      </x:c>
      <x:c r="D336" s="83" t="str">
        <x:f>IF($A336&lt;&gt;"",Katalog_Fiyatlayici!$W336,"")</x:f>
      </x:c>
      <x:c r="E336" s="75" t="str">
        <x:f>IF($A336&lt;&gt;"","Service","")</x:f>
      </x:c>
      <x:c r="F336" s="75" t="str">
        <x:f>IF($A336&lt;&gt;"",Katalog_Fiyatlayici!$AE336,"")</x:f>
      </x:c>
      <x:c r="G336" s="75" t="str">
        <x:f>IF($A336&lt;&gt;"",Katalog_Fiyatlayici!$AD336,"")</x:f>
      </x:c>
      <x:c r="H336" s="75" t="str">
        <x:f>IF($A336&lt;&gt;"",Katalog_Fiyatlayici!$B336,"")</x:f>
      </x:c>
      <x:c r="I336" s="75" t="str">
        <x:f>IF($A336&lt;&gt;"","MakerWorld model linkine göre tahmini 3D baskı fiyatı. Gerçek üretimden önce Bambu Studio ile gramaj ve süre doğrulanır.","")</x:f>
      </x:c>
      <x:c r="J336" s="75" t="str">
        <x:f>IF($A336&lt;&gt;"",TRUE,"")</x:f>
      </x:c>
      <x:c r="K336" s="75" t="str">
        <x:f>IF($A336&lt;&gt;"",FALSE,"")</x:f>
      </x:c>
      <x:c r="L336" s="75" t="str">
        <x:f>IF($A336&lt;&gt;"","Units","")</x:f>
      </x:c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75" t="str">
        <x:f>IF(Katalog_Fiyatlayici!$AC337="Fiyat Hazır",Katalog_Fiyatlayici!$AD337,"")</x:f>
      </x:c>
      <x:c r="B337" s="75" t="str">
        <x:f>IF($A337&lt;&gt;"",Katalog_Fiyatlayici!$AF337,"")</x:f>
      </x:c>
      <x:c r="C337" s="83" t="str">
        <x:f>IF($A337&lt;&gt;"",Katalog_Fiyatlayici!$AA337,"")</x:f>
      </x:c>
      <x:c r="D337" s="83" t="str">
        <x:f>IF($A337&lt;&gt;"",Katalog_Fiyatlayici!$W337,"")</x:f>
      </x:c>
      <x:c r="E337" s="75" t="str">
        <x:f>IF($A337&lt;&gt;"","Service","")</x:f>
      </x:c>
      <x:c r="F337" s="75" t="str">
        <x:f>IF($A337&lt;&gt;"",Katalog_Fiyatlayici!$AE337,"")</x:f>
      </x:c>
      <x:c r="G337" s="75" t="str">
        <x:f>IF($A337&lt;&gt;"",Katalog_Fiyatlayici!$AD337,"")</x:f>
      </x:c>
      <x:c r="H337" s="75" t="str">
        <x:f>IF($A337&lt;&gt;"",Katalog_Fiyatlayici!$B337,"")</x:f>
      </x:c>
      <x:c r="I337" s="75" t="str">
        <x:f>IF($A337&lt;&gt;"","MakerWorld model linkine göre tahmini 3D baskı fiyatı. Gerçek üretimden önce Bambu Studio ile gramaj ve süre doğrulanır.","")</x:f>
      </x:c>
      <x:c r="J337" s="75" t="str">
        <x:f>IF($A337&lt;&gt;"",TRUE,"")</x:f>
      </x:c>
      <x:c r="K337" s="75" t="str">
        <x:f>IF($A337&lt;&gt;"",FALSE,"")</x:f>
      </x:c>
      <x:c r="L337" s="75" t="str">
        <x:f>IF($A337&lt;&gt;"","Units","")</x:f>
      </x:c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75" t="str">
        <x:f>IF(Katalog_Fiyatlayici!$AC338="Fiyat Hazır",Katalog_Fiyatlayici!$AD338,"")</x:f>
      </x:c>
      <x:c r="B338" s="75" t="str">
        <x:f>IF($A338&lt;&gt;"",Katalog_Fiyatlayici!$AF338,"")</x:f>
      </x:c>
      <x:c r="C338" s="83" t="str">
        <x:f>IF($A338&lt;&gt;"",Katalog_Fiyatlayici!$AA338,"")</x:f>
      </x:c>
      <x:c r="D338" s="83" t="str">
        <x:f>IF($A338&lt;&gt;"",Katalog_Fiyatlayici!$W338,"")</x:f>
      </x:c>
      <x:c r="E338" s="75" t="str">
        <x:f>IF($A338&lt;&gt;"","Service","")</x:f>
      </x:c>
      <x:c r="F338" s="75" t="str">
        <x:f>IF($A338&lt;&gt;"",Katalog_Fiyatlayici!$AE338,"")</x:f>
      </x:c>
      <x:c r="G338" s="75" t="str">
        <x:f>IF($A338&lt;&gt;"",Katalog_Fiyatlayici!$AD338,"")</x:f>
      </x:c>
      <x:c r="H338" s="75" t="str">
        <x:f>IF($A338&lt;&gt;"",Katalog_Fiyatlayici!$B338,"")</x:f>
      </x:c>
      <x:c r="I338" s="75" t="str">
        <x:f>IF($A338&lt;&gt;"","MakerWorld model linkine göre tahmini 3D baskı fiyatı. Gerçek üretimden önce Bambu Studio ile gramaj ve süre doğrulanır.","")</x:f>
      </x:c>
      <x:c r="J338" s="75" t="str">
        <x:f>IF($A338&lt;&gt;"",TRUE,"")</x:f>
      </x:c>
      <x:c r="K338" s="75" t="str">
        <x:f>IF($A338&lt;&gt;"",FALSE,"")</x:f>
      </x:c>
      <x:c r="L338" s="75" t="str">
        <x:f>IF($A338&lt;&gt;"","Units","")</x:f>
      </x:c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75" t="str">
        <x:f>IF(Katalog_Fiyatlayici!$AC339="Fiyat Hazır",Katalog_Fiyatlayici!$AD339,"")</x:f>
      </x:c>
      <x:c r="B339" s="75" t="str">
        <x:f>IF($A339&lt;&gt;"",Katalog_Fiyatlayici!$AF339,"")</x:f>
      </x:c>
      <x:c r="C339" s="83" t="str">
        <x:f>IF($A339&lt;&gt;"",Katalog_Fiyatlayici!$AA339,"")</x:f>
      </x:c>
      <x:c r="D339" s="83" t="str">
        <x:f>IF($A339&lt;&gt;"",Katalog_Fiyatlayici!$W339,"")</x:f>
      </x:c>
      <x:c r="E339" s="75" t="str">
        <x:f>IF($A339&lt;&gt;"","Service","")</x:f>
      </x:c>
      <x:c r="F339" s="75" t="str">
        <x:f>IF($A339&lt;&gt;"",Katalog_Fiyatlayici!$AE339,"")</x:f>
      </x:c>
      <x:c r="G339" s="75" t="str">
        <x:f>IF($A339&lt;&gt;"",Katalog_Fiyatlayici!$AD339,"")</x:f>
      </x:c>
      <x:c r="H339" s="75" t="str">
        <x:f>IF($A339&lt;&gt;"",Katalog_Fiyatlayici!$B339,"")</x:f>
      </x:c>
      <x:c r="I339" s="75" t="str">
        <x:f>IF($A339&lt;&gt;"","MakerWorld model linkine göre tahmini 3D baskı fiyatı. Gerçek üretimden önce Bambu Studio ile gramaj ve süre doğrulanır.","")</x:f>
      </x:c>
      <x:c r="J339" s="75" t="str">
        <x:f>IF($A339&lt;&gt;"",TRUE,"")</x:f>
      </x:c>
      <x:c r="K339" s="75" t="str">
        <x:f>IF($A339&lt;&gt;"",FALSE,"")</x:f>
      </x:c>
      <x:c r="L339" s="75" t="str">
        <x:f>IF($A339&lt;&gt;"","Units","")</x:f>
      </x:c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75" t="str">
        <x:f>IF(Katalog_Fiyatlayici!$AC340="Fiyat Hazır",Katalog_Fiyatlayici!$AD340,"")</x:f>
      </x:c>
      <x:c r="B340" s="75" t="str">
        <x:f>IF($A340&lt;&gt;"",Katalog_Fiyatlayici!$AF340,"")</x:f>
      </x:c>
      <x:c r="C340" s="83" t="str">
        <x:f>IF($A340&lt;&gt;"",Katalog_Fiyatlayici!$AA340,"")</x:f>
      </x:c>
      <x:c r="D340" s="83" t="str">
        <x:f>IF($A340&lt;&gt;"",Katalog_Fiyatlayici!$W340,"")</x:f>
      </x:c>
      <x:c r="E340" s="75" t="str">
        <x:f>IF($A340&lt;&gt;"","Service","")</x:f>
      </x:c>
      <x:c r="F340" s="75" t="str">
        <x:f>IF($A340&lt;&gt;"",Katalog_Fiyatlayici!$AE340,"")</x:f>
      </x:c>
      <x:c r="G340" s="75" t="str">
        <x:f>IF($A340&lt;&gt;"",Katalog_Fiyatlayici!$AD340,"")</x:f>
      </x:c>
      <x:c r="H340" s="75" t="str">
        <x:f>IF($A340&lt;&gt;"",Katalog_Fiyatlayici!$B340,"")</x:f>
      </x:c>
      <x:c r="I340" s="75" t="str">
        <x:f>IF($A340&lt;&gt;"","MakerWorld model linkine göre tahmini 3D baskı fiyatı. Gerçek üretimden önce Bambu Studio ile gramaj ve süre doğrulanır.","")</x:f>
      </x:c>
      <x:c r="J340" s="75" t="str">
        <x:f>IF($A340&lt;&gt;"",TRUE,"")</x:f>
      </x:c>
      <x:c r="K340" s="75" t="str">
        <x:f>IF($A340&lt;&gt;"",FALSE,"")</x:f>
      </x:c>
      <x:c r="L340" s="75" t="str">
        <x:f>IF($A340&lt;&gt;"","Units","")</x:f>
      </x:c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75" t="str">
        <x:f>IF(Katalog_Fiyatlayici!$AC341="Fiyat Hazır",Katalog_Fiyatlayici!$AD341,"")</x:f>
      </x:c>
      <x:c r="B341" s="75" t="str">
        <x:f>IF($A341&lt;&gt;"",Katalog_Fiyatlayici!$AF341,"")</x:f>
      </x:c>
      <x:c r="C341" s="83" t="str">
        <x:f>IF($A341&lt;&gt;"",Katalog_Fiyatlayici!$AA341,"")</x:f>
      </x:c>
      <x:c r="D341" s="83" t="str">
        <x:f>IF($A341&lt;&gt;"",Katalog_Fiyatlayici!$W341,"")</x:f>
      </x:c>
      <x:c r="E341" s="75" t="str">
        <x:f>IF($A341&lt;&gt;"","Service","")</x:f>
      </x:c>
      <x:c r="F341" s="75" t="str">
        <x:f>IF($A341&lt;&gt;"",Katalog_Fiyatlayici!$AE341,"")</x:f>
      </x:c>
      <x:c r="G341" s="75" t="str">
        <x:f>IF($A341&lt;&gt;"",Katalog_Fiyatlayici!$AD341,"")</x:f>
      </x:c>
      <x:c r="H341" s="75" t="str">
        <x:f>IF($A341&lt;&gt;"",Katalog_Fiyatlayici!$B341,"")</x:f>
      </x:c>
      <x:c r="I341" s="75" t="str">
        <x:f>IF($A341&lt;&gt;"","MakerWorld model linkine göre tahmini 3D baskı fiyatı. Gerçek üretimden önce Bambu Studio ile gramaj ve süre doğrulanır.","")</x:f>
      </x:c>
      <x:c r="J341" s="75" t="str">
        <x:f>IF($A341&lt;&gt;"",TRUE,"")</x:f>
      </x:c>
      <x:c r="K341" s="75" t="str">
        <x:f>IF($A341&lt;&gt;"",FALSE,"")</x:f>
      </x:c>
      <x:c r="L341" s="75" t="str">
        <x:f>IF($A341&lt;&gt;"","Units","")</x:f>
      </x:c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75" t="str">
        <x:f>IF(Katalog_Fiyatlayici!$AC342="Fiyat Hazır",Katalog_Fiyatlayici!$AD342,"")</x:f>
      </x:c>
      <x:c r="B342" s="75" t="str">
        <x:f>IF($A342&lt;&gt;"",Katalog_Fiyatlayici!$AF342,"")</x:f>
      </x:c>
      <x:c r="C342" s="83" t="str">
        <x:f>IF($A342&lt;&gt;"",Katalog_Fiyatlayici!$AA342,"")</x:f>
      </x:c>
      <x:c r="D342" s="83" t="str">
        <x:f>IF($A342&lt;&gt;"",Katalog_Fiyatlayici!$W342,"")</x:f>
      </x:c>
      <x:c r="E342" s="75" t="str">
        <x:f>IF($A342&lt;&gt;"","Service","")</x:f>
      </x:c>
      <x:c r="F342" s="75" t="str">
        <x:f>IF($A342&lt;&gt;"",Katalog_Fiyatlayici!$AE342,"")</x:f>
      </x:c>
      <x:c r="G342" s="75" t="str">
        <x:f>IF($A342&lt;&gt;"",Katalog_Fiyatlayici!$AD342,"")</x:f>
      </x:c>
      <x:c r="H342" s="75" t="str">
        <x:f>IF($A342&lt;&gt;"",Katalog_Fiyatlayici!$B342,"")</x:f>
      </x:c>
      <x:c r="I342" s="75" t="str">
        <x:f>IF($A342&lt;&gt;"","MakerWorld model linkine göre tahmini 3D baskı fiyatı. Gerçek üretimden önce Bambu Studio ile gramaj ve süre doğrulanır.","")</x:f>
      </x:c>
      <x:c r="J342" s="75" t="str">
        <x:f>IF($A342&lt;&gt;"",TRUE,"")</x:f>
      </x:c>
      <x:c r="K342" s="75" t="str">
        <x:f>IF($A342&lt;&gt;"",FALSE,"")</x:f>
      </x:c>
      <x:c r="L342" s="75" t="str">
        <x:f>IF($A342&lt;&gt;"","Units","")</x:f>
      </x:c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75" t="str">
        <x:f>IF(Katalog_Fiyatlayici!$AC343="Fiyat Hazır",Katalog_Fiyatlayici!$AD343,"")</x:f>
      </x:c>
      <x:c r="B343" s="75" t="str">
        <x:f>IF($A343&lt;&gt;"",Katalog_Fiyatlayici!$AF343,"")</x:f>
      </x:c>
      <x:c r="C343" s="83" t="str">
        <x:f>IF($A343&lt;&gt;"",Katalog_Fiyatlayici!$AA343,"")</x:f>
      </x:c>
      <x:c r="D343" s="83" t="str">
        <x:f>IF($A343&lt;&gt;"",Katalog_Fiyatlayici!$W343,"")</x:f>
      </x:c>
      <x:c r="E343" s="75" t="str">
        <x:f>IF($A343&lt;&gt;"","Service","")</x:f>
      </x:c>
      <x:c r="F343" s="75" t="str">
        <x:f>IF($A343&lt;&gt;"",Katalog_Fiyatlayici!$AE343,"")</x:f>
      </x:c>
      <x:c r="G343" s="75" t="str">
        <x:f>IF($A343&lt;&gt;"",Katalog_Fiyatlayici!$AD343,"")</x:f>
      </x:c>
      <x:c r="H343" s="75" t="str">
        <x:f>IF($A343&lt;&gt;"",Katalog_Fiyatlayici!$B343,"")</x:f>
      </x:c>
      <x:c r="I343" s="75" t="str">
        <x:f>IF($A343&lt;&gt;"","MakerWorld model linkine göre tahmini 3D baskı fiyatı. Gerçek üretimden önce Bambu Studio ile gramaj ve süre doğrulanır.","")</x:f>
      </x:c>
      <x:c r="J343" s="75" t="str">
        <x:f>IF($A343&lt;&gt;"",TRUE,"")</x:f>
      </x:c>
      <x:c r="K343" s="75" t="str">
        <x:f>IF($A343&lt;&gt;"",FALSE,"")</x:f>
      </x:c>
      <x:c r="L343" s="75" t="str">
        <x:f>IF($A343&lt;&gt;"","Units","")</x:f>
      </x:c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75" t="str">
        <x:f>IF(Katalog_Fiyatlayici!$AC344="Fiyat Hazır",Katalog_Fiyatlayici!$AD344,"")</x:f>
      </x:c>
      <x:c r="B344" s="75" t="str">
        <x:f>IF($A344&lt;&gt;"",Katalog_Fiyatlayici!$AF344,"")</x:f>
      </x:c>
      <x:c r="C344" s="83" t="str">
        <x:f>IF($A344&lt;&gt;"",Katalog_Fiyatlayici!$AA344,"")</x:f>
      </x:c>
      <x:c r="D344" s="83" t="str">
        <x:f>IF($A344&lt;&gt;"",Katalog_Fiyatlayici!$W344,"")</x:f>
      </x:c>
      <x:c r="E344" s="75" t="str">
        <x:f>IF($A344&lt;&gt;"","Service","")</x:f>
      </x:c>
      <x:c r="F344" s="75" t="str">
        <x:f>IF($A344&lt;&gt;"",Katalog_Fiyatlayici!$AE344,"")</x:f>
      </x:c>
      <x:c r="G344" s="75" t="str">
        <x:f>IF($A344&lt;&gt;"",Katalog_Fiyatlayici!$AD344,"")</x:f>
      </x:c>
      <x:c r="H344" s="75" t="str">
        <x:f>IF($A344&lt;&gt;"",Katalog_Fiyatlayici!$B344,"")</x:f>
      </x:c>
      <x:c r="I344" s="75" t="str">
        <x:f>IF($A344&lt;&gt;"","MakerWorld model linkine göre tahmini 3D baskı fiyatı. Gerçek üretimden önce Bambu Studio ile gramaj ve süre doğrulanır.","")</x:f>
      </x:c>
      <x:c r="J344" s="75" t="str">
        <x:f>IF($A344&lt;&gt;"",TRUE,"")</x:f>
      </x:c>
      <x:c r="K344" s="75" t="str">
        <x:f>IF($A344&lt;&gt;"",FALSE,"")</x:f>
      </x:c>
      <x:c r="L344" s="75" t="str">
        <x:f>IF($A344&lt;&gt;"","Units","")</x:f>
      </x:c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75" t="str">
        <x:f>IF(Katalog_Fiyatlayici!$AC345="Fiyat Hazır",Katalog_Fiyatlayici!$AD345,"")</x:f>
      </x:c>
      <x:c r="B345" s="75" t="str">
        <x:f>IF($A345&lt;&gt;"",Katalog_Fiyatlayici!$AF345,"")</x:f>
      </x:c>
      <x:c r="C345" s="83" t="str">
        <x:f>IF($A345&lt;&gt;"",Katalog_Fiyatlayici!$AA345,"")</x:f>
      </x:c>
      <x:c r="D345" s="83" t="str">
        <x:f>IF($A345&lt;&gt;"",Katalog_Fiyatlayici!$W345,"")</x:f>
      </x:c>
      <x:c r="E345" s="75" t="str">
        <x:f>IF($A345&lt;&gt;"","Service","")</x:f>
      </x:c>
      <x:c r="F345" s="75" t="str">
        <x:f>IF($A345&lt;&gt;"",Katalog_Fiyatlayici!$AE345,"")</x:f>
      </x:c>
      <x:c r="G345" s="75" t="str">
        <x:f>IF($A345&lt;&gt;"",Katalog_Fiyatlayici!$AD345,"")</x:f>
      </x:c>
      <x:c r="H345" s="75" t="str">
        <x:f>IF($A345&lt;&gt;"",Katalog_Fiyatlayici!$B345,"")</x:f>
      </x:c>
      <x:c r="I345" s="75" t="str">
        <x:f>IF($A345&lt;&gt;"","MakerWorld model linkine göre tahmini 3D baskı fiyatı. Gerçek üretimden önce Bambu Studio ile gramaj ve süre doğrulanır.","")</x:f>
      </x:c>
      <x:c r="J345" s="75" t="str">
        <x:f>IF($A345&lt;&gt;"",TRUE,"")</x:f>
      </x:c>
      <x:c r="K345" s="75" t="str">
        <x:f>IF($A345&lt;&gt;"",FALSE,"")</x:f>
      </x:c>
      <x:c r="L345" s="75" t="str">
        <x:f>IF($A345&lt;&gt;"","Units","")</x:f>
      </x:c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75" t="str">
        <x:f>IF(Katalog_Fiyatlayici!$AC346="Fiyat Hazır",Katalog_Fiyatlayici!$AD346,"")</x:f>
      </x:c>
      <x:c r="B346" s="75" t="str">
        <x:f>IF($A346&lt;&gt;"",Katalog_Fiyatlayici!$AF346,"")</x:f>
      </x:c>
      <x:c r="C346" s="83" t="str">
        <x:f>IF($A346&lt;&gt;"",Katalog_Fiyatlayici!$AA346,"")</x:f>
      </x:c>
      <x:c r="D346" s="83" t="str">
        <x:f>IF($A346&lt;&gt;"",Katalog_Fiyatlayici!$W346,"")</x:f>
      </x:c>
      <x:c r="E346" s="75" t="str">
        <x:f>IF($A346&lt;&gt;"","Service","")</x:f>
      </x:c>
      <x:c r="F346" s="75" t="str">
        <x:f>IF($A346&lt;&gt;"",Katalog_Fiyatlayici!$AE346,"")</x:f>
      </x:c>
      <x:c r="G346" s="75" t="str">
        <x:f>IF($A346&lt;&gt;"",Katalog_Fiyatlayici!$AD346,"")</x:f>
      </x:c>
      <x:c r="H346" s="75" t="str">
        <x:f>IF($A346&lt;&gt;"",Katalog_Fiyatlayici!$B346,"")</x:f>
      </x:c>
      <x:c r="I346" s="75" t="str">
        <x:f>IF($A346&lt;&gt;"","MakerWorld model linkine göre tahmini 3D baskı fiyatı. Gerçek üretimden önce Bambu Studio ile gramaj ve süre doğrulanır.","")</x:f>
      </x:c>
      <x:c r="J346" s="75" t="str">
        <x:f>IF($A346&lt;&gt;"",TRUE,"")</x:f>
      </x:c>
      <x:c r="K346" s="75" t="str">
        <x:f>IF($A346&lt;&gt;"",FALSE,"")</x:f>
      </x:c>
      <x:c r="L346" s="75" t="str">
        <x:f>IF($A346&lt;&gt;"","Units","")</x:f>
      </x:c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75" t="str">
        <x:f>IF(Katalog_Fiyatlayici!$AC347="Fiyat Hazır",Katalog_Fiyatlayici!$AD347,"")</x:f>
      </x:c>
      <x:c r="B347" s="75" t="str">
        <x:f>IF($A347&lt;&gt;"",Katalog_Fiyatlayici!$AF347,"")</x:f>
      </x:c>
      <x:c r="C347" s="83" t="str">
        <x:f>IF($A347&lt;&gt;"",Katalog_Fiyatlayici!$AA347,"")</x:f>
      </x:c>
      <x:c r="D347" s="83" t="str">
        <x:f>IF($A347&lt;&gt;"",Katalog_Fiyatlayici!$W347,"")</x:f>
      </x:c>
      <x:c r="E347" s="75" t="str">
        <x:f>IF($A347&lt;&gt;"","Service","")</x:f>
      </x:c>
      <x:c r="F347" s="75" t="str">
        <x:f>IF($A347&lt;&gt;"",Katalog_Fiyatlayici!$AE347,"")</x:f>
      </x:c>
      <x:c r="G347" s="75" t="str">
        <x:f>IF($A347&lt;&gt;"",Katalog_Fiyatlayici!$AD347,"")</x:f>
      </x:c>
      <x:c r="H347" s="75" t="str">
        <x:f>IF($A347&lt;&gt;"",Katalog_Fiyatlayici!$B347,"")</x:f>
      </x:c>
      <x:c r="I347" s="75" t="str">
        <x:f>IF($A347&lt;&gt;"","MakerWorld model linkine göre tahmini 3D baskı fiyatı. Gerçek üretimden önce Bambu Studio ile gramaj ve süre doğrulanır.","")</x:f>
      </x:c>
      <x:c r="J347" s="75" t="str">
        <x:f>IF($A347&lt;&gt;"",TRUE,"")</x:f>
      </x:c>
      <x:c r="K347" s="75" t="str">
        <x:f>IF($A347&lt;&gt;"",FALSE,"")</x:f>
      </x:c>
      <x:c r="L347" s="75" t="str">
        <x:f>IF($A347&lt;&gt;"","Units","")</x:f>
      </x:c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75" t="str">
        <x:f>IF(Katalog_Fiyatlayici!$AC348="Fiyat Hazır",Katalog_Fiyatlayici!$AD348,"")</x:f>
      </x:c>
      <x:c r="B348" s="75" t="str">
        <x:f>IF($A348&lt;&gt;"",Katalog_Fiyatlayici!$AF348,"")</x:f>
      </x:c>
      <x:c r="C348" s="83" t="str">
        <x:f>IF($A348&lt;&gt;"",Katalog_Fiyatlayici!$AA348,"")</x:f>
      </x:c>
      <x:c r="D348" s="83" t="str">
        <x:f>IF($A348&lt;&gt;"",Katalog_Fiyatlayici!$W348,"")</x:f>
      </x:c>
      <x:c r="E348" s="75" t="str">
        <x:f>IF($A348&lt;&gt;"","Service","")</x:f>
      </x:c>
      <x:c r="F348" s="75" t="str">
        <x:f>IF($A348&lt;&gt;"",Katalog_Fiyatlayici!$AE348,"")</x:f>
      </x:c>
      <x:c r="G348" s="75" t="str">
        <x:f>IF($A348&lt;&gt;"",Katalog_Fiyatlayici!$AD348,"")</x:f>
      </x:c>
      <x:c r="H348" s="75" t="str">
        <x:f>IF($A348&lt;&gt;"",Katalog_Fiyatlayici!$B348,"")</x:f>
      </x:c>
      <x:c r="I348" s="75" t="str">
        <x:f>IF($A348&lt;&gt;"","MakerWorld model linkine göre tahmini 3D baskı fiyatı. Gerçek üretimden önce Bambu Studio ile gramaj ve süre doğrulanır.","")</x:f>
      </x:c>
      <x:c r="J348" s="75" t="str">
        <x:f>IF($A348&lt;&gt;"",TRUE,"")</x:f>
      </x:c>
      <x:c r="K348" s="75" t="str">
        <x:f>IF($A348&lt;&gt;"",FALSE,"")</x:f>
      </x:c>
      <x:c r="L348" s="75" t="str">
        <x:f>IF($A348&lt;&gt;"","Units","")</x:f>
      </x:c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75" t="str">
        <x:f>IF(Katalog_Fiyatlayici!$AC349="Fiyat Hazır",Katalog_Fiyatlayici!$AD349,"")</x:f>
      </x:c>
      <x:c r="B349" s="75" t="str">
        <x:f>IF($A349&lt;&gt;"",Katalog_Fiyatlayici!$AF349,"")</x:f>
      </x:c>
      <x:c r="C349" s="83" t="str">
        <x:f>IF($A349&lt;&gt;"",Katalog_Fiyatlayici!$AA349,"")</x:f>
      </x:c>
      <x:c r="D349" s="83" t="str">
        <x:f>IF($A349&lt;&gt;"",Katalog_Fiyatlayici!$W349,"")</x:f>
      </x:c>
      <x:c r="E349" s="75" t="str">
        <x:f>IF($A349&lt;&gt;"","Service","")</x:f>
      </x:c>
      <x:c r="F349" s="75" t="str">
        <x:f>IF($A349&lt;&gt;"",Katalog_Fiyatlayici!$AE349,"")</x:f>
      </x:c>
      <x:c r="G349" s="75" t="str">
        <x:f>IF($A349&lt;&gt;"",Katalog_Fiyatlayici!$AD349,"")</x:f>
      </x:c>
      <x:c r="H349" s="75" t="str">
        <x:f>IF($A349&lt;&gt;"",Katalog_Fiyatlayici!$B349,"")</x:f>
      </x:c>
      <x:c r="I349" s="75" t="str">
        <x:f>IF($A349&lt;&gt;"","MakerWorld model linkine göre tahmini 3D baskı fiyatı. Gerçek üretimden önce Bambu Studio ile gramaj ve süre doğrulanır.","")</x:f>
      </x:c>
      <x:c r="J349" s="75" t="str">
        <x:f>IF($A349&lt;&gt;"",TRUE,"")</x:f>
      </x:c>
      <x:c r="K349" s="75" t="str">
        <x:f>IF($A349&lt;&gt;"",FALSE,"")</x:f>
      </x:c>
      <x:c r="L349" s="75" t="str">
        <x:f>IF($A349&lt;&gt;"","Units","")</x:f>
      </x:c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75" t="str">
        <x:f>IF(Katalog_Fiyatlayici!$AC350="Fiyat Hazır",Katalog_Fiyatlayici!$AD350,"")</x:f>
      </x:c>
      <x:c r="B350" s="75" t="str">
        <x:f>IF($A350&lt;&gt;"",Katalog_Fiyatlayici!$AF350,"")</x:f>
      </x:c>
      <x:c r="C350" s="83" t="str">
        <x:f>IF($A350&lt;&gt;"",Katalog_Fiyatlayici!$AA350,"")</x:f>
      </x:c>
      <x:c r="D350" s="83" t="str">
        <x:f>IF($A350&lt;&gt;"",Katalog_Fiyatlayici!$W350,"")</x:f>
      </x:c>
      <x:c r="E350" s="75" t="str">
        <x:f>IF($A350&lt;&gt;"","Service","")</x:f>
      </x:c>
      <x:c r="F350" s="75" t="str">
        <x:f>IF($A350&lt;&gt;"",Katalog_Fiyatlayici!$AE350,"")</x:f>
      </x:c>
      <x:c r="G350" s="75" t="str">
        <x:f>IF($A350&lt;&gt;"",Katalog_Fiyatlayici!$AD350,"")</x:f>
      </x:c>
      <x:c r="H350" s="75" t="str">
        <x:f>IF($A350&lt;&gt;"",Katalog_Fiyatlayici!$B350,"")</x:f>
      </x:c>
      <x:c r="I350" s="75" t="str">
        <x:f>IF($A350&lt;&gt;"","MakerWorld model linkine göre tahmini 3D baskı fiyatı. Gerçek üretimden önce Bambu Studio ile gramaj ve süre doğrulanır.","")</x:f>
      </x:c>
      <x:c r="J350" s="75" t="str">
        <x:f>IF($A350&lt;&gt;"",TRUE,"")</x:f>
      </x:c>
      <x:c r="K350" s="75" t="str">
        <x:f>IF($A350&lt;&gt;"",FALSE,"")</x:f>
      </x:c>
      <x:c r="L350" s="75" t="str">
        <x:f>IF($A350&lt;&gt;"","Units","")</x:f>
      </x:c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75" t="str">
        <x:f>IF(Katalog_Fiyatlayici!$AC351="Fiyat Hazır",Katalog_Fiyatlayici!$AD351,"")</x:f>
      </x:c>
      <x:c r="B351" s="75" t="str">
        <x:f>IF($A351&lt;&gt;"",Katalog_Fiyatlayici!$AF351,"")</x:f>
      </x:c>
      <x:c r="C351" s="83" t="str">
        <x:f>IF($A351&lt;&gt;"",Katalog_Fiyatlayici!$AA351,"")</x:f>
      </x:c>
      <x:c r="D351" s="83" t="str">
        <x:f>IF($A351&lt;&gt;"",Katalog_Fiyatlayici!$W351,"")</x:f>
      </x:c>
      <x:c r="E351" s="75" t="str">
        <x:f>IF($A351&lt;&gt;"","Service","")</x:f>
      </x:c>
      <x:c r="F351" s="75" t="str">
        <x:f>IF($A351&lt;&gt;"",Katalog_Fiyatlayici!$AE351,"")</x:f>
      </x:c>
      <x:c r="G351" s="75" t="str">
        <x:f>IF($A351&lt;&gt;"",Katalog_Fiyatlayici!$AD351,"")</x:f>
      </x:c>
      <x:c r="H351" s="75" t="str">
        <x:f>IF($A351&lt;&gt;"",Katalog_Fiyatlayici!$B351,"")</x:f>
      </x:c>
      <x:c r="I351" s="75" t="str">
        <x:f>IF($A351&lt;&gt;"","MakerWorld model linkine göre tahmini 3D baskı fiyatı. Gerçek üretimden önce Bambu Studio ile gramaj ve süre doğrulanır.","")</x:f>
      </x:c>
      <x:c r="J351" s="75" t="str">
        <x:f>IF($A351&lt;&gt;"",TRUE,"")</x:f>
      </x:c>
      <x:c r="K351" s="75" t="str">
        <x:f>IF($A351&lt;&gt;"",FALSE,"")</x:f>
      </x:c>
      <x:c r="L351" s="75" t="str">
        <x:f>IF($A351&lt;&gt;"","Units","")</x:f>
      </x:c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75" t="str">
        <x:f>IF(Katalog_Fiyatlayici!$AC352="Fiyat Hazır",Katalog_Fiyatlayici!$AD352,"")</x:f>
      </x:c>
      <x:c r="B352" s="75" t="str">
        <x:f>IF($A352&lt;&gt;"",Katalog_Fiyatlayici!$AF352,"")</x:f>
      </x:c>
      <x:c r="C352" s="83" t="str">
        <x:f>IF($A352&lt;&gt;"",Katalog_Fiyatlayici!$AA352,"")</x:f>
      </x:c>
      <x:c r="D352" s="83" t="str">
        <x:f>IF($A352&lt;&gt;"",Katalog_Fiyatlayici!$W352,"")</x:f>
      </x:c>
      <x:c r="E352" s="75" t="str">
        <x:f>IF($A352&lt;&gt;"","Service","")</x:f>
      </x:c>
      <x:c r="F352" s="75" t="str">
        <x:f>IF($A352&lt;&gt;"",Katalog_Fiyatlayici!$AE352,"")</x:f>
      </x:c>
      <x:c r="G352" s="75" t="str">
        <x:f>IF($A352&lt;&gt;"",Katalog_Fiyatlayici!$AD352,"")</x:f>
      </x:c>
      <x:c r="H352" s="75" t="str">
        <x:f>IF($A352&lt;&gt;"",Katalog_Fiyatlayici!$B352,"")</x:f>
      </x:c>
      <x:c r="I352" s="75" t="str">
        <x:f>IF($A352&lt;&gt;"","MakerWorld model linkine göre tahmini 3D baskı fiyatı. Gerçek üretimden önce Bambu Studio ile gramaj ve süre doğrulanır.","")</x:f>
      </x:c>
      <x:c r="J352" s="75" t="str">
        <x:f>IF($A352&lt;&gt;"",TRUE,"")</x:f>
      </x:c>
      <x:c r="K352" s="75" t="str">
        <x:f>IF($A352&lt;&gt;"",FALSE,"")</x:f>
      </x:c>
      <x:c r="L352" s="75" t="str">
        <x:f>IF($A352&lt;&gt;"","Units","")</x:f>
      </x:c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75" t="str">
        <x:f>IF(Katalog_Fiyatlayici!$AC353="Fiyat Hazır",Katalog_Fiyatlayici!$AD353,"")</x:f>
      </x:c>
      <x:c r="B353" s="75" t="str">
        <x:f>IF($A353&lt;&gt;"",Katalog_Fiyatlayici!$AF353,"")</x:f>
      </x:c>
      <x:c r="C353" s="83" t="str">
        <x:f>IF($A353&lt;&gt;"",Katalog_Fiyatlayici!$AA353,"")</x:f>
      </x:c>
      <x:c r="D353" s="83" t="str">
        <x:f>IF($A353&lt;&gt;"",Katalog_Fiyatlayici!$W353,"")</x:f>
      </x:c>
      <x:c r="E353" s="75" t="str">
        <x:f>IF($A353&lt;&gt;"","Service","")</x:f>
      </x:c>
      <x:c r="F353" s="75" t="str">
        <x:f>IF($A353&lt;&gt;"",Katalog_Fiyatlayici!$AE353,"")</x:f>
      </x:c>
      <x:c r="G353" s="75" t="str">
        <x:f>IF($A353&lt;&gt;"",Katalog_Fiyatlayici!$AD353,"")</x:f>
      </x:c>
      <x:c r="H353" s="75" t="str">
        <x:f>IF($A353&lt;&gt;"",Katalog_Fiyatlayici!$B353,"")</x:f>
      </x:c>
      <x:c r="I353" s="75" t="str">
        <x:f>IF($A353&lt;&gt;"","MakerWorld model linkine göre tahmini 3D baskı fiyatı. Gerçek üretimden önce Bambu Studio ile gramaj ve süre doğrulanır.","")</x:f>
      </x:c>
      <x:c r="J353" s="75" t="str">
        <x:f>IF($A353&lt;&gt;"",TRUE,"")</x:f>
      </x:c>
      <x:c r="K353" s="75" t="str">
        <x:f>IF($A353&lt;&gt;"",FALSE,"")</x:f>
      </x:c>
      <x:c r="L353" s="75" t="str">
        <x:f>IF($A353&lt;&gt;"","Units","")</x:f>
      </x:c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75" t="str">
        <x:f>IF(Katalog_Fiyatlayici!$AC354="Fiyat Hazır",Katalog_Fiyatlayici!$AD354,"")</x:f>
      </x:c>
      <x:c r="B354" s="75" t="str">
        <x:f>IF($A354&lt;&gt;"",Katalog_Fiyatlayici!$AF354,"")</x:f>
      </x:c>
      <x:c r="C354" s="83" t="str">
        <x:f>IF($A354&lt;&gt;"",Katalog_Fiyatlayici!$AA354,"")</x:f>
      </x:c>
      <x:c r="D354" s="83" t="str">
        <x:f>IF($A354&lt;&gt;"",Katalog_Fiyatlayici!$W354,"")</x:f>
      </x:c>
      <x:c r="E354" s="75" t="str">
        <x:f>IF($A354&lt;&gt;"","Service","")</x:f>
      </x:c>
      <x:c r="F354" s="75" t="str">
        <x:f>IF($A354&lt;&gt;"",Katalog_Fiyatlayici!$AE354,"")</x:f>
      </x:c>
      <x:c r="G354" s="75" t="str">
        <x:f>IF($A354&lt;&gt;"",Katalog_Fiyatlayici!$AD354,"")</x:f>
      </x:c>
      <x:c r="H354" s="75" t="str">
        <x:f>IF($A354&lt;&gt;"",Katalog_Fiyatlayici!$B354,"")</x:f>
      </x:c>
      <x:c r="I354" s="75" t="str">
        <x:f>IF($A354&lt;&gt;"","MakerWorld model linkine göre tahmini 3D baskı fiyatı. Gerçek üretimden önce Bambu Studio ile gramaj ve süre doğrulanır.","")</x:f>
      </x:c>
      <x:c r="J354" s="75" t="str">
        <x:f>IF($A354&lt;&gt;"",TRUE,"")</x:f>
      </x:c>
      <x:c r="K354" s="75" t="str">
        <x:f>IF($A354&lt;&gt;"",FALSE,"")</x:f>
      </x:c>
      <x:c r="L354" s="75" t="str">
        <x:f>IF($A354&lt;&gt;"","Units","")</x:f>
      </x:c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75" t="str">
        <x:f>IF(Katalog_Fiyatlayici!$AC355="Fiyat Hazır",Katalog_Fiyatlayici!$AD355,"")</x:f>
      </x:c>
      <x:c r="B355" s="75" t="str">
        <x:f>IF($A355&lt;&gt;"",Katalog_Fiyatlayici!$AF355,"")</x:f>
      </x:c>
      <x:c r="C355" s="83" t="str">
        <x:f>IF($A355&lt;&gt;"",Katalog_Fiyatlayici!$AA355,"")</x:f>
      </x:c>
      <x:c r="D355" s="83" t="str">
        <x:f>IF($A355&lt;&gt;"",Katalog_Fiyatlayici!$W355,"")</x:f>
      </x:c>
      <x:c r="E355" s="75" t="str">
        <x:f>IF($A355&lt;&gt;"","Service","")</x:f>
      </x:c>
      <x:c r="F355" s="75" t="str">
        <x:f>IF($A355&lt;&gt;"",Katalog_Fiyatlayici!$AE355,"")</x:f>
      </x:c>
      <x:c r="G355" s="75" t="str">
        <x:f>IF($A355&lt;&gt;"",Katalog_Fiyatlayici!$AD355,"")</x:f>
      </x:c>
      <x:c r="H355" s="75" t="str">
        <x:f>IF($A355&lt;&gt;"",Katalog_Fiyatlayici!$B355,"")</x:f>
      </x:c>
      <x:c r="I355" s="75" t="str">
        <x:f>IF($A355&lt;&gt;"","MakerWorld model linkine göre tahmini 3D baskı fiyatı. Gerçek üretimden önce Bambu Studio ile gramaj ve süre doğrulanır.","")</x:f>
      </x:c>
      <x:c r="J355" s="75" t="str">
        <x:f>IF($A355&lt;&gt;"",TRUE,"")</x:f>
      </x:c>
      <x:c r="K355" s="75" t="str">
        <x:f>IF($A355&lt;&gt;"",FALSE,"")</x:f>
      </x:c>
      <x:c r="L355" s="75" t="str">
        <x:f>IF($A355&lt;&gt;"","Units","")</x:f>
      </x:c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75" t="str">
        <x:f>IF(Katalog_Fiyatlayici!$AC356="Fiyat Hazır",Katalog_Fiyatlayici!$AD356,"")</x:f>
      </x:c>
      <x:c r="B356" s="75" t="str">
        <x:f>IF($A356&lt;&gt;"",Katalog_Fiyatlayici!$AF356,"")</x:f>
      </x:c>
      <x:c r="C356" s="83" t="str">
        <x:f>IF($A356&lt;&gt;"",Katalog_Fiyatlayici!$AA356,"")</x:f>
      </x:c>
      <x:c r="D356" s="83" t="str">
        <x:f>IF($A356&lt;&gt;"",Katalog_Fiyatlayici!$W356,"")</x:f>
      </x:c>
      <x:c r="E356" s="75" t="str">
        <x:f>IF($A356&lt;&gt;"","Service","")</x:f>
      </x:c>
      <x:c r="F356" s="75" t="str">
        <x:f>IF($A356&lt;&gt;"",Katalog_Fiyatlayici!$AE356,"")</x:f>
      </x:c>
      <x:c r="G356" s="75" t="str">
        <x:f>IF($A356&lt;&gt;"",Katalog_Fiyatlayici!$AD356,"")</x:f>
      </x:c>
      <x:c r="H356" s="75" t="str">
        <x:f>IF($A356&lt;&gt;"",Katalog_Fiyatlayici!$B356,"")</x:f>
      </x:c>
      <x:c r="I356" s="75" t="str">
        <x:f>IF($A356&lt;&gt;"","MakerWorld model linkine göre tahmini 3D baskı fiyatı. Gerçek üretimden önce Bambu Studio ile gramaj ve süre doğrulanır.","")</x:f>
      </x:c>
      <x:c r="J356" s="75" t="str">
        <x:f>IF($A356&lt;&gt;"",TRUE,"")</x:f>
      </x:c>
      <x:c r="K356" s="75" t="str">
        <x:f>IF($A356&lt;&gt;"",FALSE,"")</x:f>
      </x:c>
      <x:c r="L356" s="75" t="str">
        <x:f>IF($A356&lt;&gt;"","Units","")</x:f>
      </x:c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75" t="str">
        <x:f>IF(Katalog_Fiyatlayici!$AC357="Fiyat Hazır",Katalog_Fiyatlayici!$AD357,"")</x:f>
      </x:c>
      <x:c r="B357" s="75" t="str">
        <x:f>IF($A357&lt;&gt;"",Katalog_Fiyatlayici!$AF357,"")</x:f>
      </x:c>
      <x:c r="C357" s="83" t="str">
        <x:f>IF($A357&lt;&gt;"",Katalog_Fiyatlayici!$AA357,"")</x:f>
      </x:c>
      <x:c r="D357" s="83" t="str">
        <x:f>IF($A357&lt;&gt;"",Katalog_Fiyatlayici!$W357,"")</x:f>
      </x:c>
      <x:c r="E357" s="75" t="str">
        <x:f>IF($A357&lt;&gt;"","Service","")</x:f>
      </x:c>
      <x:c r="F357" s="75" t="str">
        <x:f>IF($A357&lt;&gt;"",Katalog_Fiyatlayici!$AE357,"")</x:f>
      </x:c>
      <x:c r="G357" s="75" t="str">
        <x:f>IF($A357&lt;&gt;"",Katalog_Fiyatlayici!$AD357,"")</x:f>
      </x:c>
      <x:c r="H357" s="75" t="str">
        <x:f>IF($A357&lt;&gt;"",Katalog_Fiyatlayici!$B357,"")</x:f>
      </x:c>
      <x:c r="I357" s="75" t="str">
        <x:f>IF($A357&lt;&gt;"","MakerWorld model linkine göre tahmini 3D baskı fiyatı. Gerçek üretimden önce Bambu Studio ile gramaj ve süre doğrulanır.","")</x:f>
      </x:c>
      <x:c r="J357" s="75" t="str">
        <x:f>IF($A357&lt;&gt;"",TRUE,"")</x:f>
      </x:c>
      <x:c r="K357" s="75" t="str">
        <x:f>IF($A357&lt;&gt;"",FALSE,"")</x:f>
      </x:c>
      <x:c r="L357" s="75" t="str">
        <x:f>IF($A357&lt;&gt;"","Units","")</x:f>
      </x:c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75" t="str">
        <x:f>IF(Katalog_Fiyatlayici!$AC358="Fiyat Hazır",Katalog_Fiyatlayici!$AD358,"")</x:f>
      </x:c>
      <x:c r="B358" s="75" t="str">
        <x:f>IF($A358&lt;&gt;"",Katalog_Fiyatlayici!$AF358,"")</x:f>
      </x:c>
      <x:c r="C358" s="83" t="str">
        <x:f>IF($A358&lt;&gt;"",Katalog_Fiyatlayici!$AA358,"")</x:f>
      </x:c>
      <x:c r="D358" s="83" t="str">
        <x:f>IF($A358&lt;&gt;"",Katalog_Fiyatlayici!$W358,"")</x:f>
      </x:c>
      <x:c r="E358" s="75" t="str">
        <x:f>IF($A358&lt;&gt;"","Service","")</x:f>
      </x:c>
      <x:c r="F358" s="75" t="str">
        <x:f>IF($A358&lt;&gt;"",Katalog_Fiyatlayici!$AE358,"")</x:f>
      </x:c>
      <x:c r="G358" s="75" t="str">
        <x:f>IF($A358&lt;&gt;"",Katalog_Fiyatlayici!$AD358,"")</x:f>
      </x:c>
      <x:c r="H358" s="75" t="str">
        <x:f>IF($A358&lt;&gt;"",Katalog_Fiyatlayici!$B358,"")</x:f>
      </x:c>
      <x:c r="I358" s="75" t="str">
        <x:f>IF($A358&lt;&gt;"","MakerWorld model linkine göre tahmini 3D baskı fiyatı. Gerçek üretimden önce Bambu Studio ile gramaj ve süre doğrulanır.","")</x:f>
      </x:c>
      <x:c r="J358" s="75" t="str">
        <x:f>IF($A358&lt;&gt;"",TRUE,"")</x:f>
      </x:c>
      <x:c r="K358" s="75" t="str">
        <x:f>IF($A358&lt;&gt;"",FALSE,"")</x:f>
      </x:c>
      <x:c r="L358" s="75" t="str">
        <x:f>IF($A358&lt;&gt;"","Units","")</x:f>
      </x:c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75" t="str">
        <x:f>IF(Katalog_Fiyatlayici!$AC359="Fiyat Hazır",Katalog_Fiyatlayici!$AD359,"")</x:f>
      </x:c>
      <x:c r="B359" s="75" t="str">
        <x:f>IF($A359&lt;&gt;"",Katalog_Fiyatlayici!$AF359,"")</x:f>
      </x:c>
      <x:c r="C359" s="83" t="str">
        <x:f>IF($A359&lt;&gt;"",Katalog_Fiyatlayici!$AA359,"")</x:f>
      </x:c>
      <x:c r="D359" s="83" t="str">
        <x:f>IF($A359&lt;&gt;"",Katalog_Fiyatlayici!$W359,"")</x:f>
      </x:c>
      <x:c r="E359" s="75" t="str">
        <x:f>IF($A359&lt;&gt;"","Service","")</x:f>
      </x:c>
      <x:c r="F359" s="75" t="str">
        <x:f>IF($A359&lt;&gt;"",Katalog_Fiyatlayici!$AE359,"")</x:f>
      </x:c>
      <x:c r="G359" s="75" t="str">
        <x:f>IF($A359&lt;&gt;"",Katalog_Fiyatlayici!$AD359,"")</x:f>
      </x:c>
      <x:c r="H359" s="75" t="str">
        <x:f>IF($A359&lt;&gt;"",Katalog_Fiyatlayici!$B359,"")</x:f>
      </x:c>
      <x:c r="I359" s="75" t="str">
        <x:f>IF($A359&lt;&gt;"","MakerWorld model linkine göre tahmini 3D baskı fiyatı. Gerçek üretimden önce Bambu Studio ile gramaj ve süre doğrulanır.","")</x:f>
      </x:c>
      <x:c r="J359" s="75" t="str">
        <x:f>IF($A359&lt;&gt;"",TRUE,"")</x:f>
      </x:c>
      <x:c r="K359" s="75" t="str">
        <x:f>IF($A359&lt;&gt;"",FALSE,"")</x:f>
      </x:c>
      <x:c r="L359" s="75" t="str">
        <x:f>IF($A359&lt;&gt;"","Units","")</x:f>
      </x:c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75" t="str">
        <x:f>IF(Katalog_Fiyatlayici!$AC360="Fiyat Hazır",Katalog_Fiyatlayici!$AD360,"")</x:f>
      </x:c>
      <x:c r="B360" s="75" t="str">
        <x:f>IF($A360&lt;&gt;"",Katalog_Fiyatlayici!$AF360,"")</x:f>
      </x:c>
      <x:c r="C360" s="83" t="str">
        <x:f>IF($A360&lt;&gt;"",Katalog_Fiyatlayici!$AA360,"")</x:f>
      </x:c>
      <x:c r="D360" s="83" t="str">
        <x:f>IF($A360&lt;&gt;"",Katalog_Fiyatlayici!$W360,"")</x:f>
      </x:c>
      <x:c r="E360" s="75" t="str">
        <x:f>IF($A360&lt;&gt;"","Service","")</x:f>
      </x:c>
      <x:c r="F360" s="75" t="str">
        <x:f>IF($A360&lt;&gt;"",Katalog_Fiyatlayici!$AE360,"")</x:f>
      </x:c>
      <x:c r="G360" s="75" t="str">
        <x:f>IF($A360&lt;&gt;"",Katalog_Fiyatlayici!$AD360,"")</x:f>
      </x:c>
      <x:c r="H360" s="75" t="str">
        <x:f>IF($A360&lt;&gt;"",Katalog_Fiyatlayici!$B360,"")</x:f>
      </x:c>
      <x:c r="I360" s="75" t="str">
        <x:f>IF($A360&lt;&gt;"","MakerWorld model linkine göre tahmini 3D baskı fiyatı. Gerçek üretimden önce Bambu Studio ile gramaj ve süre doğrulanır.","")</x:f>
      </x:c>
      <x:c r="J360" s="75" t="str">
        <x:f>IF($A360&lt;&gt;"",TRUE,"")</x:f>
      </x:c>
      <x:c r="K360" s="75" t="str">
        <x:f>IF($A360&lt;&gt;"",FALSE,"")</x:f>
      </x:c>
      <x:c r="L360" s="75" t="str">
        <x:f>IF($A360&lt;&gt;"","Units","")</x:f>
      </x:c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75" t="str">
        <x:f>IF(Katalog_Fiyatlayici!$AC361="Fiyat Hazır",Katalog_Fiyatlayici!$AD361,"")</x:f>
      </x:c>
      <x:c r="B361" s="75" t="str">
        <x:f>IF($A361&lt;&gt;"",Katalog_Fiyatlayici!$AF361,"")</x:f>
      </x:c>
      <x:c r="C361" s="83" t="str">
        <x:f>IF($A361&lt;&gt;"",Katalog_Fiyatlayici!$AA361,"")</x:f>
      </x:c>
      <x:c r="D361" s="83" t="str">
        <x:f>IF($A361&lt;&gt;"",Katalog_Fiyatlayici!$W361,"")</x:f>
      </x:c>
      <x:c r="E361" s="75" t="str">
        <x:f>IF($A361&lt;&gt;"","Service","")</x:f>
      </x:c>
      <x:c r="F361" s="75" t="str">
        <x:f>IF($A361&lt;&gt;"",Katalog_Fiyatlayici!$AE361,"")</x:f>
      </x:c>
      <x:c r="G361" s="75" t="str">
        <x:f>IF($A361&lt;&gt;"",Katalog_Fiyatlayici!$AD361,"")</x:f>
      </x:c>
      <x:c r="H361" s="75" t="str">
        <x:f>IF($A361&lt;&gt;"",Katalog_Fiyatlayici!$B361,"")</x:f>
      </x:c>
      <x:c r="I361" s="75" t="str">
        <x:f>IF($A361&lt;&gt;"","MakerWorld model linkine göre tahmini 3D baskı fiyatı. Gerçek üretimden önce Bambu Studio ile gramaj ve süre doğrulanır.","")</x:f>
      </x:c>
      <x:c r="J361" s="75" t="str">
        <x:f>IF($A361&lt;&gt;"",TRUE,"")</x:f>
      </x:c>
      <x:c r="K361" s="75" t="str">
        <x:f>IF($A361&lt;&gt;"",FALSE,"")</x:f>
      </x:c>
      <x:c r="L361" s="75" t="str">
        <x:f>IF($A361&lt;&gt;"","Units","")</x:f>
      </x:c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75" t="str">
        <x:f>IF(Katalog_Fiyatlayici!$AC362="Fiyat Hazır",Katalog_Fiyatlayici!$AD362,"")</x:f>
      </x:c>
      <x:c r="B362" s="75" t="str">
        <x:f>IF($A362&lt;&gt;"",Katalog_Fiyatlayici!$AF362,"")</x:f>
      </x:c>
      <x:c r="C362" s="83" t="str">
        <x:f>IF($A362&lt;&gt;"",Katalog_Fiyatlayici!$AA362,"")</x:f>
      </x:c>
      <x:c r="D362" s="83" t="str">
        <x:f>IF($A362&lt;&gt;"",Katalog_Fiyatlayici!$W362,"")</x:f>
      </x:c>
      <x:c r="E362" s="75" t="str">
        <x:f>IF($A362&lt;&gt;"","Service","")</x:f>
      </x:c>
      <x:c r="F362" s="75" t="str">
        <x:f>IF($A362&lt;&gt;"",Katalog_Fiyatlayici!$AE362,"")</x:f>
      </x:c>
      <x:c r="G362" s="75" t="str">
        <x:f>IF($A362&lt;&gt;"",Katalog_Fiyatlayici!$AD362,"")</x:f>
      </x:c>
      <x:c r="H362" s="75" t="str">
        <x:f>IF($A362&lt;&gt;"",Katalog_Fiyatlayici!$B362,"")</x:f>
      </x:c>
      <x:c r="I362" s="75" t="str">
        <x:f>IF($A362&lt;&gt;"","MakerWorld model linkine göre tahmini 3D baskı fiyatı. Gerçek üretimden önce Bambu Studio ile gramaj ve süre doğrulanır.","")</x:f>
      </x:c>
      <x:c r="J362" s="75" t="str">
        <x:f>IF($A362&lt;&gt;"",TRUE,"")</x:f>
      </x:c>
      <x:c r="K362" s="75" t="str">
        <x:f>IF($A362&lt;&gt;"",FALSE,"")</x:f>
      </x:c>
      <x:c r="L362" s="75" t="str">
        <x:f>IF($A362&lt;&gt;"","Units","")</x:f>
      </x:c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75" t="str">
        <x:f>IF(Katalog_Fiyatlayici!$AC363="Fiyat Hazır",Katalog_Fiyatlayici!$AD363,"")</x:f>
      </x:c>
      <x:c r="B363" s="75" t="str">
        <x:f>IF($A363&lt;&gt;"",Katalog_Fiyatlayici!$AF363,"")</x:f>
      </x:c>
      <x:c r="C363" s="83" t="str">
        <x:f>IF($A363&lt;&gt;"",Katalog_Fiyatlayici!$AA363,"")</x:f>
      </x:c>
      <x:c r="D363" s="83" t="str">
        <x:f>IF($A363&lt;&gt;"",Katalog_Fiyatlayici!$W363,"")</x:f>
      </x:c>
      <x:c r="E363" s="75" t="str">
        <x:f>IF($A363&lt;&gt;"","Service","")</x:f>
      </x:c>
      <x:c r="F363" s="75" t="str">
        <x:f>IF($A363&lt;&gt;"",Katalog_Fiyatlayici!$AE363,"")</x:f>
      </x:c>
      <x:c r="G363" s="75" t="str">
        <x:f>IF($A363&lt;&gt;"",Katalog_Fiyatlayici!$AD363,"")</x:f>
      </x:c>
      <x:c r="H363" s="75" t="str">
        <x:f>IF($A363&lt;&gt;"",Katalog_Fiyatlayici!$B363,"")</x:f>
      </x:c>
      <x:c r="I363" s="75" t="str">
        <x:f>IF($A363&lt;&gt;"","MakerWorld model linkine göre tahmini 3D baskı fiyatı. Gerçek üretimden önce Bambu Studio ile gramaj ve süre doğrulanır.","")</x:f>
      </x:c>
      <x:c r="J363" s="75" t="str">
        <x:f>IF($A363&lt;&gt;"",TRUE,"")</x:f>
      </x:c>
      <x:c r="K363" s="75" t="str">
        <x:f>IF($A363&lt;&gt;"",FALSE,"")</x:f>
      </x:c>
      <x:c r="L363" s="75" t="str">
        <x:f>IF($A363&lt;&gt;"","Units","")</x:f>
      </x:c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75" t="str">
        <x:f>IF(Katalog_Fiyatlayici!$AC364="Fiyat Hazır",Katalog_Fiyatlayici!$AD364,"")</x:f>
      </x:c>
      <x:c r="B364" s="75" t="str">
        <x:f>IF($A364&lt;&gt;"",Katalog_Fiyatlayici!$AF364,"")</x:f>
      </x:c>
      <x:c r="C364" s="83" t="str">
        <x:f>IF($A364&lt;&gt;"",Katalog_Fiyatlayici!$AA364,"")</x:f>
      </x:c>
      <x:c r="D364" s="83" t="str">
        <x:f>IF($A364&lt;&gt;"",Katalog_Fiyatlayici!$W364,"")</x:f>
      </x:c>
      <x:c r="E364" s="75" t="str">
        <x:f>IF($A364&lt;&gt;"","Service","")</x:f>
      </x:c>
      <x:c r="F364" s="75" t="str">
        <x:f>IF($A364&lt;&gt;"",Katalog_Fiyatlayici!$AE364,"")</x:f>
      </x:c>
      <x:c r="G364" s="75" t="str">
        <x:f>IF($A364&lt;&gt;"",Katalog_Fiyatlayici!$AD364,"")</x:f>
      </x:c>
      <x:c r="H364" s="75" t="str">
        <x:f>IF($A364&lt;&gt;"",Katalog_Fiyatlayici!$B364,"")</x:f>
      </x:c>
      <x:c r="I364" s="75" t="str">
        <x:f>IF($A364&lt;&gt;"","MakerWorld model linkine göre tahmini 3D baskı fiyatı. Gerçek üretimden önce Bambu Studio ile gramaj ve süre doğrulanır.","")</x:f>
      </x:c>
      <x:c r="J364" s="75" t="str">
        <x:f>IF($A364&lt;&gt;"",TRUE,"")</x:f>
      </x:c>
      <x:c r="K364" s="75" t="str">
        <x:f>IF($A364&lt;&gt;"",FALSE,"")</x:f>
      </x:c>
      <x:c r="L364" s="75" t="str">
        <x:f>IF($A364&lt;&gt;"","Units","")</x:f>
      </x:c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75" t="str">
        <x:f>IF(Katalog_Fiyatlayici!$AC365="Fiyat Hazır",Katalog_Fiyatlayici!$AD365,"")</x:f>
      </x:c>
      <x:c r="B365" s="75" t="str">
        <x:f>IF($A365&lt;&gt;"",Katalog_Fiyatlayici!$AF365,"")</x:f>
      </x:c>
      <x:c r="C365" s="83" t="str">
        <x:f>IF($A365&lt;&gt;"",Katalog_Fiyatlayici!$AA365,"")</x:f>
      </x:c>
      <x:c r="D365" s="83" t="str">
        <x:f>IF($A365&lt;&gt;"",Katalog_Fiyatlayici!$W365,"")</x:f>
      </x:c>
      <x:c r="E365" s="75" t="str">
        <x:f>IF($A365&lt;&gt;"","Service","")</x:f>
      </x:c>
      <x:c r="F365" s="75" t="str">
        <x:f>IF($A365&lt;&gt;"",Katalog_Fiyatlayici!$AE365,"")</x:f>
      </x:c>
      <x:c r="G365" s="75" t="str">
        <x:f>IF($A365&lt;&gt;"",Katalog_Fiyatlayici!$AD365,"")</x:f>
      </x:c>
      <x:c r="H365" s="75" t="str">
        <x:f>IF($A365&lt;&gt;"",Katalog_Fiyatlayici!$B365,"")</x:f>
      </x:c>
      <x:c r="I365" s="75" t="str">
        <x:f>IF($A365&lt;&gt;"","MakerWorld model linkine göre tahmini 3D baskı fiyatı. Gerçek üretimden önce Bambu Studio ile gramaj ve süre doğrulanır.","")</x:f>
      </x:c>
      <x:c r="J365" s="75" t="str">
        <x:f>IF($A365&lt;&gt;"",TRUE,"")</x:f>
      </x:c>
      <x:c r="K365" s="75" t="str">
        <x:f>IF($A365&lt;&gt;"",FALSE,"")</x:f>
      </x:c>
      <x:c r="L365" s="75" t="str">
        <x:f>IF($A365&lt;&gt;"","Units","")</x:f>
      </x:c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75" t="str">
        <x:f>IF(Katalog_Fiyatlayici!$AC366="Fiyat Hazır",Katalog_Fiyatlayici!$AD366,"")</x:f>
      </x:c>
      <x:c r="B366" s="75" t="str">
        <x:f>IF($A366&lt;&gt;"",Katalog_Fiyatlayici!$AF366,"")</x:f>
      </x:c>
      <x:c r="C366" s="83" t="str">
        <x:f>IF($A366&lt;&gt;"",Katalog_Fiyatlayici!$AA366,"")</x:f>
      </x:c>
      <x:c r="D366" s="83" t="str">
        <x:f>IF($A366&lt;&gt;"",Katalog_Fiyatlayici!$W366,"")</x:f>
      </x:c>
      <x:c r="E366" s="75" t="str">
        <x:f>IF($A366&lt;&gt;"","Service","")</x:f>
      </x:c>
      <x:c r="F366" s="75" t="str">
        <x:f>IF($A366&lt;&gt;"",Katalog_Fiyatlayici!$AE366,"")</x:f>
      </x:c>
      <x:c r="G366" s="75" t="str">
        <x:f>IF($A366&lt;&gt;"",Katalog_Fiyatlayici!$AD366,"")</x:f>
      </x:c>
      <x:c r="H366" s="75" t="str">
        <x:f>IF($A366&lt;&gt;"",Katalog_Fiyatlayici!$B366,"")</x:f>
      </x:c>
      <x:c r="I366" s="75" t="str">
        <x:f>IF($A366&lt;&gt;"","MakerWorld model linkine göre tahmini 3D baskı fiyatı. Gerçek üretimden önce Bambu Studio ile gramaj ve süre doğrulanır.","")</x:f>
      </x:c>
      <x:c r="J366" s="75" t="str">
        <x:f>IF($A366&lt;&gt;"",TRUE,"")</x:f>
      </x:c>
      <x:c r="K366" s="75" t="str">
        <x:f>IF($A366&lt;&gt;"",FALSE,"")</x:f>
      </x:c>
      <x:c r="L366" s="75" t="str">
        <x:f>IF($A366&lt;&gt;"","Units","")</x:f>
      </x:c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75" t="str">
        <x:f>IF(Katalog_Fiyatlayici!$AC367="Fiyat Hazır",Katalog_Fiyatlayici!$AD367,"")</x:f>
      </x:c>
      <x:c r="B367" s="75" t="str">
        <x:f>IF($A367&lt;&gt;"",Katalog_Fiyatlayici!$AF367,"")</x:f>
      </x:c>
      <x:c r="C367" s="83" t="str">
        <x:f>IF($A367&lt;&gt;"",Katalog_Fiyatlayici!$AA367,"")</x:f>
      </x:c>
      <x:c r="D367" s="83" t="str">
        <x:f>IF($A367&lt;&gt;"",Katalog_Fiyatlayici!$W367,"")</x:f>
      </x:c>
      <x:c r="E367" s="75" t="str">
        <x:f>IF($A367&lt;&gt;"","Service","")</x:f>
      </x:c>
      <x:c r="F367" s="75" t="str">
        <x:f>IF($A367&lt;&gt;"",Katalog_Fiyatlayici!$AE367,"")</x:f>
      </x:c>
      <x:c r="G367" s="75" t="str">
        <x:f>IF($A367&lt;&gt;"",Katalog_Fiyatlayici!$AD367,"")</x:f>
      </x:c>
      <x:c r="H367" s="75" t="str">
        <x:f>IF($A367&lt;&gt;"",Katalog_Fiyatlayici!$B367,"")</x:f>
      </x:c>
      <x:c r="I367" s="75" t="str">
        <x:f>IF($A367&lt;&gt;"","MakerWorld model linkine göre tahmini 3D baskı fiyatı. Gerçek üretimden önce Bambu Studio ile gramaj ve süre doğrulanır.","")</x:f>
      </x:c>
      <x:c r="J367" s="75" t="str">
        <x:f>IF($A367&lt;&gt;"",TRUE,"")</x:f>
      </x:c>
      <x:c r="K367" s="75" t="str">
        <x:f>IF($A367&lt;&gt;"",FALSE,"")</x:f>
      </x:c>
      <x:c r="L367" s="75" t="str">
        <x:f>IF($A367&lt;&gt;"","Units","")</x:f>
      </x:c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75" t="str">
        <x:f>IF(Katalog_Fiyatlayici!$AC368="Fiyat Hazır",Katalog_Fiyatlayici!$AD368,"")</x:f>
      </x:c>
      <x:c r="B368" s="75" t="str">
        <x:f>IF($A368&lt;&gt;"",Katalog_Fiyatlayici!$AF368,"")</x:f>
      </x:c>
      <x:c r="C368" s="83" t="str">
        <x:f>IF($A368&lt;&gt;"",Katalog_Fiyatlayici!$AA368,"")</x:f>
      </x:c>
      <x:c r="D368" s="83" t="str">
        <x:f>IF($A368&lt;&gt;"",Katalog_Fiyatlayici!$W368,"")</x:f>
      </x:c>
      <x:c r="E368" s="75" t="str">
        <x:f>IF($A368&lt;&gt;"","Service","")</x:f>
      </x:c>
      <x:c r="F368" s="75" t="str">
        <x:f>IF($A368&lt;&gt;"",Katalog_Fiyatlayici!$AE368,"")</x:f>
      </x:c>
      <x:c r="G368" s="75" t="str">
        <x:f>IF($A368&lt;&gt;"",Katalog_Fiyatlayici!$AD368,"")</x:f>
      </x:c>
      <x:c r="H368" s="75" t="str">
        <x:f>IF($A368&lt;&gt;"",Katalog_Fiyatlayici!$B368,"")</x:f>
      </x:c>
      <x:c r="I368" s="75" t="str">
        <x:f>IF($A368&lt;&gt;"","MakerWorld model linkine göre tahmini 3D baskı fiyatı. Gerçek üretimden önce Bambu Studio ile gramaj ve süre doğrulanır.","")</x:f>
      </x:c>
      <x:c r="J368" s="75" t="str">
        <x:f>IF($A368&lt;&gt;"",TRUE,"")</x:f>
      </x:c>
      <x:c r="K368" s="75" t="str">
        <x:f>IF($A368&lt;&gt;"",FALSE,"")</x:f>
      </x:c>
      <x:c r="L368" s="75" t="str">
        <x:f>IF($A368&lt;&gt;"","Units","")</x:f>
      </x:c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75" t="str">
        <x:f>IF(Katalog_Fiyatlayici!$AC369="Fiyat Hazır",Katalog_Fiyatlayici!$AD369,"")</x:f>
      </x:c>
      <x:c r="B369" s="75" t="str">
        <x:f>IF($A369&lt;&gt;"",Katalog_Fiyatlayici!$AF369,"")</x:f>
      </x:c>
      <x:c r="C369" s="83" t="str">
        <x:f>IF($A369&lt;&gt;"",Katalog_Fiyatlayici!$AA369,"")</x:f>
      </x:c>
      <x:c r="D369" s="83" t="str">
        <x:f>IF($A369&lt;&gt;"",Katalog_Fiyatlayici!$W369,"")</x:f>
      </x:c>
      <x:c r="E369" s="75" t="str">
        <x:f>IF($A369&lt;&gt;"","Service","")</x:f>
      </x:c>
      <x:c r="F369" s="75" t="str">
        <x:f>IF($A369&lt;&gt;"",Katalog_Fiyatlayici!$AE369,"")</x:f>
      </x:c>
      <x:c r="G369" s="75" t="str">
        <x:f>IF($A369&lt;&gt;"",Katalog_Fiyatlayici!$AD369,"")</x:f>
      </x:c>
      <x:c r="H369" s="75" t="str">
        <x:f>IF($A369&lt;&gt;"",Katalog_Fiyatlayici!$B369,"")</x:f>
      </x:c>
      <x:c r="I369" s="75" t="str">
        <x:f>IF($A369&lt;&gt;"","MakerWorld model linkine göre tahmini 3D baskı fiyatı. Gerçek üretimden önce Bambu Studio ile gramaj ve süre doğrulanır.","")</x:f>
      </x:c>
      <x:c r="J369" s="75" t="str">
        <x:f>IF($A369&lt;&gt;"",TRUE,"")</x:f>
      </x:c>
      <x:c r="K369" s="75" t="str">
        <x:f>IF($A369&lt;&gt;"",FALSE,"")</x:f>
      </x:c>
      <x:c r="L369" s="75" t="str">
        <x:f>IF($A369&lt;&gt;"","Units","")</x:f>
      </x:c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75" t="str">
        <x:f>IF(Katalog_Fiyatlayici!$AC370="Fiyat Hazır",Katalog_Fiyatlayici!$AD370,"")</x:f>
      </x:c>
      <x:c r="B370" s="75" t="str">
        <x:f>IF($A370&lt;&gt;"",Katalog_Fiyatlayici!$AF370,"")</x:f>
      </x:c>
      <x:c r="C370" s="83" t="str">
        <x:f>IF($A370&lt;&gt;"",Katalog_Fiyatlayici!$AA370,"")</x:f>
      </x:c>
      <x:c r="D370" s="83" t="str">
        <x:f>IF($A370&lt;&gt;"",Katalog_Fiyatlayici!$W370,"")</x:f>
      </x:c>
      <x:c r="E370" s="75" t="str">
        <x:f>IF($A370&lt;&gt;"","Service","")</x:f>
      </x:c>
      <x:c r="F370" s="75" t="str">
        <x:f>IF($A370&lt;&gt;"",Katalog_Fiyatlayici!$AE370,"")</x:f>
      </x:c>
      <x:c r="G370" s="75" t="str">
        <x:f>IF($A370&lt;&gt;"",Katalog_Fiyatlayici!$AD370,"")</x:f>
      </x:c>
      <x:c r="H370" s="75" t="str">
        <x:f>IF($A370&lt;&gt;"",Katalog_Fiyatlayici!$B370,"")</x:f>
      </x:c>
      <x:c r="I370" s="75" t="str">
        <x:f>IF($A370&lt;&gt;"","MakerWorld model linkine göre tahmini 3D baskı fiyatı. Gerçek üretimden önce Bambu Studio ile gramaj ve süre doğrulanır.","")</x:f>
      </x:c>
      <x:c r="J370" s="75" t="str">
        <x:f>IF($A370&lt;&gt;"",TRUE,"")</x:f>
      </x:c>
      <x:c r="K370" s="75" t="str">
        <x:f>IF($A370&lt;&gt;"",FALSE,"")</x:f>
      </x:c>
      <x:c r="L370" s="75" t="str">
        <x:f>IF($A370&lt;&gt;"","Units","")</x:f>
      </x:c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75" t="str">
        <x:f>IF(Katalog_Fiyatlayici!$AC371="Fiyat Hazır",Katalog_Fiyatlayici!$AD371,"")</x:f>
      </x:c>
      <x:c r="B371" s="75" t="str">
        <x:f>IF($A371&lt;&gt;"",Katalog_Fiyatlayici!$AF371,"")</x:f>
      </x:c>
      <x:c r="C371" s="83" t="str">
        <x:f>IF($A371&lt;&gt;"",Katalog_Fiyatlayici!$AA371,"")</x:f>
      </x:c>
      <x:c r="D371" s="83" t="str">
        <x:f>IF($A371&lt;&gt;"",Katalog_Fiyatlayici!$W371,"")</x:f>
      </x:c>
      <x:c r="E371" s="75" t="str">
        <x:f>IF($A371&lt;&gt;"","Service","")</x:f>
      </x:c>
      <x:c r="F371" s="75" t="str">
        <x:f>IF($A371&lt;&gt;"",Katalog_Fiyatlayici!$AE371,"")</x:f>
      </x:c>
      <x:c r="G371" s="75" t="str">
        <x:f>IF($A371&lt;&gt;"",Katalog_Fiyatlayici!$AD371,"")</x:f>
      </x:c>
      <x:c r="H371" s="75" t="str">
        <x:f>IF($A371&lt;&gt;"",Katalog_Fiyatlayici!$B371,"")</x:f>
      </x:c>
      <x:c r="I371" s="75" t="str">
        <x:f>IF($A371&lt;&gt;"","MakerWorld model linkine göre tahmini 3D baskı fiyatı. Gerçek üretimden önce Bambu Studio ile gramaj ve süre doğrulanır.","")</x:f>
      </x:c>
      <x:c r="J371" s="75" t="str">
        <x:f>IF($A371&lt;&gt;"",TRUE,"")</x:f>
      </x:c>
      <x:c r="K371" s="75" t="str">
        <x:f>IF($A371&lt;&gt;"",FALSE,"")</x:f>
      </x:c>
      <x:c r="L371" s="75" t="str">
        <x:f>IF($A371&lt;&gt;"","Units","")</x:f>
      </x:c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75" t="str">
        <x:f>IF(Katalog_Fiyatlayici!$AC372="Fiyat Hazır",Katalog_Fiyatlayici!$AD372,"")</x:f>
      </x:c>
      <x:c r="B372" s="75" t="str">
        <x:f>IF($A372&lt;&gt;"",Katalog_Fiyatlayici!$AF372,"")</x:f>
      </x:c>
      <x:c r="C372" s="83" t="str">
        <x:f>IF($A372&lt;&gt;"",Katalog_Fiyatlayici!$AA372,"")</x:f>
      </x:c>
      <x:c r="D372" s="83" t="str">
        <x:f>IF($A372&lt;&gt;"",Katalog_Fiyatlayici!$W372,"")</x:f>
      </x:c>
      <x:c r="E372" s="75" t="str">
        <x:f>IF($A372&lt;&gt;"","Service","")</x:f>
      </x:c>
      <x:c r="F372" s="75" t="str">
        <x:f>IF($A372&lt;&gt;"",Katalog_Fiyatlayici!$AE372,"")</x:f>
      </x:c>
      <x:c r="G372" s="75" t="str">
        <x:f>IF($A372&lt;&gt;"",Katalog_Fiyatlayici!$AD372,"")</x:f>
      </x:c>
      <x:c r="H372" s="75" t="str">
        <x:f>IF($A372&lt;&gt;"",Katalog_Fiyatlayici!$B372,"")</x:f>
      </x:c>
      <x:c r="I372" s="75" t="str">
        <x:f>IF($A372&lt;&gt;"","MakerWorld model linkine göre tahmini 3D baskı fiyatı. Gerçek üretimden önce Bambu Studio ile gramaj ve süre doğrulanır.","")</x:f>
      </x:c>
      <x:c r="J372" s="75" t="str">
        <x:f>IF($A372&lt;&gt;"",TRUE,"")</x:f>
      </x:c>
      <x:c r="K372" s="75" t="str">
        <x:f>IF($A372&lt;&gt;"",FALSE,"")</x:f>
      </x:c>
      <x:c r="L372" s="75" t="str">
        <x:f>IF($A372&lt;&gt;"","Units","")</x:f>
      </x:c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75" t="str">
        <x:f>IF(Katalog_Fiyatlayici!$AC373="Fiyat Hazır",Katalog_Fiyatlayici!$AD373,"")</x:f>
      </x:c>
      <x:c r="B373" s="75" t="str">
        <x:f>IF($A373&lt;&gt;"",Katalog_Fiyatlayici!$AF373,"")</x:f>
      </x:c>
      <x:c r="C373" s="83" t="str">
        <x:f>IF($A373&lt;&gt;"",Katalog_Fiyatlayici!$AA373,"")</x:f>
      </x:c>
      <x:c r="D373" s="83" t="str">
        <x:f>IF($A373&lt;&gt;"",Katalog_Fiyatlayici!$W373,"")</x:f>
      </x:c>
      <x:c r="E373" s="75" t="str">
        <x:f>IF($A373&lt;&gt;"","Service","")</x:f>
      </x:c>
      <x:c r="F373" s="75" t="str">
        <x:f>IF($A373&lt;&gt;"",Katalog_Fiyatlayici!$AE373,"")</x:f>
      </x:c>
      <x:c r="G373" s="75" t="str">
        <x:f>IF($A373&lt;&gt;"",Katalog_Fiyatlayici!$AD373,"")</x:f>
      </x:c>
      <x:c r="H373" s="75" t="str">
        <x:f>IF($A373&lt;&gt;"",Katalog_Fiyatlayici!$B373,"")</x:f>
      </x:c>
      <x:c r="I373" s="75" t="str">
        <x:f>IF($A373&lt;&gt;"","MakerWorld model linkine göre tahmini 3D baskı fiyatı. Gerçek üretimden önce Bambu Studio ile gramaj ve süre doğrulanır.","")</x:f>
      </x:c>
      <x:c r="J373" s="75" t="str">
        <x:f>IF($A373&lt;&gt;"",TRUE,"")</x:f>
      </x:c>
      <x:c r="K373" s="75" t="str">
        <x:f>IF($A373&lt;&gt;"",FALSE,"")</x:f>
      </x:c>
      <x:c r="L373" s="75" t="str">
        <x:f>IF($A373&lt;&gt;"","Units","")</x:f>
      </x:c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75" t="str">
        <x:f>IF(Katalog_Fiyatlayici!$AC374="Fiyat Hazır",Katalog_Fiyatlayici!$AD374,"")</x:f>
      </x:c>
      <x:c r="B374" s="75" t="str">
        <x:f>IF($A374&lt;&gt;"",Katalog_Fiyatlayici!$AF374,"")</x:f>
      </x:c>
      <x:c r="C374" s="83" t="str">
        <x:f>IF($A374&lt;&gt;"",Katalog_Fiyatlayici!$AA374,"")</x:f>
      </x:c>
      <x:c r="D374" s="83" t="str">
        <x:f>IF($A374&lt;&gt;"",Katalog_Fiyatlayici!$W374,"")</x:f>
      </x:c>
      <x:c r="E374" s="75" t="str">
        <x:f>IF($A374&lt;&gt;"","Service","")</x:f>
      </x:c>
      <x:c r="F374" s="75" t="str">
        <x:f>IF($A374&lt;&gt;"",Katalog_Fiyatlayici!$AE374,"")</x:f>
      </x:c>
      <x:c r="G374" s="75" t="str">
        <x:f>IF($A374&lt;&gt;"",Katalog_Fiyatlayici!$AD374,"")</x:f>
      </x:c>
      <x:c r="H374" s="75" t="str">
        <x:f>IF($A374&lt;&gt;"",Katalog_Fiyatlayici!$B374,"")</x:f>
      </x:c>
      <x:c r="I374" s="75" t="str">
        <x:f>IF($A374&lt;&gt;"","MakerWorld model linkine göre tahmini 3D baskı fiyatı. Gerçek üretimden önce Bambu Studio ile gramaj ve süre doğrulanır.","")</x:f>
      </x:c>
      <x:c r="J374" s="75" t="str">
        <x:f>IF($A374&lt;&gt;"",TRUE,"")</x:f>
      </x:c>
      <x:c r="K374" s="75" t="str">
        <x:f>IF($A374&lt;&gt;"",FALSE,"")</x:f>
      </x:c>
      <x:c r="L374" s="75" t="str">
        <x:f>IF($A374&lt;&gt;"","Units","")</x:f>
      </x:c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75" t="str">
        <x:f>IF(Katalog_Fiyatlayici!$AC375="Fiyat Hazır",Katalog_Fiyatlayici!$AD375,"")</x:f>
      </x:c>
      <x:c r="B375" s="75" t="str">
        <x:f>IF($A375&lt;&gt;"",Katalog_Fiyatlayici!$AF375,"")</x:f>
      </x:c>
      <x:c r="C375" s="83" t="str">
        <x:f>IF($A375&lt;&gt;"",Katalog_Fiyatlayici!$AA375,"")</x:f>
      </x:c>
      <x:c r="D375" s="83" t="str">
        <x:f>IF($A375&lt;&gt;"",Katalog_Fiyatlayici!$W375,"")</x:f>
      </x:c>
      <x:c r="E375" s="75" t="str">
        <x:f>IF($A375&lt;&gt;"","Service","")</x:f>
      </x:c>
      <x:c r="F375" s="75" t="str">
        <x:f>IF($A375&lt;&gt;"",Katalog_Fiyatlayici!$AE375,"")</x:f>
      </x:c>
      <x:c r="G375" s="75" t="str">
        <x:f>IF($A375&lt;&gt;"",Katalog_Fiyatlayici!$AD375,"")</x:f>
      </x:c>
      <x:c r="H375" s="75" t="str">
        <x:f>IF($A375&lt;&gt;"",Katalog_Fiyatlayici!$B375,"")</x:f>
      </x:c>
      <x:c r="I375" s="75" t="str">
        <x:f>IF($A375&lt;&gt;"","MakerWorld model linkine göre tahmini 3D baskı fiyatı. Gerçek üretimden önce Bambu Studio ile gramaj ve süre doğrulanır.","")</x:f>
      </x:c>
      <x:c r="J375" s="75" t="str">
        <x:f>IF($A375&lt;&gt;"",TRUE,"")</x:f>
      </x:c>
      <x:c r="K375" s="75" t="str">
        <x:f>IF($A375&lt;&gt;"",FALSE,"")</x:f>
      </x:c>
      <x:c r="L375" s="75" t="str">
        <x:f>IF($A375&lt;&gt;"","Units","")</x:f>
      </x:c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75" t="str">
        <x:f>IF(Katalog_Fiyatlayici!$AC376="Fiyat Hazır",Katalog_Fiyatlayici!$AD376,"")</x:f>
      </x:c>
      <x:c r="B376" s="75" t="str">
        <x:f>IF($A376&lt;&gt;"",Katalog_Fiyatlayici!$AF376,"")</x:f>
      </x:c>
      <x:c r="C376" s="83" t="str">
        <x:f>IF($A376&lt;&gt;"",Katalog_Fiyatlayici!$AA376,"")</x:f>
      </x:c>
      <x:c r="D376" s="83" t="str">
        <x:f>IF($A376&lt;&gt;"",Katalog_Fiyatlayici!$W376,"")</x:f>
      </x:c>
      <x:c r="E376" s="75" t="str">
        <x:f>IF($A376&lt;&gt;"","Service","")</x:f>
      </x:c>
      <x:c r="F376" s="75" t="str">
        <x:f>IF($A376&lt;&gt;"",Katalog_Fiyatlayici!$AE376,"")</x:f>
      </x:c>
      <x:c r="G376" s="75" t="str">
        <x:f>IF($A376&lt;&gt;"",Katalog_Fiyatlayici!$AD376,"")</x:f>
      </x:c>
      <x:c r="H376" s="75" t="str">
        <x:f>IF($A376&lt;&gt;"",Katalog_Fiyatlayici!$B376,"")</x:f>
      </x:c>
      <x:c r="I376" s="75" t="str">
        <x:f>IF($A376&lt;&gt;"","MakerWorld model linkine göre tahmini 3D baskı fiyatı. Gerçek üretimden önce Bambu Studio ile gramaj ve süre doğrulanır.","")</x:f>
      </x:c>
      <x:c r="J376" s="75" t="str">
        <x:f>IF($A376&lt;&gt;"",TRUE,"")</x:f>
      </x:c>
      <x:c r="K376" s="75" t="str">
        <x:f>IF($A376&lt;&gt;"",FALSE,"")</x:f>
      </x:c>
      <x:c r="L376" s="75" t="str">
        <x:f>IF($A376&lt;&gt;"","Units","")</x:f>
      </x:c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75" t="str">
        <x:f>IF(Katalog_Fiyatlayici!$AC377="Fiyat Hazır",Katalog_Fiyatlayici!$AD377,"")</x:f>
      </x:c>
      <x:c r="B377" s="75" t="str">
        <x:f>IF($A377&lt;&gt;"",Katalog_Fiyatlayici!$AF377,"")</x:f>
      </x:c>
      <x:c r="C377" s="83" t="str">
        <x:f>IF($A377&lt;&gt;"",Katalog_Fiyatlayici!$AA377,"")</x:f>
      </x:c>
      <x:c r="D377" s="83" t="str">
        <x:f>IF($A377&lt;&gt;"",Katalog_Fiyatlayici!$W377,"")</x:f>
      </x:c>
      <x:c r="E377" s="75" t="str">
        <x:f>IF($A377&lt;&gt;"","Service","")</x:f>
      </x:c>
      <x:c r="F377" s="75" t="str">
        <x:f>IF($A377&lt;&gt;"",Katalog_Fiyatlayici!$AE377,"")</x:f>
      </x:c>
      <x:c r="G377" s="75" t="str">
        <x:f>IF($A377&lt;&gt;"",Katalog_Fiyatlayici!$AD377,"")</x:f>
      </x:c>
      <x:c r="H377" s="75" t="str">
        <x:f>IF($A377&lt;&gt;"",Katalog_Fiyatlayici!$B377,"")</x:f>
      </x:c>
      <x:c r="I377" s="75" t="str">
        <x:f>IF($A377&lt;&gt;"","MakerWorld model linkine göre tahmini 3D baskı fiyatı. Gerçek üretimden önce Bambu Studio ile gramaj ve süre doğrulanır.","")</x:f>
      </x:c>
      <x:c r="J377" s="75" t="str">
        <x:f>IF($A377&lt;&gt;"",TRUE,"")</x:f>
      </x:c>
      <x:c r="K377" s="75" t="str">
        <x:f>IF($A377&lt;&gt;"",FALSE,"")</x:f>
      </x:c>
      <x:c r="L377" s="75" t="str">
        <x:f>IF($A377&lt;&gt;"","Units","")</x:f>
      </x:c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75" t="str">
        <x:f>IF(Katalog_Fiyatlayici!$AC378="Fiyat Hazır",Katalog_Fiyatlayici!$AD378,"")</x:f>
      </x:c>
      <x:c r="B378" s="75" t="str">
        <x:f>IF($A378&lt;&gt;"",Katalog_Fiyatlayici!$AF378,"")</x:f>
      </x:c>
      <x:c r="C378" s="83" t="str">
        <x:f>IF($A378&lt;&gt;"",Katalog_Fiyatlayici!$AA378,"")</x:f>
      </x:c>
      <x:c r="D378" s="83" t="str">
        <x:f>IF($A378&lt;&gt;"",Katalog_Fiyatlayici!$W378,"")</x:f>
      </x:c>
      <x:c r="E378" s="75" t="str">
        <x:f>IF($A378&lt;&gt;"","Service","")</x:f>
      </x:c>
      <x:c r="F378" s="75" t="str">
        <x:f>IF($A378&lt;&gt;"",Katalog_Fiyatlayici!$AE378,"")</x:f>
      </x:c>
      <x:c r="G378" s="75" t="str">
        <x:f>IF($A378&lt;&gt;"",Katalog_Fiyatlayici!$AD378,"")</x:f>
      </x:c>
      <x:c r="H378" s="75" t="str">
        <x:f>IF($A378&lt;&gt;"",Katalog_Fiyatlayici!$B378,"")</x:f>
      </x:c>
      <x:c r="I378" s="75" t="str">
        <x:f>IF($A378&lt;&gt;"","MakerWorld model linkine göre tahmini 3D baskı fiyatı. Gerçek üretimden önce Bambu Studio ile gramaj ve süre doğrulanır.","")</x:f>
      </x:c>
      <x:c r="J378" s="75" t="str">
        <x:f>IF($A378&lt;&gt;"",TRUE,"")</x:f>
      </x:c>
      <x:c r="K378" s="75" t="str">
        <x:f>IF($A378&lt;&gt;"",FALSE,"")</x:f>
      </x:c>
      <x:c r="L378" s="75" t="str">
        <x:f>IF($A378&lt;&gt;"","Units","")</x:f>
      </x:c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75" t="str">
        <x:f>IF(Katalog_Fiyatlayici!$AC379="Fiyat Hazır",Katalog_Fiyatlayici!$AD379,"")</x:f>
      </x:c>
      <x:c r="B379" s="75" t="str">
        <x:f>IF($A379&lt;&gt;"",Katalog_Fiyatlayici!$AF379,"")</x:f>
      </x:c>
      <x:c r="C379" s="83" t="str">
        <x:f>IF($A379&lt;&gt;"",Katalog_Fiyatlayici!$AA379,"")</x:f>
      </x:c>
      <x:c r="D379" s="83" t="str">
        <x:f>IF($A379&lt;&gt;"",Katalog_Fiyatlayici!$W379,"")</x:f>
      </x:c>
      <x:c r="E379" s="75" t="str">
        <x:f>IF($A379&lt;&gt;"","Service","")</x:f>
      </x:c>
      <x:c r="F379" s="75" t="str">
        <x:f>IF($A379&lt;&gt;"",Katalog_Fiyatlayici!$AE379,"")</x:f>
      </x:c>
      <x:c r="G379" s="75" t="str">
        <x:f>IF($A379&lt;&gt;"",Katalog_Fiyatlayici!$AD379,"")</x:f>
      </x:c>
      <x:c r="H379" s="75" t="str">
        <x:f>IF($A379&lt;&gt;"",Katalog_Fiyatlayici!$B379,"")</x:f>
      </x:c>
      <x:c r="I379" s="75" t="str">
        <x:f>IF($A379&lt;&gt;"","MakerWorld model linkine göre tahmini 3D baskı fiyatı. Gerçek üretimden önce Bambu Studio ile gramaj ve süre doğrulanır.","")</x:f>
      </x:c>
      <x:c r="J379" s="75" t="str">
        <x:f>IF($A379&lt;&gt;"",TRUE,"")</x:f>
      </x:c>
      <x:c r="K379" s="75" t="str">
        <x:f>IF($A379&lt;&gt;"",FALSE,"")</x:f>
      </x:c>
      <x:c r="L379" s="75" t="str">
        <x:f>IF($A379&lt;&gt;"","Units","")</x:f>
      </x:c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75" t="str">
        <x:f>IF(Katalog_Fiyatlayici!$AC380="Fiyat Hazır",Katalog_Fiyatlayici!$AD380,"")</x:f>
      </x:c>
      <x:c r="B380" s="75" t="str">
        <x:f>IF($A380&lt;&gt;"",Katalog_Fiyatlayici!$AF380,"")</x:f>
      </x:c>
      <x:c r="C380" s="83" t="str">
        <x:f>IF($A380&lt;&gt;"",Katalog_Fiyatlayici!$AA380,"")</x:f>
      </x:c>
      <x:c r="D380" s="83" t="str">
        <x:f>IF($A380&lt;&gt;"",Katalog_Fiyatlayici!$W380,"")</x:f>
      </x:c>
      <x:c r="E380" s="75" t="str">
        <x:f>IF($A380&lt;&gt;"","Service","")</x:f>
      </x:c>
      <x:c r="F380" s="75" t="str">
        <x:f>IF($A380&lt;&gt;"",Katalog_Fiyatlayici!$AE380,"")</x:f>
      </x:c>
      <x:c r="G380" s="75" t="str">
        <x:f>IF($A380&lt;&gt;"",Katalog_Fiyatlayici!$AD380,"")</x:f>
      </x:c>
      <x:c r="H380" s="75" t="str">
        <x:f>IF($A380&lt;&gt;"",Katalog_Fiyatlayici!$B380,"")</x:f>
      </x:c>
      <x:c r="I380" s="75" t="str">
        <x:f>IF($A380&lt;&gt;"","MakerWorld model linkine göre tahmini 3D baskı fiyatı. Gerçek üretimden önce Bambu Studio ile gramaj ve süre doğrulanır.","")</x:f>
      </x:c>
      <x:c r="J380" s="75" t="str">
        <x:f>IF($A380&lt;&gt;"",TRUE,"")</x:f>
      </x:c>
      <x:c r="K380" s="75" t="str">
        <x:f>IF($A380&lt;&gt;"",FALSE,"")</x:f>
      </x:c>
      <x:c r="L380" s="75" t="str">
        <x:f>IF($A380&lt;&gt;"","Units","")</x:f>
      </x:c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75" t="str">
        <x:f>IF(Katalog_Fiyatlayici!$AC381="Fiyat Hazır",Katalog_Fiyatlayici!$AD381,"")</x:f>
      </x:c>
      <x:c r="B381" s="75" t="str">
        <x:f>IF($A381&lt;&gt;"",Katalog_Fiyatlayici!$AF381,"")</x:f>
      </x:c>
      <x:c r="C381" s="83" t="str">
        <x:f>IF($A381&lt;&gt;"",Katalog_Fiyatlayici!$AA381,"")</x:f>
      </x:c>
      <x:c r="D381" s="83" t="str">
        <x:f>IF($A381&lt;&gt;"",Katalog_Fiyatlayici!$W381,"")</x:f>
      </x:c>
      <x:c r="E381" s="75" t="str">
        <x:f>IF($A381&lt;&gt;"","Service","")</x:f>
      </x:c>
      <x:c r="F381" s="75" t="str">
        <x:f>IF($A381&lt;&gt;"",Katalog_Fiyatlayici!$AE381,"")</x:f>
      </x:c>
      <x:c r="G381" s="75" t="str">
        <x:f>IF($A381&lt;&gt;"",Katalog_Fiyatlayici!$AD381,"")</x:f>
      </x:c>
      <x:c r="H381" s="75" t="str">
        <x:f>IF($A381&lt;&gt;"",Katalog_Fiyatlayici!$B381,"")</x:f>
      </x:c>
      <x:c r="I381" s="75" t="str">
        <x:f>IF($A381&lt;&gt;"","MakerWorld model linkine göre tahmini 3D baskı fiyatı. Gerçek üretimden önce Bambu Studio ile gramaj ve süre doğrulanır.","")</x:f>
      </x:c>
      <x:c r="J381" s="75" t="str">
        <x:f>IF($A381&lt;&gt;"",TRUE,"")</x:f>
      </x:c>
      <x:c r="K381" s="75" t="str">
        <x:f>IF($A381&lt;&gt;"",FALSE,"")</x:f>
      </x:c>
      <x:c r="L381" s="75" t="str">
        <x:f>IF($A381&lt;&gt;"","Units","")</x:f>
      </x:c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75" t="str">
        <x:f>IF(Katalog_Fiyatlayici!$AC382="Fiyat Hazır",Katalog_Fiyatlayici!$AD382,"")</x:f>
      </x:c>
      <x:c r="B382" s="75" t="str">
        <x:f>IF($A382&lt;&gt;"",Katalog_Fiyatlayici!$AF382,"")</x:f>
      </x:c>
      <x:c r="C382" s="83" t="str">
        <x:f>IF($A382&lt;&gt;"",Katalog_Fiyatlayici!$AA382,"")</x:f>
      </x:c>
      <x:c r="D382" s="83" t="str">
        <x:f>IF($A382&lt;&gt;"",Katalog_Fiyatlayici!$W382,"")</x:f>
      </x:c>
      <x:c r="E382" s="75" t="str">
        <x:f>IF($A382&lt;&gt;"","Service","")</x:f>
      </x:c>
      <x:c r="F382" s="75" t="str">
        <x:f>IF($A382&lt;&gt;"",Katalog_Fiyatlayici!$AE382,"")</x:f>
      </x:c>
      <x:c r="G382" s="75" t="str">
        <x:f>IF($A382&lt;&gt;"",Katalog_Fiyatlayici!$AD382,"")</x:f>
      </x:c>
      <x:c r="H382" s="75" t="str">
        <x:f>IF($A382&lt;&gt;"",Katalog_Fiyatlayici!$B382,"")</x:f>
      </x:c>
      <x:c r="I382" s="75" t="str">
        <x:f>IF($A382&lt;&gt;"","MakerWorld model linkine göre tahmini 3D baskı fiyatı. Gerçek üretimden önce Bambu Studio ile gramaj ve süre doğrulanır.","")</x:f>
      </x:c>
      <x:c r="J382" s="75" t="str">
        <x:f>IF($A382&lt;&gt;"",TRUE,"")</x:f>
      </x:c>
      <x:c r="K382" s="75" t="str">
        <x:f>IF($A382&lt;&gt;"",FALSE,"")</x:f>
      </x:c>
      <x:c r="L382" s="75" t="str">
        <x:f>IF($A382&lt;&gt;"","Units","")</x:f>
      </x:c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75" t="str">
        <x:f>IF(Katalog_Fiyatlayici!$AC383="Fiyat Hazır",Katalog_Fiyatlayici!$AD383,"")</x:f>
      </x:c>
      <x:c r="B383" s="75" t="str">
        <x:f>IF($A383&lt;&gt;"",Katalog_Fiyatlayici!$AF383,"")</x:f>
      </x:c>
      <x:c r="C383" s="83" t="str">
        <x:f>IF($A383&lt;&gt;"",Katalog_Fiyatlayici!$AA383,"")</x:f>
      </x:c>
      <x:c r="D383" s="83" t="str">
        <x:f>IF($A383&lt;&gt;"",Katalog_Fiyatlayici!$W383,"")</x:f>
      </x:c>
      <x:c r="E383" s="75" t="str">
        <x:f>IF($A383&lt;&gt;"","Service","")</x:f>
      </x:c>
      <x:c r="F383" s="75" t="str">
        <x:f>IF($A383&lt;&gt;"",Katalog_Fiyatlayici!$AE383,"")</x:f>
      </x:c>
      <x:c r="G383" s="75" t="str">
        <x:f>IF($A383&lt;&gt;"",Katalog_Fiyatlayici!$AD383,"")</x:f>
      </x:c>
      <x:c r="H383" s="75" t="str">
        <x:f>IF($A383&lt;&gt;"",Katalog_Fiyatlayici!$B383,"")</x:f>
      </x:c>
      <x:c r="I383" s="75" t="str">
        <x:f>IF($A383&lt;&gt;"","MakerWorld model linkine göre tahmini 3D baskı fiyatı. Gerçek üretimden önce Bambu Studio ile gramaj ve süre doğrulanır.","")</x:f>
      </x:c>
      <x:c r="J383" s="75" t="str">
        <x:f>IF($A383&lt;&gt;"",TRUE,"")</x:f>
      </x:c>
      <x:c r="K383" s="75" t="str">
        <x:f>IF($A383&lt;&gt;"",FALSE,"")</x:f>
      </x:c>
      <x:c r="L383" s="75" t="str">
        <x:f>IF($A383&lt;&gt;"","Units","")</x:f>
      </x:c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75" t="str">
        <x:f>IF(Katalog_Fiyatlayici!$AC384="Fiyat Hazır",Katalog_Fiyatlayici!$AD384,"")</x:f>
      </x:c>
      <x:c r="B384" s="75" t="str">
        <x:f>IF($A384&lt;&gt;"",Katalog_Fiyatlayici!$AF384,"")</x:f>
      </x:c>
      <x:c r="C384" s="83" t="str">
        <x:f>IF($A384&lt;&gt;"",Katalog_Fiyatlayici!$AA384,"")</x:f>
      </x:c>
      <x:c r="D384" s="83" t="str">
        <x:f>IF($A384&lt;&gt;"",Katalog_Fiyatlayici!$W384,"")</x:f>
      </x:c>
      <x:c r="E384" s="75" t="str">
        <x:f>IF($A384&lt;&gt;"","Service","")</x:f>
      </x:c>
      <x:c r="F384" s="75" t="str">
        <x:f>IF($A384&lt;&gt;"",Katalog_Fiyatlayici!$AE384,"")</x:f>
      </x:c>
      <x:c r="G384" s="75" t="str">
        <x:f>IF($A384&lt;&gt;"",Katalog_Fiyatlayici!$AD384,"")</x:f>
      </x:c>
      <x:c r="H384" s="75" t="str">
        <x:f>IF($A384&lt;&gt;"",Katalog_Fiyatlayici!$B384,"")</x:f>
      </x:c>
      <x:c r="I384" s="75" t="str">
        <x:f>IF($A384&lt;&gt;"","MakerWorld model linkine göre tahmini 3D baskı fiyatı. Gerçek üretimden önce Bambu Studio ile gramaj ve süre doğrulanır.","")</x:f>
      </x:c>
      <x:c r="J384" s="75" t="str">
        <x:f>IF($A384&lt;&gt;"",TRUE,"")</x:f>
      </x:c>
      <x:c r="K384" s="75" t="str">
        <x:f>IF($A384&lt;&gt;"",FALSE,"")</x:f>
      </x:c>
      <x:c r="L384" s="75" t="str">
        <x:f>IF($A384&lt;&gt;"","Units","")</x:f>
      </x:c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75" t="str">
        <x:f>IF(Katalog_Fiyatlayici!$AC385="Fiyat Hazır",Katalog_Fiyatlayici!$AD385,"")</x:f>
      </x:c>
      <x:c r="B385" s="75" t="str">
        <x:f>IF($A385&lt;&gt;"",Katalog_Fiyatlayici!$AF385,"")</x:f>
      </x:c>
      <x:c r="C385" s="83" t="str">
        <x:f>IF($A385&lt;&gt;"",Katalog_Fiyatlayici!$AA385,"")</x:f>
      </x:c>
      <x:c r="D385" s="83" t="str">
        <x:f>IF($A385&lt;&gt;"",Katalog_Fiyatlayici!$W385,"")</x:f>
      </x:c>
      <x:c r="E385" s="75" t="str">
        <x:f>IF($A385&lt;&gt;"","Service","")</x:f>
      </x:c>
      <x:c r="F385" s="75" t="str">
        <x:f>IF($A385&lt;&gt;"",Katalog_Fiyatlayici!$AE385,"")</x:f>
      </x:c>
      <x:c r="G385" s="75" t="str">
        <x:f>IF($A385&lt;&gt;"",Katalog_Fiyatlayici!$AD385,"")</x:f>
      </x:c>
      <x:c r="H385" s="75" t="str">
        <x:f>IF($A385&lt;&gt;"",Katalog_Fiyatlayici!$B385,"")</x:f>
      </x:c>
      <x:c r="I385" s="75" t="str">
        <x:f>IF($A385&lt;&gt;"","MakerWorld model linkine göre tahmini 3D baskı fiyatı. Gerçek üretimden önce Bambu Studio ile gramaj ve süre doğrulanır.","")</x:f>
      </x:c>
      <x:c r="J385" s="75" t="str">
        <x:f>IF($A385&lt;&gt;"",TRUE,"")</x:f>
      </x:c>
      <x:c r="K385" s="75" t="str">
        <x:f>IF($A385&lt;&gt;"",FALSE,"")</x:f>
      </x:c>
      <x:c r="L385" s="75" t="str">
        <x:f>IF($A385&lt;&gt;"","Units","")</x:f>
      </x:c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75" t="str">
        <x:f>IF(Katalog_Fiyatlayici!$AC386="Fiyat Hazır",Katalog_Fiyatlayici!$AD386,"")</x:f>
      </x:c>
      <x:c r="B386" s="75" t="str">
        <x:f>IF($A386&lt;&gt;"",Katalog_Fiyatlayici!$AF386,"")</x:f>
      </x:c>
      <x:c r="C386" s="83" t="str">
        <x:f>IF($A386&lt;&gt;"",Katalog_Fiyatlayici!$AA386,"")</x:f>
      </x:c>
      <x:c r="D386" s="83" t="str">
        <x:f>IF($A386&lt;&gt;"",Katalog_Fiyatlayici!$W386,"")</x:f>
      </x:c>
      <x:c r="E386" s="75" t="str">
        <x:f>IF($A386&lt;&gt;"","Service","")</x:f>
      </x:c>
      <x:c r="F386" s="75" t="str">
        <x:f>IF($A386&lt;&gt;"",Katalog_Fiyatlayici!$AE386,"")</x:f>
      </x:c>
      <x:c r="G386" s="75" t="str">
        <x:f>IF($A386&lt;&gt;"",Katalog_Fiyatlayici!$AD386,"")</x:f>
      </x:c>
      <x:c r="H386" s="75" t="str">
        <x:f>IF($A386&lt;&gt;"",Katalog_Fiyatlayici!$B386,"")</x:f>
      </x:c>
      <x:c r="I386" s="75" t="str">
        <x:f>IF($A386&lt;&gt;"","MakerWorld model linkine göre tahmini 3D baskı fiyatı. Gerçek üretimden önce Bambu Studio ile gramaj ve süre doğrulanır.","")</x:f>
      </x:c>
      <x:c r="J386" s="75" t="str">
        <x:f>IF($A386&lt;&gt;"",TRUE,"")</x:f>
      </x:c>
      <x:c r="K386" s="75" t="str">
        <x:f>IF($A386&lt;&gt;"",FALSE,"")</x:f>
      </x:c>
      <x:c r="L386" s="75" t="str">
        <x:f>IF($A386&lt;&gt;"","Units","")</x:f>
      </x:c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75" t="str">
        <x:f>IF(Katalog_Fiyatlayici!$AC387="Fiyat Hazır",Katalog_Fiyatlayici!$AD387,"")</x:f>
      </x:c>
      <x:c r="B387" s="75" t="str">
        <x:f>IF($A387&lt;&gt;"",Katalog_Fiyatlayici!$AF387,"")</x:f>
      </x:c>
      <x:c r="C387" s="83" t="str">
        <x:f>IF($A387&lt;&gt;"",Katalog_Fiyatlayici!$AA387,"")</x:f>
      </x:c>
      <x:c r="D387" s="83" t="str">
        <x:f>IF($A387&lt;&gt;"",Katalog_Fiyatlayici!$W387,"")</x:f>
      </x:c>
      <x:c r="E387" s="75" t="str">
        <x:f>IF($A387&lt;&gt;"","Service","")</x:f>
      </x:c>
      <x:c r="F387" s="75" t="str">
        <x:f>IF($A387&lt;&gt;"",Katalog_Fiyatlayici!$AE387,"")</x:f>
      </x:c>
      <x:c r="G387" s="75" t="str">
        <x:f>IF($A387&lt;&gt;"",Katalog_Fiyatlayici!$AD387,"")</x:f>
      </x:c>
      <x:c r="H387" s="75" t="str">
        <x:f>IF($A387&lt;&gt;"",Katalog_Fiyatlayici!$B387,"")</x:f>
      </x:c>
      <x:c r="I387" s="75" t="str">
        <x:f>IF($A387&lt;&gt;"","MakerWorld model linkine göre tahmini 3D baskı fiyatı. Gerçek üretimden önce Bambu Studio ile gramaj ve süre doğrulanır.","")</x:f>
      </x:c>
      <x:c r="J387" s="75" t="str">
        <x:f>IF($A387&lt;&gt;"",TRUE,"")</x:f>
      </x:c>
      <x:c r="K387" s="75" t="str">
        <x:f>IF($A387&lt;&gt;"",FALSE,"")</x:f>
      </x:c>
      <x:c r="L387" s="75" t="str">
        <x:f>IF($A387&lt;&gt;"","Units","")</x:f>
      </x:c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75" t="str">
        <x:f>IF(Katalog_Fiyatlayici!$AC388="Fiyat Hazır",Katalog_Fiyatlayici!$AD388,"")</x:f>
      </x:c>
      <x:c r="B388" s="75" t="str">
        <x:f>IF($A388&lt;&gt;"",Katalog_Fiyatlayici!$AF388,"")</x:f>
      </x:c>
      <x:c r="C388" s="83" t="str">
        <x:f>IF($A388&lt;&gt;"",Katalog_Fiyatlayici!$AA388,"")</x:f>
      </x:c>
      <x:c r="D388" s="83" t="str">
        <x:f>IF($A388&lt;&gt;"",Katalog_Fiyatlayici!$W388,"")</x:f>
      </x:c>
      <x:c r="E388" s="75" t="str">
        <x:f>IF($A388&lt;&gt;"","Service","")</x:f>
      </x:c>
      <x:c r="F388" s="75" t="str">
        <x:f>IF($A388&lt;&gt;"",Katalog_Fiyatlayici!$AE388,"")</x:f>
      </x:c>
      <x:c r="G388" s="75" t="str">
        <x:f>IF($A388&lt;&gt;"",Katalog_Fiyatlayici!$AD388,"")</x:f>
      </x:c>
      <x:c r="H388" s="75" t="str">
        <x:f>IF($A388&lt;&gt;"",Katalog_Fiyatlayici!$B388,"")</x:f>
      </x:c>
      <x:c r="I388" s="75" t="str">
        <x:f>IF($A388&lt;&gt;"","MakerWorld model linkine göre tahmini 3D baskı fiyatı. Gerçek üretimden önce Bambu Studio ile gramaj ve süre doğrulanır.","")</x:f>
      </x:c>
      <x:c r="J388" s="75" t="str">
        <x:f>IF($A388&lt;&gt;"",TRUE,"")</x:f>
      </x:c>
      <x:c r="K388" s="75" t="str">
        <x:f>IF($A388&lt;&gt;"",FALSE,"")</x:f>
      </x:c>
      <x:c r="L388" s="75" t="str">
        <x:f>IF($A388&lt;&gt;"","Units","")</x:f>
      </x:c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75" t="str">
        <x:f>IF(Katalog_Fiyatlayici!$AC389="Fiyat Hazır",Katalog_Fiyatlayici!$AD389,"")</x:f>
      </x:c>
      <x:c r="B389" s="75" t="str">
        <x:f>IF($A389&lt;&gt;"",Katalog_Fiyatlayici!$AF389,"")</x:f>
      </x:c>
      <x:c r="C389" s="83" t="str">
        <x:f>IF($A389&lt;&gt;"",Katalog_Fiyatlayici!$AA389,"")</x:f>
      </x:c>
      <x:c r="D389" s="83" t="str">
        <x:f>IF($A389&lt;&gt;"",Katalog_Fiyatlayici!$W389,"")</x:f>
      </x:c>
      <x:c r="E389" s="75" t="str">
        <x:f>IF($A389&lt;&gt;"","Service","")</x:f>
      </x:c>
      <x:c r="F389" s="75" t="str">
        <x:f>IF($A389&lt;&gt;"",Katalog_Fiyatlayici!$AE389,"")</x:f>
      </x:c>
      <x:c r="G389" s="75" t="str">
        <x:f>IF($A389&lt;&gt;"",Katalog_Fiyatlayici!$AD389,"")</x:f>
      </x:c>
      <x:c r="H389" s="75" t="str">
        <x:f>IF($A389&lt;&gt;"",Katalog_Fiyatlayici!$B389,"")</x:f>
      </x:c>
      <x:c r="I389" s="75" t="str">
        <x:f>IF($A389&lt;&gt;"","MakerWorld model linkine göre tahmini 3D baskı fiyatı. Gerçek üretimden önce Bambu Studio ile gramaj ve süre doğrulanır.","")</x:f>
      </x:c>
      <x:c r="J389" s="75" t="str">
        <x:f>IF($A389&lt;&gt;"",TRUE,"")</x:f>
      </x:c>
      <x:c r="K389" s="75" t="str">
        <x:f>IF($A389&lt;&gt;"",FALSE,"")</x:f>
      </x:c>
      <x:c r="L389" s="75" t="str">
        <x:f>IF($A389&lt;&gt;"","Units","")</x:f>
      </x:c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75" t="str">
        <x:f>IF(Katalog_Fiyatlayici!$AC390="Fiyat Hazır",Katalog_Fiyatlayici!$AD390,"")</x:f>
      </x:c>
      <x:c r="B390" s="75" t="str">
        <x:f>IF($A390&lt;&gt;"",Katalog_Fiyatlayici!$AF390,"")</x:f>
      </x:c>
      <x:c r="C390" s="83" t="str">
        <x:f>IF($A390&lt;&gt;"",Katalog_Fiyatlayici!$AA390,"")</x:f>
      </x:c>
      <x:c r="D390" s="83" t="str">
        <x:f>IF($A390&lt;&gt;"",Katalog_Fiyatlayici!$W390,"")</x:f>
      </x:c>
      <x:c r="E390" s="75" t="str">
        <x:f>IF($A390&lt;&gt;"","Service","")</x:f>
      </x:c>
      <x:c r="F390" s="75" t="str">
        <x:f>IF($A390&lt;&gt;"",Katalog_Fiyatlayici!$AE390,"")</x:f>
      </x:c>
      <x:c r="G390" s="75" t="str">
        <x:f>IF($A390&lt;&gt;"",Katalog_Fiyatlayici!$AD390,"")</x:f>
      </x:c>
      <x:c r="H390" s="75" t="str">
        <x:f>IF($A390&lt;&gt;"",Katalog_Fiyatlayici!$B390,"")</x:f>
      </x:c>
      <x:c r="I390" s="75" t="str">
        <x:f>IF($A390&lt;&gt;"","MakerWorld model linkine göre tahmini 3D baskı fiyatı. Gerçek üretimden önce Bambu Studio ile gramaj ve süre doğrulanır.","")</x:f>
      </x:c>
      <x:c r="J390" s="75" t="str">
        <x:f>IF($A390&lt;&gt;"",TRUE,"")</x:f>
      </x:c>
      <x:c r="K390" s="75" t="str">
        <x:f>IF($A390&lt;&gt;"",FALSE,"")</x:f>
      </x:c>
      <x:c r="L390" s="75" t="str">
        <x:f>IF($A390&lt;&gt;"","Units","")</x:f>
      </x:c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75" t="str">
        <x:f>IF(Katalog_Fiyatlayici!$AC391="Fiyat Hazır",Katalog_Fiyatlayici!$AD391,"")</x:f>
      </x:c>
      <x:c r="B391" s="75" t="str">
        <x:f>IF($A391&lt;&gt;"",Katalog_Fiyatlayici!$AF391,"")</x:f>
      </x:c>
      <x:c r="C391" s="83" t="str">
        <x:f>IF($A391&lt;&gt;"",Katalog_Fiyatlayici!$AA391,"")</x:f>
      </x:c>
      <x:c r="D391" s="83" t="str">
        <x:f>IF($A391&lt;&gt;"",Katalog_Fiyatlayici!$W391,"")</x:f>
      </x:c>
      <x:c r="E391" s="75" t="str">
        <x:f>IF($A391&lt;&gt;"","Service","")</x:f>
      </x:c>
      <x:c r="F391" s="75" t="str">
        <x:f>IF($A391&lt;&gt;"",Katalog_Fiyatlayici!$AE391,"")</x:f>
      </x:c>
      <x:c r="G391" s="75" t="str">
        <x:f>IF($A391&lt;&gt;"",Katalog_Fiyatlayici!$AD391,"")</x:f>
      </x:c>
      <x:c r="H391" s="75" t="str">
        <x:f>IF($A391&lt;&gt;"",Katalog_Fiyatlayici!$B391,"")</x:f>
      </x:c>
      <x:c r="I391" s="75" t="str">
        <x:f>IF($A391&lt;&gt;"","MakerWorld model linkine göre tahmini 3D baskı fiyatı. Gerçek üretimden önce Bambu Studio ile gramaj ve süre doğrulanır.","")</x:f>
      </x:c>
      <x:c r="J391" s="75" t="str">
        <x:f>IF($A391&lt;&gt;"",TRUE,"")</x:f>
      </x:c>
      <x:c r="K391" s="75" t="str">
        <x:f>IF($A391&lt;&gt;"",FALSE,"")</x:f>
      </x:c>
      <x:c r="L391" s="75" t="str">
        <x:f>IF($A391&lt;&gt;"","Units","")</x:f>
      </x:c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75" t="str">
        <x:f>IF(Katalog_Fiyatlayici!$AC392="Fiyat Hazır",Katalog_Fiyatlayici!$AD392,"")</x:f>
      </x:c>
      <x:c r="B392" s="75" t="str">
        <x:f>IF($A392&lt;&gt;"",Katalog_Fiyatlayici!$AF392,"")</x:f>
      </x:c>
      <x:c r="C392" s="83" t="str">
        <x:f>IF($A392&lt;&gt;"",Katalog_Fiyatlayici!$AA392,"")</x:f>
      </x:c>
      <x:c r="D392" s="83" t="str">
        <x:f>IF($A392&lt;&gt;"",Katalog_Fiyatlayici!$W392,"")</x:f>
      </x:c>
      <x:c r="E392" s="75" t="str">
        <x:f>IF($A392&lt;&gt;"","Service","")</x:f>
      </x:c>
      <x:c r="F392" s="75" t="str">
        <x:f>IF($A392&lt;&gt;"",Katalog_Fiyatlayici!$AE392,"")</x:f>
      </x:c>
      <x:c r="G392" s="75" t="str">
        <x:f>IF($A392&lt;&gt;"",Katalog_Fiyatlayici!$AD392,"")</x:f>
      </x:c>
      <x:c r="H392" s="75" t="str">
        <x:f>IF($A392&lt;&gt;"",Katalog_Fiyatlayici!$B392,"")</x:f>
      </x:c>
      <x:c r="I392" s="75" t="str">
        <x:f>IF($A392&lt;&gt;"","MakerWorld model linkine göre tahmini 3D baskı fiyatı. Gerçek üretimden önce Bambu Studio ile gramaj ve süre doğrulanır.","")</x:f>
      </x:c>
      <x:c r="J392" s="75" t="str">
        <x:f>IF($A392&lt;&gt;"",TRUE,"")</x:f>
      </x:c>
      <x:c r="K392" s="75" t="str">
        <x:f>IF($A392&lt;&gt;"",FALSE,"")</x:f>
      </x:c>
      <x:c r="L392" s="75" t="str">
        <x:f>IF($A392&lt;&gt;"","Units","")</x:f>
      </x:c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75" t="str">
        <x:f>IF(Katalog_Fiyatlayici!$AC393="Fiyat Hazır",Katalog_Fiyatlayici!$AD393,"")</x:f>
      </x:c>
      <x:c r="B393" s="75" t="str">
        <x:f>IF($A393&lt;&gt;"",Katalog_Fiyatlayici!$AF393,"")</x:f>
      </x:c>
      <x:c r="C393" s="83" t="str">
        <x:f>IF($A393&lt;&gt;"",Katalog_Fiyatlayici!$AA393,"")</x:f>
      </x:c>
      <x:c r="D393" s="83" t="str">
        <x:f>IF($A393&lt;&gt;"",Katalog_Fiyatlayici!$W393,"")</x:f>
      </x:c>
      <x:c r="E393" s="75" t="str">
        <x:f>IF($A393&lt;&gt;"","Service","")</x:f>
      </x:c>
      <x:c r="F393" s="75" t="str">
        <x:f>IF($A393&lt;&gt;"",Katalog_Fiyatlayici!$AE393,"")</x:f>
      </x:c>
      <x:c r="G393" s="75" t="str">
        <x:f>IF($A393&lt;&gt;"",Katalog_Fiyatlayici!$AD393,"")</x:f>
      </x:c>
      <x:c r="H393" s="75" t="str">
        <x:f>IF($A393&lt;&gt;"",Katalog_Fiyatlayici!$B393,"")</x:f>
      </x:c>
      <x:c r="I393" s="75" t="str">
        <x:f>IF($A393&lt;&gt;"","MakerWorld model linkine göre tahmini 3D baskı fiyatı. Gerçek üretimden önce Bambu Studio ile gramaj ve süre doğrulanır.","")</x:f>
      </x:c>
      <x:c r="J393" s="75" t="str">
        <x:f>IF($A393&lt;&gt;"",TRUE,"")</x:f>
      </x:c>
      <x:c r="K393" s="75" t="str">
        <x:f>IF($A393&lt;&gt;"",FALSE,"")</x:f>
      </x:c>
      <x:c r="L393" s="75" t="str">
        <x:f>IF($A393&lt;&gt;"","Units","")</x:f>
      </x:c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75" t="str">
        <x:f>IF(Katalog_Fiyatlayici!$AC394="Fiyat Hazır",Katalog_Fiyatlayici!$AD394,"")</x:f>
      </x:c>
      <x:c r="B394" s="75" t="str">
        <x:f>IF($A394&lt;&gt;"",Katalog_Fiyatlayici!$AF394,"")</x:f>
      </x:c>
      <x:c r="C394" s="83" t="str">
        <x:f>IF($A394&lt;&gt;"",Katalog_Fiyatlayici!$AA394,"")</x:f>
      </x:c>
      <x:c r="D394" s="83" t="str">
        <x:f>IF($A394&lt;&gt;"",Katalog_Fiyatlayici!$W394,"")</x:f>
      </x:c>
      <x:c r="E394" s="75" t="str">
        <x:f>IF($A394&lt;&gt;"","Service","")</x:f>
      </x:c>
      <x:c r="F394" s="75" t="str">
        <x:f>IF($A394&lt;&gt;"",Katalog_Fiyatlayici!$AE394,"")</x:f>
      </x:c>
      <x:c r="G394" s="75" t="str">
        <x:f>IF($A394&lt;&gt;"",Katalog_Fiyatlayici!$AD394,"")</x:f>
      </x:c>
      <x:c r="H394" s="75" t="str">
        <x:f>IF($A394&lt;&gt;"",Katalog_Fiyatlayici!$B394,"")</x:f>
      </x:c>
      <x:c r="I394" s="75" t="str">
        <x:f>IF($A394&lt;&gt;"","MakerWorld model linkine göre tahmini 3D baskı fiyatı. Gerçek üretimden önce Bambu Studio ile gramaj ve süre doğrulanır.","")</x:f>
      </x:c>
      <x:c r="J394" s="75" t="str">
        <x:f>IF($A394&lt;&gt;"",TRUE,"")</x:f>
      </x:c>
      <x:c r="K394" s="75" t="str">
        <x:f>IF($A394&lt;&gt;"",FALSE,"")</x:f>
      </x:c>
      <x:c r="L394" s="75" t="str">
        <x:f>IF($A394&lt;&gt;"","Units","")</x:f>
      </x:c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75" t="str">
        <x:f>IF(Katalog_Fiyatlayici!$AC395="Fiyat Hazır",Katalog_Fiyatlayici!$AD395,"")</x:f>
      </x:c>
      <x:c r="B395" s="75" t="str">
        <x:f>IF($A395&lt;&gt;"",Katalog_Fiyatlayici!$AF395,"")</x:f>
      </x:c>
      <x:c r="C395" s="83" t="str">
        <x:f>IF($A395&lt;&gt;"",Katalog_Fiyatlayici!$AA395,"")</x:f>
      </x:c>
      <x:c r="D395" s="83" t="str">
        <x:f>IF($A395&lt;&gt;"",Katalog_Fiyatlayici!$W395,"")</x:f>
      </x:c>
      <x:c r="E395" s="75" t="str">
        <x:f>IF($A395&lt;&gt;"","Service","")</x:f>
      </x:c>
      <x:c r="F395" s="75" t="str">
        <x:f>IF($A395&lt;&gt;"",Katalog_Fiyatlayici!$AE395,"")</x:f>
      </x:c>
      <x:c r="G395" s="75" t="str">
        <x:f>IF($A395&lt;&gt;"",Katalog_Fiyatlayici!$AD395,"")</x:f>
      </x:c>
      <x:c r="H395" s="75" t="str">
        <x:f>IF($A395&lt;&gt;"",Katalog_Fiyatlayici!$B395,"")</x:f>
      </x:c>
      <x:c r="I395" s="75" t="str">
        <x:f>IF($A395&lt;&gt;"","MakerWorld model linkine göre tahmini 3D baskı fiyatı. Gerçek üretimden önce Bambu Studio ile gramaj ve süre doğrulanır.","")</x:f>
      </x:c>
      <x:c r="J395" s="75" t="str">
        <x:f>IF($A395&lt;&gt;"",TRUE,"")</x:f>
      </x:c>
      <x:c r="K395" s="75" t="str">
        <x:f>IF($A395&lt;&gt;"",FALSE,"")</x:f>
      </x:c>
      <x:c r="L395" s="75" t="str">
        <x:f>IF($A395&lt;&gt;"","Units","")</x:f>
      </x:c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75" t="str">
        <x:f>IF(Katalog_Fiyatlayici!$AC396="Fiyat Hazır",Katalog_Fiyatlayici!$AD396,"")</x:f>
      </x:c>
      <x:c r="B396" s="75" t="str">
        <x:f>IF($A396&lt;&gt;"",Katalog_Fiyatlayici!$AF396,"")</x:f>
      </x:c>
      <x:c r="C396" s="83" t="str">
        <x:f>IF($A396&lt;&gt;"",Katalog_Fiyatlayici!$AA396,"")</x:f>
      </x:c>
      <x:c r="D396" s="83" t="str">
        <x:f>IF($A396&lt;&gt;"",Katalog_Fiyatlayici!$W396,"")</x:f>
      </x:c>
      <x:c r="E396" s="75" t="str">
        <x:f>IF($A396&lt;&gt;"","Service","")</x:f>
      </x:c>
      <x:c r="F396" s="75" t="str">
        <x:f>IF($A396&lt;&gt;"",Katalog_Fiyatlayici!$AE396,"")</x:f>
      </x:c>
      <x:c r="G396" s="75" t="str">
        <x:f>IF($A396&lt;&gt;"",Katalog_Fiyatlayici!$AD396,"")</x:f>
      </x:c>
      <x:c r="H396" s="75" t="str">
        <x:f>IF($A396&lt;&gt;"",Katalog_Fiyatlayici!$B396,"")</x:f>
      </x:c>
      <x:c r="I396" s="75" t="str">
        <x:f>IF($A396&lt;&gt;"","MakerWorld model linkine göre tahmini 3D baskı fiyatı. Gerçek üretimden önce Bambu Studio ile gramaj ve süre doğrulanır.","")</x:f>
      </x:c>
      <x:c r="J396" s="75" t="str">
        <x:f>IF($A396&lt;&gt;"",TRUE,"")</x:f>
      </x:c>
      <x:c r="K396" s="75" t="str">
        <x:f>IF($A396&lt;&gt;"",FALSE,"")</x:f>
      </x:c>
      <x:c r="L396" s="75" t="str">
        <x:f>IF($A396&lt;&gt;"","Units","")</x:f>
      </x:c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75" t="str">
        <x:f>IF(Katalog_Fiyatlayici!$AC397="Fiyat Hazır",Katalog_Fiyatlayici!$AD397,"")</x:f>
      </x:c>
      <x:c r="B397" s="75" t="str">
        <x:f>IF($A397&lt;&gt;"",Katalog_Fiyatlayici!$AF397,"")</x:f>
      </x:c>
      <x:c r="C397" s="83" t="str">
        <x:f>IF($A397&lt;&gt;"",Katalog_Fiyatlayici!$AA397,"")</x:f>
      </x:c>
      <x:c r="D397" s="83" t="str">
        <x:f>IF($A397&lt;&gt;"",Katalog_Fiyatlayici!$W397,"")</x:f>
      </x:c>
      <x:c r="E397" s="75" t="str">
        <x:f>IF($A397&lt;&gt;"","Service","")</x:f>
      </x:c>
      <x:c r="F397" s="75" t="str">
        <x:f>IF($A397&lt;&gt;"",Katalog_Fiyatlayici!$AE397,"")</x:f>
      </x:c>
      <x:c r="G397" s="75" t="str">
        <x:f>IF($A397&lt;&gt;"",Katalog_Fiyatlayici!$AD397,"")</x:f>
      </x:c>
      <x:c r="H397" s="75" t="str">
        <x:f>IF($A397&lt;&gt;"",Katalog_Fiyatlayici!$B397,"")</x:f>
      </x:c>
      <x:c r="I397" s="75" t="str">
        <x:f>IF($A397&lt;&gt;"","MakerWorld model linkine göre tahmini 3D baskı fiyatı. Gerçek üretimden önce Bambu Studio ile gramaj ve süre doğrulanır.","")</x:f>
      </x:c>
      <x:c r="J397" s="75" t="str">
        <x:f>IF($A397&lt;&gt;"",TRUE,"")</x:f>
      </x:c>
      <x:c r="K397" s="75" t="str">
        <x:f>IF($A397&lt;&gt;"",FALSE,"")</x:f>
      </x:c>
      <x:c r="L397" s="75" t="str">
        <x:f>IF($A397&lt;&gt;"","Units","")</x:f>
      </x:c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75" t="str">
        <x:f>IF(Katalog_Fiyatlayici!$AC398="Fiyat Hazır",Katalog_Fiyatlayici!$AD398,"")</x:f>
      </x:c>
      <x:c r="B398" s="75" t="str">
        <x:f>IF($A398&lt;&gt;"",Katalog_Fiyatlayici!$AF398,"")</x:f>
      </x:c>
      <x:c r="C398" s="83" t="str">
        <x:f>IF($A398&lt;&gt;"",Katalog_Fiyatlayici!$AA398,"")</x:f>
      </x:c>
      <x:c r="D398" s="83" t="str">
        <x:f>IF($A398&lt;&gt;"",Katalog_Fiyatlayici!$W398,"")</x:f>
      </x:c>
      <x:c r="E398" s="75" t="str">
        <x:f>IF($A398&lt;&gt;"","Service","")</x:f>
      </x:c>
      <x:c r="F398" s="75" t="str">
        <x:f>IF($A398&lt;&gt;"",Katalog_Fiyatlayici!$AE398,"")</x:f>
      </x:c>
      <x:c r="G398" s="75" t="str">
        <x:f>IF($A398&lt;&gt;"",Katalog_Fiyatlayici!$AD398,"")</x:f>
      </x:c>
      <x:c r="H398" s="75" t="str">
        <x:f>IF($A398&lt;&gt;"",Katalog_Fiyatlayici!$B398,"")</x:f>
      </x:c>
      <x:c r="I398" s="75" t="str">
        <x:f>IF($A398&lt;&gt;"","MakerWorld model linkine göre tahmini 3D baskı fiyatı. Gerçek üretimden önce Bambu Studio ile gramaj ve süre doğrulanır.","")</x:f>
      </x:c>
      <x:c r="J398" s="75" t="str">
        <x:f>IF($A398&lt;&gt;"",TRUE,"")</x:f>
      </x:c>
      <x:c r="K398" s="75" t="str">
        <x:f>IF($A398&lt;&gt;"",FALSE,"")</x:f>
      </x:c>
      <x:c r="L398" s="75" t="str">
        <x:f>IF($A398&lt;&gt;"","Units","")</x:f>
      </x:c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75" t="str">
        <x:f>IF(Katalog_Fiyatlayici!$AC399="Fiyat Hazır",Katalog_Fiyatlayici!$AD399,"")</x:f>
      </x:c>
      <x:c r="B399" s="75" t="str">
        <x:f>IF($A399&lt;&gt;"",Katalog_Fiyatlayici!$AF399,"")</x:f>
      </x:c>
      <x:c r="C399" s="83" t="str">
        <x:f>IF($A399&lt;&gt;"",Katalog_Fiyatlayici!$AA399,"")</x:f>
      </x:c>
      <x:c r="D399" s="83" t="str">
        <x:f>IF($A399&lt;&gt;"",Katalog_Fiyatlayici!$W399,"")</x:f>
      </x:c>
      <x:c r="E399" s="75" t="str">
        <x:f>IF($A399&lt;&gt;"","Service","")</x:f>
      </x:c>
      <x:c r="F399" s="75" t="str">
        <x:f>IF($A399&lt;&gt;"",Katalog_Fiyatlayici!$AE399,"")</x:f>
      </x:c>
      <x:c r="G399" s="75" t="str">
        <x:f>IF($A399&lt;&gt;"",Katalog_Fiyatlayici!$AD399,"")</x:f>
      </x:c>
      <x:c r="H399" s="75" t="str">
        <x:f>IF($A399&lt;&gt;"",Katalog_Fiyatlayici!$B399,"")</x:f>
      </x:c>
      <x:c r="I399" s="75" t="str">
        <x:f>IF($A399&lt;&gt;"","MakerWorld model linkine göre tahmini 3D baskı fiyatı. Gerçek üretimden önce Bambu Studio ile gramaj ve süre doğrulanır.","")</x:f>
      </x:c>
      <x:c r="J399" s="75" t="str">
        <x:f>IF($A399&lt;&gt;"",TRUE,"")</x:f>
      </x:c>
      <x:c r="K399" s="75" t="str">
        <x:f>IF($A399&lt;&gt;"",FALSE,"")</x:f>
      </x:c>
      <x:c r="L399" s="75" t="str">
        <x:f>IF($A399&lt;&gt;"","Units","")</x:f>
      </x:c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75" t="str">
        <x:f>IF(Katalog_Fiyatlayici!$AC400="Fiyat Hazır",Katalog_Fiyatlayici!$AD400,"")</x:f>
      </x:c>
      <x:c r="B400" s="75" t="str">
        <x:f>IF($A400&lt;&gt;"",Katalog_Fiyatlayici!$AF400,"")</x:f>
      </x:c>
      <x:c r="C400" s="83" t="str">
        <x:f>IF($A400&lt;&gt;"",Katalog_Fiyatlayici!$AA400,"")</x:f>
      </x:c>
      <x:c r="D400" s="83" t="str">
        <x:f>IF($A400&lt;&gt;"",Katalog_Fiyatlayici!$W400,"")</x:f>
      </x:c>
      <x:c r="E400" s="75" t="str">
        <x:f>IF($A400&lt;&gt;"","Service","")</x:f>
      </x:c>
      <x:c r="F400" s="75" t="str">
        <x:f>IF($A400&lt;&gt;"",Katalog_Fiyatlayici!$AE400,"")</x:f>
      </x:c>
      <x:c r="G400" s="75" t="str">
        <x:f>IF($A400&lt;&gt;"",Katalog_Fiyatlayici!$AD400,"")</x:f>
      </x:c>
      <x:c r="H400" s="75" t="str">
        <x:f>IF($A400&lt;&gt;"",Katalog_Fiyatlayici!$B400,"")</x:f>
      </x:c>
      <x:c r="I400" s="75" t="str">
        <x:f>IF($A400&lt;&gt;"","MakerWorld model linkine göre tahmini 3D baskı fiyatı. Gerçek üretimden önce Bambu Studio ile gramaj ve süre doğrulanır.","")</x:f>
      </x:c>
      <x:c r="J400" s="75" t="str">
        <x:f>IF($A400&lt;&gt;"",TRUE,"")</x:f>
      </x:c>
      <x:c r="K400" s="75" t="str">
        <x:f>IF($A400&lt;&gt;"",FALSE,"")</x:f>
      </x:c>
      <x:c r="L400" s="75" t="str">
        <x:f>IF($A400&lt;&gt;"","Units","")</x:f>
      </x:c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75" t="str">
        <x:f>IF(Katalog_Fiyatlayici!$AC401="Fiyat Hazır",Katalog_Fiyatlayici!$AD401,"")</x:f>
      </x:c>
      <x:c r="B401" s="75" t="str">
        <x:f>IF($A401&lt;&gt;"",Katalog_Fiyatlayici!$AF401,"")</x:f>
      </x:c>
      <x:c r="C401" s="83" t="str">
        <x:f>IF($A401&lt;&gt;"",Katalog_Fiyatlayici!$AA401,"")</x:f>
      </x:c>
      <x:c r="D401" s="83" t="str">
        <x:f>IF($A401&lt;&gt;"",Katalog_Fiyatlayici!$W401,"")</x:f>
      </x:c>
      <x:c r="E401" s="75" t="str">
        <x:f>IF($A401&lt;&gt;"","Service","")</x:f>
      </x:c>
      <x:c r="F401" s="75" t="str">
        <x:f>IF($A401&lt;&gt;"",Katalog_Fiyatlayici!$AE401,"")</x:f>
      </x:c>
      <x:c r="G401" s="75" t="str">
        <x:f>IF($A401&lt;&gt;"",Katalog_Fiyatlayici!$AD401,"")</x:f>
      </x:c>
      <x:c r="H401" s="75" t="str">
        <x:f>IF($A401&lt;&gt;"",Katalog_Fiyatlayici!$B401,"")</x:f>
      </x:c>
      <x:c r="I401" s="75" t="str">
        <x:f>IF($A401&lt;&gt;"","MakerWorld model linkine göre tahmini 3D baskı fiyatı. Gerçek üretimden önce Bambu Studio ile gramaj ve süre doğrulanır.","")</x:f>
      </x:c>
      <x:c r="J401" s="75" t="str">
        <x:f>IF($A401&lt;&gt;"",TRUE,"")</x:f>
      </x:c>
      <x:c r="K401" s="75" t="str">
        <x:f>IF($A401&lt;&gt;"",FALSE,"")</x:f>
      </x:c>
      <x:c r="L401" s="75" t="str">
        <x:f>IF($A401&lt;&gt;"","Units","")</x:f>
      </x:c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75" t="str">
        <x:f>IF(Katalog_Fiyatlayici!$AC402="Fiyat Hazır",Katalog_Fiyatlayici!$AD402,"")</x:f>
      </x:c>
      <x:c r="B402" s="75" t="str">
        <x:f>IF($A402&lt;&gt;"",Katalog_Fiyatlayici!$AF402,"")</x:f>
      </x:c>
      <x:c r="C402" s="83" t="str">
        <x:f>IF($A402&lt;&gt;"",Katalog_Fiyatlayici!$AA402,"")</x:f>
      </x:c>
      <x:c r="D402" s="83" t="str">
        <x:f>IF($A402&lt;&gt;"",Katalog_Fiyatlayici!$W402,"")</x:f>
      </x:c>
      <x:c r="E402" s="75" t="str">
        <x:f>IF($A402&lt;&gt;"","Service","")</x:f>
      </x:c>
      <x:c r="F402" s="75" t="str">
        <x:f>IF($A402&lt;&gt;"",Katalog_Fiyatlayici!$AE402,"")</x:f>
      </x:c>
      <x:c r="G402" s="75" t="str">
        <x:f>IF($A402&lt;&gt;"",Katalog_Fiyatlayici!$AD402,"")</x:f>
      </x:c>
      <x:c r="H402" s="75" t="str">
        <x:f>IF($A402&lt;&gt;"",Katalog_Fiyatlayici!$B402,"")</x:f>
      </x:c>
      <x:c r="I402" s="75" t="str">
        <x:f>IF($A402&lt;&gt;"","MakerWorld model linkine göre tahmini 3D baskı fiyatı. Gerçek üretimden önce Bambu Studio ile gramaj ve süre doğrulanır.","")</x:f>
      </x:c>
      <x:c r="J402" s="75" t="str">
        <x:f>IF($A402&lt;&gt;"",TRUE,"")</x:f>
      </x:c>
      <x:c r="K402" s="75" t="str">
        <x:f>IF($A402&lt;&gt;"",FALSE,"")</x:f>
      </x:c>
      <x:c r="L402" s="75" t="str">
        <x:f>IF($A402&lt;&gt;"","Units","")</x:f>
      </x:c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75" t="str">
        <x:f>IF(Katalog_Fiyatlayici!$AC403="Fiyat Hazır",Katalog_Fiyatlayici!$AD403,"")</x:f>
      </x:c>
      <x:c r="B403" s="75" t="str">
        <x:f>IF($A403&lt;&gt;"",Katalog_Fiyatlayici!$AF403,"")</x:f>
      </x:c>
      <x:c r="C403" s="83" t="str">
        <x:f>IF($A403&lt;&gt;"",Katalog_Fiyatlayici!$AA403,"")</x:f>
      </x:c>
      <x:c r="D403" s="83" t="str">
        <x:f>IF($A403&lt;&gt;"",Katalog_Fiyatlayici!$W403,"")</x:f>
      </x:c>
      <x:c r="E403" s="75" t="str">
        <x:f>IF($A403&lt;&gt;"","Service","")</x:f>
      </x:c>
      <x:c r="F403" s="75" t="str">
        <x:f>IF($A403&lt;&gt;"",Katalog_Fiyatlayici!$AE403,"")</x:f>
      </x:c>
      <x:c r="G403" s="75" t="str">
        <x:f>IF($A403&lt;&gt;"",Katalog_Fiyatlayici!$AD403,"")</x:f>
      </x:c>
      <x:c r="H403" s="75" t="str">
        <x:f>IF($A403&lt;&gt;"",Katalog_Fiyatlayici!$B403,"")</x:f>
      </x:c>
      <x:c r="I403" s="75" t="str">
        <x:f>IF($A403&lt;&gt;"","MakerWorld model linkine göre tahmini 3D baskı fiyatı. Gerçek üretimden önce Bambu Studio ile gramaj ve süre doğrulanır.","")</x:f>
      </x:c>
      <x:c r="J403" s="75" t="str">
        <x:f>IF($A403&lt;&gt;"",TRUE,"")</x:f>
      </x:c>
      <x:c r="K403" s="75" t="str">
        <x:f>IF($A403&lt;&gt;"",FALSE,"")</x:f>
      </x:c>
      <x:c r="L403" s="75" t="str">
        <x:f>IF($A403&lt;&gt;"","Units","")</x:f>
      </x:c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75" t="str">
        <x:f>IF(Katalog_Fiyatlayici!$AC404="Fiyat Hazır",Katalog_Fiyatlayici!$AD404,"")</x:f>
      </x:c>
      <x:c r="B404" s="75" t="str">
        <x:f>IF($A404&lt;&gt;"",Katalog_Fiyatlayici!$AF404,"")</x:f>
      </x:c>
      <x:c r="C404" s="83" t="str">
        <x:f>IF($A404&lt;&gt;"",Katalog_Fiyatlayici!$AA404,"")</x:f>
      </x:c>
      <x:c r="D404" s="83" t="str">
        <x:f>IF($A404&lt;&gt;"",Katalog_Fiyatlayici!$W404,"")</x:f>
      </x:c>
      <x:c r="E404" s="75" t="str">
        <x:f>IF($A404&lt;&gt;"","Service","")</x:f>
      </x:c>
      <x:c r="F404" s="75" t="str">
        <x:f>IF($A404&lt;&gt;"",Katalog_Fiyatlayici!$AE404,"")</x:f>
      </x:c>
      <x:c r="G404" s="75" t="str">
        <x:f>IF($A404&lt;&gt;"",Katalog_Fiyatlayici!$AD404,"")</x:f>
      </x:c>
      <x:c r="H404" s="75" t="str">
        <x:f>IF($A404&lt;&gt;"",Katalog_Fiyatlayici!$B404,"")</x:f>
      </x:c>
      <x:c r="I404" s="75" t="str">
        <x:f>IF($A404&lt;&gt;"","MakerWorld model linkine göre tahmini 3D baskı fiyatı. Gerçek üretimden önce Bambu Studio ile gramaj ve süre doğrulanır.","")</x:f>
      </x:c>
      <x:c r="J404" s="75" t="str">
        <x:f>IF($A404&lt;&gt;"",TRUE,"")</x:f>
      </x:c>
      <x:c r="K404" s="75" t="str">
        <x:f>IF($A404&lt;&gt;"",FALSE,"")</x:f>
      </x:c>
      <x:c r="L404" s="75" t="str">
        <x:f>IF($A404&lt;&gt;"","Units","")</x:f>
      </x:c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75" t="str">
        <x:f>IF(Katalog_Fiyatlayici!$AC405="Fiyat Hazır",Katalog_Fiyatlayici!$AD405,"")</x:f>
      </x:c>
      <x:c r="B405" s="75" t="str">
        <x:f>IF($A405&lt;&gt;"",Katalog_Fiyatlayici!$AF405,"")</x:f>
      </x:c>
      <x:c r="C405" s="83" t="str">
        <x:f>IF($A405&lt;&gt;"",Katalog_Fiyatlayici!$AA405,"")</x:f>
      </x:c>
      <x:c r="D405" s="83" t="str">
        <x:f>IF($A405&lt;&gt;"",Katalog_Fiyatlayici!$W405,"")</x:f>
      </x:c>
      <x:c r="E405" s="75" t="str">
        <x:f>IF($A405&lt;&gt;"","Service","")</x:f>
      </x:c>
      <x:c r="F405" s="75" t="str">
        <x:f>IF($A405&lt;&gt;"",Katalog_Fiyatlayici!$AE405,"")</x:f>
      </x:c>
      <x:c r="G405" s="75" t="str">
        <x:f>IF($A405&lt;&gt;"",Katalog_Fiyatlayici!$AD405,"")</x:f>
      </x:c>
      <x:c r="H405" s="75" t="str">
        <x:f>IF($A405&lt;&gt;"",Katalog_Fiyatlayici!$B405,"")</x:f>
      </x:c>
      <x:c r="I405" s="75" t="str">
        <x:f>IF($A405&lt;&gt;"","MakerWorld model linkine göre tahmini 3D baskı fiyatı. Gerçek üretimden önce Bambu Studio ile gramaj ve süre doğrulanır.","")</x:f>
      </x:c>
      <x:c r="J405" s="75" t="str">
        <x:f>IF($A405&lt;&gt;"",TRUE,"")</x:f>
      </x:c>
      <x:c r="K405" s="75" t="str">
        <x:f>IF($A405&lt;&gt;"",FALSE,"")</x:f>
      </x:c>
      <x:c r="L405" s="75" t="str">
        <x:f>IF($A405&lt;&gt;"","Units","")</x:f>
      </x:c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75" t="str">
        <x:f>IF(Katalog_Fiyatlayici!$AC406="Fiyat Hazır",Katalog_Fiyatlayici!$AD406,"")</x:f>
      </x:c>
      <x:c r="B406" s="75" t="str">
        <x:f>IF($A406&lt;&gt;"",Katalog_Fiyatlayici!$AF406,"")</x:f>
      </x:c>
      <x:c r="C406" s="83" t="str">
        <x:f>IF($A406&lt;&gt;"",Katalog_Fiyatlayici!$AA406,"")</x:f>
      </x:c>
      <x:c r="D406" s="83" t="str">
        <x:f>IF($A406&lt;&gt;"",Katalog_Fiyatlayici!$W406,"")</x:f>
      </x:c>
      <x:c r="E406" s="75" t="str">
        <x:f>IF($A406&lt;&gt;"","Service","")</x:f>
      </x:c>
      <x:c r="F406" s="75" t="str">
        <x:f>IF($A406&lt;&gt;"",Katalog_Fiyatlayici!$AE406,"")</x:f>
      </x:c>
      <x:c r="G406" s="75" t="str">
        <x:f>IF($A406&lt;&gt;"",Katalog_Fiyatlayici!$AD406,"")</x:f>
      </x:c>
      <x:c r="H406" s="75" t="str">
        <x:f>IF($A406&lt;&gt;"",Katalog_Fiyatlayici!$B406,"")</x:f>
      </x:c>
      <x:c r="I406" s="75" t="str">
        <x:f>IF($A406&lt;&gt;"","MakerWorld model linkine göre tahmini 3D baskı fiyatı. Gerçek üretimden önce Bambu Studio ile gramaj ve süre doğrulanır.","")</x:f>
      </x:c>
      <x:c r="J406" s="75" t="str">
        <x:f>IF($A406&lt;&gt;"",TRUE,"")</x:f>
      </x:c>
      <x:c r="K406" s="75" t="str">
        <x:f>IF($A406&lt;&gt;"",FALSE,"")</x:f>
      </x:c>
      <x:c r="L406" s="75" t="str">
        <x:f>IF($A406&lt;&gt;"","Units","")</x:f>
      </x:c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75" t="str">
        <x:f>IF(Katalog_Fiyatlayici!$AC407="Fiyat Hazır",Katalog_Fiyatlayici!$AD407,"")</x:f>
      </x:c>
      <x:c r="B407" s="75" t="str">
        <x:f>IF($A407&lt;&gt;"",Katalog_Fiyatlayici!$AF407,"")</x:f>
      </x:c>
      <x:c r="C407" s="83" t="str">
        <x:f>IF($A407&lt;&gt;"",Katalog_Fiyatlayici!$AA407,"")</x:f>
      </x:c>
      <x:c r="D407" s="83" t="str">
        <x:f>IF($A407&lt;&gt;"",Katalog_Fiyatlayici!$W407,"")</x:f>
      </x:c>
      <x:c r="E407" s="75" t="str">
        <x:f>IF($A407&lt;&gt;"","Service","")</x:f>
      </x:c>
      <x:c r="F407" s="75" t="str">
        <x:f>IF($A407&lt;&gt;"",Katalog_Fiyatlayici!$AE407,"")</x:f>
      </x:c>
      <x:c r="G407" s="75" t="str">
        <x:f>IF($A407&lt;&gt;"",Katalog_Fiyatlayici!$AD407,"")</x:f>
      </x:c>
      <x:c r="H407" s="75" t="str">
        <x:f>IF($A407&lt;&gt;"",Katalog_Fiyatlayici!$B407,"")</x:f>
      </x:c>
      <x:c r="I407" s="75" t="str">
        <x:f>IF($A407&lt;&gt;"","MakerWorld model linkine göre tahmini 3D baskı fiyatı. Gerçek üretimden önce Bambu Studio ile gramaj ve süre doğrulanır.","")</x:f>
      </x:c>
      <x:c r="J407" s="75" t="str">
        <x:f>IF($A407&lt;&gt;"",TRUE,"")</x:f>
      </x:c>
      <x:c r="K407" s="75" t="str">
        <x:f>IF($A407&lt;&gt;"",FALSE,"")</x:f>
      </x:c>
      <x:c r="L407" s="75" t="str">
        <x:f>IF($A407&lt;&gt;"","Units","")</x:f>
      </x:c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75" t="str">
        <x:f>IF(Katalog_Fiyatlayici!$AC408="Fiyat Hazır",Katalog_Fiyatlayici!$AD408,"")</x:f>
      </x:c>
      <x:c r="B408" s="75" t="str">
        <x:f>IF($A408&lt;&gt;"",Katalog_Fiyatlayici!$AF408,"")</x:f>
      </x:c>
      <x:c r="C408" s="83" t="str">
        <x:f>IF($A408&lt;&gt;"",Katalog_Fiyatlayici!$AA408,"")</x:f>
      </x:c>
      <x:c r="D408" s="83" t="str">
        <x:f>IF($A408&lt;&gt;"",Katalog_Fiyatlayici!$W408,"")</x:f>
      </x:c>
      <x:c r="E408" s="75" t="str">
        <x:f>IF($A408&lt;&gt;"","Service","")</x:f>
      </x:c>
      <x:c r="F408" s="75" t="str">
        <x:f>IF($A408&lt;&gt;"",Katalog_Fiyatlayici!$AE408,"")</x:f>
      </x:c>
      <x:c r="G408" s="75" t="str">
        <x:f>IF($A408&lt;&gt;"",Katalog_Fiyatlayici!$AD408,"")</x:f>
      </x:c>
      <x:c r="H408" s="75" t="str">
        <x:f>IF($A408&lt;&gt;"",Katalog_Fiyatlayici!$B408,"")</x:f>
      </x:c>
      <x:c r="I408" s="75" t="str">
        <x:f>IF($A408&lt;&gt;"","MakerWorld model linkine göre tahmini 3D baskı fiyatı. Gerçek üretimden önce Bambu Studio ile gramaj ve süre doğrulanır.","")</x:f>
      </x:c>
      <x:c r="J408" s="75" t="str">
        <x:f>IF($A408&lt;&gt;"",TRUE,"")</x:f>
      </x:c>
      <x:c r="K408" s="75" t="str">
        <x:f>IF($A408&lt;&gt;"",FALSE,"")</x:f>
      </x:c>
      <x:c r="L408" s="75" t="str">
        <x:f>IF($A408&lt;&gt;"","Units","")</x:f>
      </x:c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75" t="str">
        <x:f>IF(Katalog_Fiyatlayici!$AC409="Fiyat Hazır",Katalog_Fiyatlayici!$AD409,"")</x:f>
      </x:c>
      <x:c r="B409" s="75" t="str">
        <x:f>IF($A409&lt;&gt;"",Katalog_Fiyatlayici!$AF409,"")</x:f>
      </x:c>
      <x:c r="C409" s="83" t="str">
        <x:f>IF($A409&lt;&gt;"",Katalog_Fiyatlayici!$AA409,"")</x:f>
      </x:c>
      <x:c r="D409" s="83" t="str">
        <x:f>IF($A409&lt;&gt;"",Katalog_Fiyatlayici!$W409,"")</x:f>
      </x:c>
      <x:c r="E409" s="75" t="str">
        <x:f>IF($A409&lt;&gt;"","Service","")</x:f>
      </x:c>
      <x:c r="F409" s="75" t="str">
        <x:f>IF($A409&lt;&gt;"",Katalog_Fiyatlayici!$AE409,"")</x:f>
      </x:c>
      <x:c r="G409" s="75" t="str">
        <x:f>IF($A409&lt;&gt;"",Katalog_Fiyatlayici!$AD409,"")</x:f>
      </x:c>
      <x:c r="H409" s="75" t="str">
        <x:f>IF($A409&lt;&gt;"",Katalog_Fiyatlayici!$B409,"")</x:f>
      </x:c>
      <x:c r="I409" s="75" t="str">
        <x:f>IF($A409&lt;&gt;"","MakerWorld model linkine göre tahmini 3D baskı fiyatı. Gerçek üretimden önce Bambu Studio ile gramaj ve süre doğrulanır.","")</x:f>
      </x:c>
      <x:c r="J409" s="75" t="str">
        <x:f>IF($A409&lt;&gt;"",TRUE,"")</x:f>
      </x:c>
      <x:c r="K409" s="75" t="str">
        <x:f>IF($A409&lt;&gt;"",FALSE,"")</x:f>
      </x:c>
      <x:c r="L409" s="75" t="str">
        <x:f>IF($A409&lt;&gt;"","Units","")</x:f>
      </x:c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75" t="str">
        <x:f>IF(Katalog_Fiyatlayici!$AC410="Fiyat Hazır",Katalog_Fiyatlayici!$AD410,"")</x:f>
      </x:c>
      <x:c r="B410" s="75" t="str">
        <x:f>IF($A410&lt;&gt;"",Katalog_Fiyatlayici!$AF410,"")</x:f>
      </x:c>
      <x:c r="C410" s="83" t="str">
        <x:f>IF($A410&lt;&gt;"",Katalog_Fiyatlayici!$AA410,"")</x:f>
      </x:c>
      <x:c r="D410" s="83" t="str">
        <x:f>IF($A410&lt;&gt;"",Katalog_Fiyatlayici!$W410,"")</x:f>
      </x:c>
      <x:c r="E410" s="75" t="str">
        <x:f>IF($A410&lt;&gt;"","Service","")</x:f>
      </x:c>
      <x:c r="F410" s="75" t="str">
        <x:f>IF($A410&lt;&gt;"",Katalog_Fiyatlayici!$AE410,"")</x:f>
      </x:c>
      <x:c r="G410" s="75" t="str">
        <x:f>IF($A410&lt;&gt;"",Katalog_Fiyatlayici!$AD410,"")</x:f>
      </x:c>
      <x:c r="H410" s="75" t="str">
        <x:f>IF($A410&lt;&gt;"",Katalog_Fiyatlayici!$B410,"")</x:f>
      </x:c>
      <x:c r="I410" s="75" t="str">
        <x:f>IF($A410&lt;&gt;"","MakerWorld model linkine göre tahmini 3D baskı fiyatı. Gerçek üretimden önce Bambu Studio ile gramaj ve süre doğrulanır.","")</x:f>
      </x:c>
      <x:c r="J410" s="75" t="str">
        <x:f>IF($A410&lt;&gt;"",TRUE,"")</x:f>
      </x:c>
      <x:c r="K410" s="75" t="str">
        <x:f>IF($A410&lt;&gt;"",FALSE,"")</x:f>
      </x:c>
      <x:c r="L410" s="75" t="str">
        <x:f>IF($A410&lt;&gt;"","Units","")</x:f>
      </x:c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75" t="str">
        <x:f>IF(Katalog_Fiyatlayici!$AC411="Fiyat Hazır",Katalog_Fiyatlayici!$AD411,"")</x:f>
      </x:c>
      <x:c r="B411" s="75" t="str">
        <x:f>IF($A411&lt;&gt;"",Katalog_Fiyatlayici!$AF411,"")</x:f>
      </x:c>
      <x:c r="C411" s="83" t="str">
        <x:f>IF($A411&lt;&gt;"",Katalog_Fiyatlayici!$AA411,"")</x:f>
      </x:c>
      <x:c r="D411" s="83" t="str">
        <x:f>IF($A411&lt;&gt;"",Katalog_Fiyatlayici!$W411,"")</x:f>
      </x:c>
      <x:c r="E411" s="75" t="str">
        <x:f>IF($A411&lt;&gt;"","Service","")</x:f>
      </x:c>
      <x:c r="F411" s="75" t="str">
        <x:f>IF($A411&lt;&gt;"",Katalog_Fiyatlayici!$AE411,"")</x:f>
      </x:c>
      <x:c r="G411" s="75" t="str">
        <x:f>IF($A411&lt;&gt;"",Katalog_Fiyatlayici!$AD411,"")</x:f>
      </x:c>
      <x:c r="H411" s="75" t="str">
        <x:f>IF($A411&lt;&gt;"",Katalog_Fiyatlayici!$B411,"")</x:f>
      </x:c>
      <x:c r="I411" s="75" t="str">
        <x:f>IF($A411&lt;&gt;"","MakerWorld model linkine göre tahmini 3D baskı fiyatı. Gerçek üretimden önce Bambu Studio ile gramaj ve süre doğrulanır.","")</x:f>
      </x:c>
      <x:c r="J411" s="75" t="str">
        <x:f>IF($A411&lt;&gt;"",TRUE,"")</x:f>
      </x:c>
      <x:c r="K411" s="75" t="str">
        <x:f>IF($A411&lt;&gt;"",FALSE,"")</x:f>
      </x:c>
      <x:c r="L411" s="75" t="str">
        <x:f>IF($A411&lt;&gt;"","Units","")</x:f>
      </x:c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75" t="str">
        <x:f>IF(Katalog_Fiyatlayici!$AC412="Fiyat Hazır",Katalog_Fiyatlayici!$AD412,"")</x:f>
      </x:c>
      <x:c r="B412" s="75" t="str">
        <x:f>IF($A412&lt;&gt;"",Katalog_Fiyatlayici!$AF412,"")</x:f>
      </x:c>
      <x:c r="C412" s="83" t="str">
        <x:f>IF($A412&lt;&gt;"",Katalog_Fiyatlayici!$AA412,"")</x:f>
      </x:c>
      <x:c r="D412" s="83" t="str">
        <x:f>IF($A412&lt;&gt;"",Katalog_Fiyatlayici!$W412,"")</x:f>
      </x:c>
      <x:c r="E412" s="75" t="str">
        <x:f>IF($A412&lt;&gt;"","Service","")</x:f>
      </x:c>
      <x:c r="F412" s="75" t="str">
        <x:f>IF($A412&lt;&gt;"",Katalog_Fiyatlayici!$AE412,"")</x:f>
      </x:c>
      <x:c r="G412" s="75" t="str">
        <x:f>IF($A412&lt;&gt;"",Katalog_Fiyatlayici!$AD412,"")</x:f>
      </x:c>
      <x:c r="H412" s="75" t="str">
        <x:f>IF($A412&lt;&gt;"",Katalog_Fiyatlayici!$B412,"")</x:f>
      </x:c>
      <x:c r="I412" s="75" t="str">
        <x:f>IF($A412&lt;&gt;"","MakerWorld model linkine göre tahmini 3D baskı fiyatı. Gerçek üretimden önce Bambu Studio ile gramaj ve süre doğrulanır.","")</x:f>
      </x:c>
      <x:c r="J412" s="75" t="str">
        <x:f>IF($A412&lt;&gt;"",TRUE,"")</x:f>
      </x:c>
      <x:c r="K412" s="75" t="str">
        <x:f>IF($A412&lt;&gt;"",FALSE,"")</x:f>
      </x:c>
      <x:c r="L412" s="75" t="str">
        <x:f>IF($A412&lt;&gt;"","Units","")</x:f>
      </x:c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75" t="str">
        <x:f>IF(Katalog_Fiyatlayici!$AC413="Fiyat Hazır",Katalog_Fiyatlayici!$AD413,"")</x:f>
      </x:c>
      <x:c r="B413" s="75" t="str">
        <x:f>IF($A413&lt;&gt;"",Katalog_Fiyatlayici!$AF413,"")</x:f>
      </x:c>
      <x:c r="C413" s="83" t="str">
        <x:f>IF($A413&lt;&gt;"",Katalog_Fiyatlayici!$AA413,"")</x:f>
      </x:c>
      <x:c r="D413" s="83" t="str">
        <x:f>IF($A413&lt;&gt;"",Katalog_Fiyatlayici!$W413,"")</x:f>
      </x:c>
      <x:c r="E413" s="75" t="str">
        <x:f>IF($A413&lt;&gt;"","Service","")</x:f>
      </x:c>
      <x:c r="F413" s="75" t="str">
        <x:f>IF($A413&lt;&gt;"",Katalog_Fiyatlayici!$AE413,"")</x:f>
      </x:c>
      <x:c r="G413" s="75" t="str">
        <x:f>IF($A413&lt;&gt;"",Katalog_Fiyatlayici!$AD413,"")</x:f>
      </x:c>
      <x:c r="H413" s="75" t="str">
        <x:f>IF($A413&lt;&gt;"",Katalog_Fiyatlayici!$B413,"")</x:f>
      </x:c>
      <x:c r="I413" s="75" t="str">
        <x:f>IF($A413&lt;&gt;"","MakerWorld model linkine göre tahmini 3D baskı fiyatı. Gerçek üretimden önce Bambu Studio ile gramaj ve süre doğrulanır.","")</x:f>
      </x:c>
      <x:c r="J413" s="75" t="str">
        <x:f>IF($A413&lt;&gt;"",TRUE,"")</x:f>
      </x:c>
      <x:c r="K413" s="75" t="str">
        <x:f>IF($A413&lt;&gt;"",FALSE,"")</x:f>
      </x:c>
      <x:c r="L413" s="75" t="str">
        <x:f>IF($A413&lt;&gt;"","Units","")</x:f>
      </x:c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75" t="str">
        <x:f>IF(Katalog_Fiyatlayici!$AC414="Fiyat Hazır",Katalog_Fiyatlayici!$AD414,"")</x:f>
      </x:c>
      <x:c r="B414" s="75" t="str">
        <x:f>IF($A414&lt;&gt;"",Katalog_Fiyatlayici!$AF414,"")</x:f>
      </x:c>
      <x:c r="C414" s="83" t="str">
        <x:f>IF($A414&lt;&gt;"",Katalog_Fiyatlayici!$AA414,"")</x:f>
      </x:c>
      <x:c r="D414" s="83" t="str">
        <x:f>IF($A414&lt;&gt;"",Katalog_Fiyatlayici!$W414,"")</x:f>
      </x:c>
      <x:c r="E414" s="75" t="str">
        <x:f>IF($A414&lt;&gt;"","Service","")</x:f>
      </x:c>
      <x:c r="F414" s="75" t="str">
        <x:f>IF($A414&lt;&gt;"",Katalog_Fiyatlayici!$AE414,"")</x:f>
      </x:c>
      <x:c r="G414" s="75" t="str">
        <x:f>IF($A414&lt;&gt;"",Katalog_Fiyatlayici!$AD414,"")</x:f>
      </x:c>
      <x:c r="H414" s="75" t="str">
        <x:f>IF($A414&lt;&gt;"",Katalog_Fiyatlayici!$B414,"")</x:f>
      </x:c>
      <x:c r="I414" s="75" t="str">
        <x:f>IF($A414&lt;&gt;"","MakerWorld model linkine göre tahmini 3D baskı fiyatı. Gerçek üretimden önce Bambu Studio ile gramaj ve süre doğrulanır.","")</x:f>
      </x:c>
      <x:c r="J414" s="75" t="str">
        <x:f>IF($A414&lt;&gt;"",TRUE,"")</x:f>
      </x:c>
      <x:c r="K414" s="75" t="str">
        <x:f>IF($A414&lt;&gt;"",FALSE,"")</x:f>
      </x:c>
      <x:c r="L414" s="75" t="str">
        <x:f>IF($A414&lt;&gt;"","Units","")</x:f>
      </x:c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75" t="str">
        <x:f>IF(Katalog_Fiyatlayici!$AC415="Fiyat Hazır",Katalog_Fiyatlayici!$AD415,"")</x:f>
      </x:c>
      <x:c r="B415" s="75" t="str">
        <x:f>IF($A415&lt;&gt;"",Katalog_Fiyatlayici!$AF415,"")</x:f>
      </x:c>
      <x:c r="C415" s="83" t="str">
        <x:f>IF($A415&lt;&gt;"",Katalog_Fiyatlayici!$AA415,"")</x:f>
      </x:c>
      <x:c r="D415" s="83" t="str">
        <x:f>IF($A415&lt;&gt;"",Katalog_Fiyatlayici!$W415,"")</x:f>
      </x:c>
      <x:c r="E415" s="75" t="str">
        <x:f>IF($A415&lt;&gt;"","Service","")</x:f>
      </x:c>
      <x:c r="F415" s="75" t="str">
        <x:f>IF($A415&lt;&gt;"",Katalog_Fiyatlayici!$AE415,"")</x:f>
      </x:c>
      <x:c r="G415" s="75" t="str">
        <x:f>IF($A415&lt;&gt;"",Katalog_Fiyatlayici!$AD415,"")</x:f>
      </x:c>
      <x:c r="H415" s="75" t="str">
        <x:f>IF($A415&lt;&gt;"",Katalog_Fiyatlayici!$B415,"")</x:f>
      </x:c>
      <x:c r="I415" s="75" t="str">
        <x:f>IF($A415&lt;&gt;"","MakerWorld model linkine göre tahmini 3D baskı fiyatı. Gerçek üretimden önce Bambu Studio ile gramaj ve süre doğrulanır.","")</x:f>
      </x:c>
      <x:c r="J415" s="75" t="str">
        <x:f>IF($A415&lt;&gt;"",TRUE,"")</x:f>
      </x:c>
      <x:c r="K415" s="75" t="str">
        <x:f>IF($A415&lt;&gt;"",FALSE,"")</x:f>
      </x:c>
      <x:c r="L415" s="75" t="str">
        <x:f>IF($A415&lt;&gt;"","Units","")</x:f>
      </x:c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75" t="str">
        <x:f>IF(Katalog_Fiyatlayici!$AC416="Fiyat Hazır",Katalog_Fiyatlayici!$AD416,"")</x:f>
      </x:c>
      <x:c r="B416" s="75" t="str">
        <x:f>IF($A416&lt;&gt;"",Katalog_Fiyatlayici!$AF416,"")</x:f>
      </x:c>
      <x:c r="C416" s="83" t="str">
        <x:f>IF($A416&lt;&gt;"",Katalog_Fiyatlayici!$AA416,"")</x:f>
      </x:c>
      <x:c r="D416" s="83" t="str">
        <x:f>IF($A416&lt;&gt;"",Katalog_Fiyatlayici!$W416,"")</x:f>
      </x:c>
      <x:c r="E416" s="75" t="str">
        <x:f>IF($A416&lt;&gt;"","Service","")</x:f>
      </x:c>
      <x:c r="F416" s="75" t="str">
        <x:f>IF($A416&lt;&gt;"",Katalog_Fiyatlayici!$AE416,"")</x:f>
      </x:c>
      <x:c r="G416" s="75" t="str">
        <x:f>IF($A416&lt;&gt;"",Katalog_Fiyatlayici!$AD416,"")</x:f>
      </x:c>
      <x:c r="H416" s="75" t="str">
        <x:f>IF($A416&lt;&gt;"",Katalog_Fiyatlayici!$B416,"")</x:f>
      </x:c>
      <x:c r="I416" s="75" t="str">
        <x:f>IF($A416&lt;&gt;"","MakerWorld model linkine göre tahmini 3D baskı fiyatı. Gerçek üretimden önce Bambu Studio ile gramaj ve süre doğrulanır.","")</x:f>
      </x:c>
      <x:c r="J416" s="75" t="str">
        <x:f>IF($A416&lt;&gt;"",TRUE,"")</x:f>
      </x:c>
      <x:c r="K416" s="75" t="str">
        <x:f>IF($A416&lt;&gt;"",FALSE,"")</x:f>
      </x:c>
      <x:c r="L416" s="75" t="str">
        <x:f>IF($A416&lt;&gt;"","Units","")</x:f>
      </x:c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75" t="str">
        <x:f>IF(Katalog_Fiyatlayici!$AC417="Fiyat Hazır",Katalog_Fiyatlayici!$AD417,"")</x:f>
      </x:c>
      <x:c r="B417" s="75" t="str">
        <x:f>IF($A417&lt;&gt;"",Katalog_Fiyatlayici!$AF417,"")</x:f>
      </x:c>
      <x:c r="C417" s="83" t="str">
        <x:f>IF($A417&lt;&gt;"",Katalog_Fiyatlayici!$AA417,"")</x:f>
      </x:c>
      <x:c r="D417" s="83" t="str">
        <x:f>IF($A417&lt;&gt;"",Katalog_Fiyatlayici!$W417,"")</x:f>
      </x:c>
      <x:c r="E417" s="75" t="str">
        <x:f>IF($A417&lt;&gt;"","Service","")</x:f>
      </x:c>
      <x:c r="F417" s="75" t="str">
        <x:f>IF($A417&lt;&gt;"",Katalog_Fiyatlayici!$AE417,"")</x:f>
      </x:c>
      <x:c r="G417" s="75" t="str">
        <x:f>IF($A417&lt;&gt;"",Katalog_Fiyatlayici!$AD417,"")</x:f>
      </x:c>
      <x:c r="H417" s="75" t="str">
        <x:f>IF($A417&lt;&gt;"",Katalog_Fiyatlayici!$B417,"")</x:f>
      </x:c>
      <x:c r="I417" s="75" t="str">
        <x:f>IF($A417&lt;&gt;"","MakerWorld model linkine göre tahmini 3D baskı fiyatı. Gerçek üretimden önce Bambu Studio ile gramaj ve süre doğrulanır.","")</x:f>
      </x:c>
      <x:c r="J417" s="75" t="str">
        <x:f>IF($A417&lt;&gt;"",TRUE,"")</x:f>
      </x:c>
      <x:c r="K417" s="75" t="str">
        <x:f>IF($A417&lt;&gt;"",FALSE,"")</x:f>
      </x:c>
      <x:c r="L417" s="75" t="str">
        <x:f>IF($A417&lt;&gt;"","Units","")</x:f>
      </x:c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75" t="str">
        <x:f>IF(Katalog_Fiyatlayici!$AC418="Fiyat Hazır",Katalog_Fiyatlayici!$AD418,"")</x:f>
      </x:c>
      <x:c r="B418" s="75" t="str">
        <x:f>IF($A418&lt;&gt;"",Katalog_Fiyatlayici!$AF418,"")</x:f>
      </x:c>
      <x:c r="C418" s="83" t="str">
        <x:f>IF($A418&lt;&gt;"",Katalog_Fiyatlayici!$AA418,"")</x:f>
      </x:c>
      <x:c r="D418" s="83" t="str">
        <x:f>IF($A418&lt;&gt;"",Katalog_Fiyatlayici!$W418,"")</x:f>
      </x:c>
      <x:c r="E418" s="75" t="str">
        <x:f>IF($A418&lt;&gt;"","Service","")</x:f>
      </x:c>
      <x:c r="F418" s="75" t="str">
        <x:f>IF($A418&lt;&gt;"",Katalog_Fiyatlayici!$AE418,"")</x:f>
      </x:c>
      <x:c r="G418" s="75" t="str">
        <x:f>IF($A418&lt;&gt;"",Katalog_Fiyatlayici!$AD418,"")</x:f>
      </x:c>
      <x:c r="H418" s="75" t="str">
        <x:f>IF($A418&lt;&gt;"",Katalog_Fiyatlayici!$B418,"")</x:f>
      </x:c>
      <x:c r="I418" s="75" t="str">
        <x:f>IF($A418&lt;&gt;"","MakerWorld model linkine göre tahmini 3D baskı fiyatı. Gerçek üretimden önce Bambu Studio ile gramaj ve süre doğrulanır.","")</x:f>
      </x:c>
      <x:c r="J418" s="75" t="str">
        <x:f>IF($A418&lt;&gt;"",TRUE,"")</x:f>
      </x:c>
      <x:c r="K418" s="75" t="str">
        <x:f>IF($A418&lt;&gt;"",FALSE,"")</x:f>
      </x:c>
      <x:c r="L418" s="75" t="str">
        <x:f>IF($A418&lt;&gt;"","Units","")</x:f>
      </x:c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75" t="str">
        <x:f>IF(Katalog_Fiyatlayici!$AC419="Fiyat Hazır",Katalog_Fiyatlayici!$AD419,"")</x:f>
      </x:c>
      <x:c r="B419" s="75" t="str">
        <x:f>IF($A419&lt;&gt;"",Katalog_Fiyatlayici!$AF419,"")</x:f>
      </x:c>
      <x:c r="C419" s="83" t="str">
        <x:f>IF($A419&lt;&gt;"",Katalog_Fiyatlayici!$AA419,"")</x:f>
      </x:c>
      <x:c r="D419" s="83" t="str">
        <x:f>IF($A419&lt;&gt;"",Katalog_Fiyatlayici!$W419,"")</x:f>
      </x:c>
      <x:c r="E419" s="75" t="str">
        <x:f>IF($A419&lt;&gt;"","Service","")</x:f>
      </x:c>
      <x:c r="F419" s="75" t="str">
        <x:f>IF($A419&lt;&gt;"",Katalog_Fiyatlayici!$AE419,"")</x:f>
      </x:c>
      <x:c r="G419" s="75" t="str">
        <x:f>IF($A419&lt;&gt;"",Katalog_Fiyatlayici!$AD419,"")</x:f>
      </x:c>
      <x:c r="H419" s="75" t="str">
        <x:f>IF($A419&lt;&gt;"",Katalog_Fiyatlayici!$B419,"")</x:f>
      </x:c>
      <x:c r="I419" s="75" t="str">
        <x:f>IF($A419&lt;&gt;"","MakerWorld model linkine göre tahmini 3D baskı fiyatı. Gerçek üretimden önce Bambu Studio ile gramaj ve süre doğrulanır.","")</x:f>
      </x:c>
      <x:c r="J419" s="75" t="str">
        <x:f>IF($A419&lt;&gt;"",TRUE,"")</x:f>
      </x:c>
      <x:c r="K419" s="75" t="str">
        <x:f>IF($A419&lt;&gt;"",FALSE,"")</x:f>
      </x:c>
      <x:c r="L419" s="75" t="str">
        <x:f>IF($A419&lt;&gt;"","Units","")</x:f>
      </x:c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75" t="str">
        <x:f>IF(Katalog_Fiyatlayici!$AC420="Fiyat Hazır",Katalog_Fiyatlayici!$AD420,"")</x:f>
      </x:c>
      <x:c r="B420" s="75" t="str">
        <x:f>IF($A420&lt;&gt;"",Katalog_Fiyatlayici!$AF420,"")</x:f>
      </x:c>
      <x:c r="C420" s="83" t="str">
        <x:f>IF($A420&lt;&gt;"",Katalog_Fiyatlayici!$AA420,"")</x:f>
      </x:c>
      <x:c r="D420" s="83" t="str">
        <x:f>IF($A420&lt;&gt;"",Katalog_Fiyatlayici!$W420,"")</x:f>
      </x:c>
      <x:c r="E420" s="75" t="str">
        <x:f>IF($A420&lt;&gt;"","Service","")</x:f>
      </x:c>
      <x:c r="F420" s="75" t="str">
        <x:f>IF($A420&lt;&gt;"",Katalog_Fiyatlayici!$AE420,"")</x:f>
      </x:c>
      <x:c r="G420" s="75" t="str">
        <x:f>IF($A420&lt;&gt;"",Katalog_Fiyatlayici!$AD420,"")</x:f>
      </x:c>
      <x:c r="H420" s="75" t="str">
        <x:f>IF($A420&lt;&gt;"",Katalog_Fiyatlayici!$B420,"")</x:f>
      </x:c>
      <x:c r="I420" s="75" t="str">
        <x:f>IF($A420&lt;&gt;"","MakerWorld model linkine göre tahmini 3D baskı fiyatı. Gerçek üretimden önce Bambu Studio ile gramaj ve süre doğrulanır.","")</x:f>
      </x:c>
      <x:c r="J420" s="75" t="str">
        <x:f>IF($A420&lt;&gt;"",TRUE,"")</x:f>
      </x:c>
      <x:c r="K420" s="75" t="str">
        <x:f>IF($A420&lt;&gt;"",FALSE,"")</x:f>
      </x:c>
      <x:c r="L420" s="75" t="str">
        <x:f>IF($A420&lt;&gt;"","Units","")</x:f>
      </x:c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75" t="str">
        <x:f>IF(Katalog_Fiyatlayici!$AC421="Fiyat Hazır",Katalog_Fiyatlayici!$AD421,"")</x:f>
      </x:c>
      <x:c r="B421" s="75" t="str">
        <x:f>IF($A421&lt;&gt;"",Katalog_Fiyatlayici!$AF421,"")</x:f>
      </x:c>
      <x:c r="C421" s="83" t="str">
        <x:f>IF($A421&lt;&gt;"",Katalog_Fiyatlayici!$AA421,"")</x:f>
      </x:c>
      <x:c r="D421" s="83" t="str">
        <x:f>IF($A421&lt;&gt;"",Katalog_Fiyatlayici!$W421,"")</x:f>
      </x:c>
      <x:c r="E421" s="75" t="str">
        <x:f>IF($A421&lt;&gt;"","Service","")</x:f>
      </x:c>
      <x:c r="F421" s="75" t="str">
        <x:f>IF($A421&lt;&gt;"",Katalog_Fiyatlayici!$AE421,"")</x:f>
      </x:c>
      <x:c r="G421" s="75" t="str">
        <x:f>IF($A421&lt;&gt;"",Katalog_Fiyatlayici!$AD421,"")</x:f>
      </x:c>
      <x:c r="H421" s="75" t="str">
        <x:f>IF($A421&lt;&gt;"",Katalog_Fiyatlayici!$B421,"")</x:f>
      </x:c>
      <x:c r="I421" s="75" t="str">
        <x:f>IF($A421&lt;&gt;"","MakerWorld model linkine göre tahmini 3D baskı fiyatı. Gerçek üretimden önce Bambu Studio ile gramaj ve süre doğrulanır.","")</x:f>
      </x:c>
      <x:c r="J421" s="75" t="str">
        <x:f>IF($A421&lt;&gt;"",TRUE,"")</x:f>
      </x:c>
      <x:c r="K421" s="75" t="str">
        <x:f>IF($A421&lt;&gt;"",FALSE,"")</x:f>
      </x:c>
      <x:c r="L421" s="75" t="str">
        <x:f>IF($A421&lt;&gt;"","Units","")</x:f>
      </x:c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75" t="str">
        <x:f>IF(Katalog_Fiyatlayici!$AC422="Fiyat Hazır",Katalog_Fiyatlayici!$AD422,"")</x:f>
      </x:c>
      <x:c r="B422" s="75" t="str">
        <x:f>IF($A422&lt;&gt;"",Katalog_Fiyatlayici!$AF422,"")</x:f>
      </x:c>
      <x:c r="C422" s="83" t="str">
        <x:f>IF($A422&lt;&gt;"",Katalog_Fiyatlayici!$AA422,"")</x:f>
      </x:c>
      <x:c r="D422" s="83" t="str">
        <x:f>IF($A422&lt;&gt;"",Katalog_Fiyatlayici!$W422,"")</x:f>
      </x:c>
      <x:c r="E422" s="75" t="str">
        <x:f>IF($A422&lt;&gt;"","Service","")</x:f>
      </x:c>
      <x:c r="F422" s="75" t="str">
        <x:f>IF($A422&lt;&gt;"",Katalog_Fiyatlayici!$AE422,"")</x:f>
      </x:c>
      <x:c r="G422" s="75" t="str">
        <x:f>IF($A422&lt;&gt;"",Katalog_Fiyatlayici!$AD422,"")</x:f>
      </x:c>
      <x:c r="H422" s="75" t="str">
        <x:f>IF($A422&lt;&gt;"",Katalog_Fiyatlayici!$B422,"")</x:f>
      </x:c>
      <x:c r="I422" s="75" t="str">
        <x:f>IF($A422&lt;&gt;"","MakerWorld model linkine göre tahmini 3D baskı fiyatı. Gerçek üretimden önce Bambu Studio ile gramaj ve süre doğrulanır.","")</x:f>
      </x:c>
      <x:c r="J422" s="75" t="str">
        <x:f>IF($A422&lt;&gt;"",TRUE,"")</x:f>
      </x:c>
      <x:c r="K422" s="75" t="str">
        <x:f>IF($A422&lt;&gt;"",FALSE,"")</x:f>
      </x:c>
      <x:c r="L422" s="75" t="str">
        <x:f>IF($A422&lt;&gt;"","Units","")</x:f>
      </x:c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75" t="str">
        <x:f>IF(Katalog_Fiyatlayici!$AC423="Fiyat Hazır",Katalog_Fiyatlayici!$AD423,"")</x:f>
      </x:c>
      <x:c r="B423" s="75" t="str">
        <x:f>IF($A423&lt;&gt;"",Katalog_Fiyatlayici!$AF423,"")</x:f>
      </x:c>
      <x:c r="C423" s="83" t="str">
        <x:f>IF($A423&lt;&gt;"",Katalog_Fiyatlayici!$AA423,"")</x:f>
      </x:c>
      <x:c r="D423" s="83" t="str">
        <x:f>IF($A423&lt;&gt;"",Katalog_Fiyatlayici!$W423,"")</x:f>
      </x:c>
      <x:c r="E423" s="75" t="str">
        <x:f>IF($A423&lt;&gt;"","Service","")</x:f>
      </x:c>
      <x:c r="F423" s="75" t="str">
        <x:f>IF($A423&lt;&gt;"",Katalog_Fiyatlayici!$AE423,"")</x:f>
      </x:c>
      <x:c r="G423" s="75" t="str">
        <x:f>IF($A423&lt;&gt;"",Katalog_Fiyatlayici!$AD423,"")</x:f>
      </x:c>
      <x:c r="H423" s="75" t="str">
        <x:f>IF($A423&lt;&gt;"",Katalog_Fiyatlayici!$B423,"")</x:f>
      </x:c>
      <x:c r="I423" s="75" t="str">
        <x:f>IF($A423&lt;&gt;"","MakerWorld model linkine göre tahmini 3D baskı fiyatı. Gerçek üretimden önce Bambu Studio ile gramaj ve süre doğrulanır.","")</x:f>
      </x:c>
      <x:c r="J423" s="75" t="str">
        <x:f>IF($A423&lt;&gt;"",TRUE,"")</x:f>
      </x:c>
      <x:c r="K423" s="75" t="str">
        <x:f>IF($A423&lt;&gt;"",FALSE,"")</x:f>
      </x:c>
      <x:c r="L423" s="75" t="str">
        <x:f>IF($A423&lt;&gt;"","Units","")</x:f>
      </x:c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75" t="str">
        <x:f>IF(Katalog_Fiyatlayici!$AC424="Fiyat Hazır",Katalog_Fiyatlayici!$AD424,"")</x:f>
      </x:c>
      <x:c r="B424" s="75" t="str">
        <x:f>IF($A424&lt;&gt;"",Katalog_Fiyatlayici!$AF424,"")</x:f>
      </x:c>
      <x:c r="C424" s="83" t="str">
        <x:f>IF($A424&lt;&gt;"",Katalog_Fiyatlayici!$AA424,"")</x:f>
      </x:c>
      <x:c r="D424" s="83" t="str">
        <x:f>IF($A424&lt;&gt;"",Katalog_Fiyatlayici!$W424,"")</x:f>
      </x:c>
      <x:c r="E424" s="75" t="str">
        <x:f>IF($A424&lt;&gt;"","Service","")</x:f>
      </x:c>
      <x:c r="F424" s="75" t="str">
        <x:f>IF($A424&lt;&gt;"",Katalog_Fiyatlayici!$AE424,"")</x:f>
      </x:c>
      <x:c r="G424" s="75" t="str">
        <x:f>IF($A424&lt;&gt;"",Katalog_Fiyatlayici!$AD424,"")</x:f>
      </x:c>
      <x:c r="H424" s="75" t="str">
        <x:f>IF($A424&lt;&gt;"",Katalog_Fiyatlayici!$B424,"")</x:f>
      </x:c>
      <x:c r="I424" s="75" t="str">
        <x:f>IF($A424&lt;&gt;"","MakerWorld model linkine göre tahmini 3D baskı fiyatı. Gerçek üretimden önce Bambu Studio ile gramaj ve süre doğrulanır.","")</x:f>
      </x:c>
      <x:c r="J424" s="75" t="str">
        <x:f>IF($A424&lt;&gt;"",TRUE,"")</x:f>
      </x:c>
      <x:c r="K424" s="75" t="str">
        <x:f>IF($A424&lt;&gt;"",FALSE,"")</x:f>
      </x:c>
      <x:c r="L424" s="75" t="str">
        <x:f>IF($A424&lt;&gt;"","Units","")</x:f>
      </x:c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75" t="str">
        <x:f>IF(Katalog_Fiyatlayici!$AC425="Fiyat Hazır",Katalog_Fiyatlayici!$AD425,"")</x:f>
      </x:c>
      <x:c r="B425" s="75" t="str">
        <x:f>IF($A425&lt;&gt;"",Katalog_Fiyatlayici!$AF425,"")</x:f>
      </x:c>
      <x:c r="C425" s="83" t="str">
        <x:f>IF($A425&lt;&gt;"",Katalog_Fiyatlayici!$AA425,"")</x:f>
      </x:c>
      <x:c r="D425" s="83" t="str">
        <x:f>IF($A425&lt;&gt;"",Katalog_Fiyatlayici!$W425,"")</x:f>
      </x:c>
      <x:c r="E425" s="75" t="str">
        <x:f>IF($A425&lt;&gt;"","Service","")</x:f>
      </x:c>
      <x:c r="F425" s="75" t="str">
        <x:f>IF($A425&lt;&gt;"",Katalog_Fiyatlayici!$AE425,"")</x:f>
      </x:c>
      <x:c r="G425" s="75" t="str">
        <x:f>IF($A425&lt;&gt;"",Katalog_Fiyatlayici!$AD425,"")</x:f>
      </x:c>
      <x:c r="H425" s="75" t="str">
        <x:f>IF($A425&lt;&gt;"",Katalog_Fiyatlayici!$B425,"")</x:f>
      </x:c>
      <x:c r="I425" s="75" t="str">
        <x:f>IF($A425&lt;&gt;"","MakerWorld model linkine göre tahmini 3D baskı fiyatı. Gerçek üretimden önce Bambu Studio ile gramaj ve süre doğrulanır.","")</x:f>
      </x:c>
      <x:c r="J425" s="75" t="str">
        <x:f>IF($A425&lt;&gt;"",TRUE,"")</x:f>
      </x:c>
      <x:c r="K425" s="75" t="str">
        <x:f>IF($A425&lt;&gt;"",FALSE,"")</x:f>
      </x:c>
      <x:c r="L425" s="75" t="str">
        <x:f>IF($A425&lt;&gt;"","Units","")</x:f>
      </x:c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75" t="str">
        <x:f>IF(Katalog_Fiyatlayici!$AC426="Fiyat Hazır",Katalog_Fiyatlayici!$AD426,"")</x:f>
      </x:c>
      <x:c r="B426" s="75" t="str">
        <x:f>IF($A426&lt;&gt;"",Katalog_Fiyatlayici!$AF426,"")</x:f>
      </x:c>
      <x:c r="C426" s="83" t="str">
        <x:f>IF($A426&lt;&gt;"",Katalog_Fiyatlayici!$AA426,"")</x:f>
      </x:c>
      <x:c r="D426" s="83" t="str">
        <x:f>IF($A426&lt;&gt;"",Katalog_Fiyatlayici!$W426,"")</x:f>
      </x:c>
      <x:c r="E426" s="75" t="str">
        <x:f>IF($A426&lt;&gt;"","Service","")</x:f>
      </x:c>
      <x:c r="F426" s="75" t="str">
        <x:f>IF($A426&lt;&gt;"",Katalog_Fiyatlayici!$AE426,"")</x:f>
      </x:c>
      <x:c r="G426" s="75" t="str">
        <x:f>IF($A426&lt;&gt;"",Katalog_Fiyatlayici!$AD426,"")</x:f>
      </x:c>
      <x:c r="H426" s="75" t="str">
        <x:f>IF($A426&lt;&gt;"",Katalog_Fiyatlayici!$B426,"")</x:f>
      </x:c>
      <x:c r="I426" s="75" t="str">
        <x:f>IF($A426&lt;&gt;"","MakerWorld model linkine göre tahmini 3D baskı fiyatı. Gerçek üretimden önce Bambu Studio ile gramaj ve süre doğrulanır.","")</x:f>
      </x:c>
      <x:c r="J426" s="75" t="str">
        <x:f>IF($A426&lt;&gt;"",TRUE,"")</x:f>
      </x:c>
      <x:c r="K426" s="75" t="str">
        <x:f>IF($A426&lt;&gt;"",FALSE,"")</x:f>
      </x:c>
      <x:c r="L426" s="75" t="str">
        <x:f>IF($A426&lt;&gt;"","Units","")</x:f>
      </x:c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75" t="str">
        <x:f>IF(Katalog_Fiyatlayici!$AC427="Fiyat Hazır",Katalog_Fiyatlayici!$AD427,"")</x:f>
      </x:c>
      <x:c r="B427" s="75" t="str">
        <x:f>IF($A427&lt;&gt;"",Katalog_Fiyatlayici!$AF427,"")</x:f>
      </x:c>
      <x:c r="C427" s="83" t="str">
        <x:f>IF($A427&lt;&gt;"",Katalog_Fiyatlayici!$AA427,"")</x:f>
      </x:c>
      <x:c r="D427" s="83" t="str">
        <x:f>IF($A427&lt;&gt;"",Katalog_Fiyatlayici!$W427,"")</x:f>
      </x:c>
      <x:c r="E427" s="75" t="str">
        <x:f>IF($A427&lt;&gt;"","Service","")</x:f>
      </x:c>
      <x:c r="F427" s="75" t="str">
        <x:f>IF($A427&lt;&gt;"",Katalog_Fiyatlayici!$AE427,"")</x:f>
      </x:c>
      <x:c r="G427" s="75" t="str">
        <x:f>IF($A427&lt;&gt;"",Katalog_Fiyatlayici!$AD427,"")</x:f>
      </x:c>
      <x:c r="H427" s="75" t="str">
        <x:f>IF($A427&lt;&gt;"",Katalog_Fiyatlayici!$B427,"")</x:f>
      </x:c>
      <x:c r="I427" s="75" t="str">
        <x:f>IF($A427&lt;&gt;"","MakerWorld model linkine göre tahmini 3D baskı fiyatı. Gerçek üretimden önce Bambu Studio ile gramaj ve süre doğrulanır.","")</x:f>
      </x:c>
      <x:c r="J427" s="75" t="str">
        <x:f>IF($A427&lt;&gt;"",TRUE,"")</x:f>
      </x:c>
      <x:c r="K427" s="75" t="str">
        <x:f>IF($A427&lt;&gt;"",FALSE,"")</x:f>
      </x:c>
      <x:c r="L427" s="75" t="str">
        <x:f>IF($A427&lt;&gt;"","Units","")</x:f>
      </x:c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75" t="str">
        <x:f>IF(Katalog_Fiyatlayici!$AC428="Fiyat Hazır",Katalog_Fiyatlayici!$AD428,"")</x:f>
      </x:c>
      <x:c r="B428" s="75" t="str">
        <x:f>IF($A428&lt;&gt;"",Katalog_Fiyatlayici!$AF428,"")</x:f>
      </x:c>
      <x:c r="C428" s="83" t="str">
        <x:f>IF($A428&lt;&gt;"",Katalog_Fiyatlayici!$AA428,"")</x:f>
      </x:c>
      <x:c r="D428" s="83" t="str">
        <x:f>IF($A428&lt;&gt;"",Katalog_Fiyatlayici!$W428,"")</x:f>
      </x:c>
      <x:c r="E428" s="75" t="str">
        <x:f>IF($A428&lt;&gt;"","Service","")</x:f>
      </x:c>
      <x:c r="F428" s="75" t="str">
        <x:f>IF($A428&lt;&gt;"",Katalog_Fiyatlayici!$AE428,"")</x:f>
      </x:c>
      <x:c r="G428" s="75" t="str">
        <x:f>IF($A428&lt;&gt;"",Katalog_Fiyatlayici!$AD428,"")</x:f>
      </x:c>
      <x:c r="H428" s="75" t="str">
        <x:f>IF($A428&lt;&gt;"",Katalog_Fiyatlayici!$B428,"")</x:f>
      </x:c>
      <x:c r="I428" s="75" t="str">
        <x:f>IF($A428&lt;&gt;"","MakerWorld model linkine göre tahmini 3D baskı fiyatı. Gerçek üretimden önce Bambu Studio ile gramaj ve süre doğrulanır.","")</x:f>
      </x:c>
      <x:c r="J428" s="75" t="str">
        <x:f>IF($A428&lt;&gt;"",TRUE,"")</x:f>
      </x:c>
      <x:c r="K428" s="75" t="str">
        <x:f>IF($A428&lt;&gt;"",FALSE,"")</x:f>
      </x:c>
      <x:c r="L428" s="75" t="str">
        <x:f>IF($A428&lt;&gt;"","Units","")</x:f>
      </x:c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75" t="str">
        <x:f>IF(Katalog_Fiyatlayici!$AC429="Fiyat Hazır",Katalog_Fiyatlayici!$AD429,"")</x:f>
      </x:c>
      <x:c r="B429" s="75" t="str">
        <x:f>IF($A429&lt;&gt;"",Katalog_Fiyatlayici!$AF429,"")</x:f>
      </x:c>
      <x:c r="C429" s="83" t="str">
        <x:f>IF($A429&lt;&gt;"",Katalog_Fiyatlayici!$AA429,"")</x:f>
      </x:c>
      <x:c r="D429" s="83" t="str">
        <x:f>IF($A429&lt;&gt;"",Katalog_Fiyatlayici!$W429,"")</x:f>
      </x:c>
      <x:c r="E429" s="75" t="str">
        <x:f>IF($A429&lt;&gt;"","Service","")</x:f>
      </x:c>
      <x:c r="F429" s="75" t="str">
        <x:f>IF($A429&lt;&gt;"",Katalog_Fiyatlayici!$AE429,"")</x:f>
      </x:c>
      <x:c r="G429" s="75" t="str">
        <x:f>IF($A429&lt;&gt;"",Katalog_Fiyatlayici!$AD429,"")</x:f>
      </x:c>
      <x:c r="H429" s="75" t="str">
        <x:f>IF($A429&lt;&gt;"",Katalog_Fiyatlayici!$B429,"")</x:f>
      </x:c>
      <x:c r="I429" s="75" t="str">
        <x:f>IF($A429&lt;&gt;"","MakerWorld model linkine göre tahmini 3D baskı fiyatı. Gerçek üretimden önce Bambu Studio ile gramaj ve süre doğrulanır.","")</x:f>
      </x:c>
      <x:c r="J429" s="75" t="str">
        <x:f>IF($A429&lt;&gt;"",TRUE,"")</x:f>
      </x:c>
      <x:c r="K429" s="75" t="str">
        <x:f>IF($A429&lt;&gt;"",FALSE,"")</x:f>
      </x:c>
      <x:c r="L429" s="75" t="str">
        <x:f>IF($A429&lt;&gt;"","Units","")</x:f>
      </x:c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75" t="str">
        <x:f>IF(Katalog_Fiyatlayici!$AC430="Fiyat Hazır",Katalog_Fiyatlayici!$AD430,"")</x:f>
      </x:c>
      <x:c r="B430" s="75" t="str">
        <x:f>IF($A430&lt;&gt;"",Katalog_Fiyatlayici!$AF430,"")</x:f>
      </x:c>
      <x:c r="C430" s="83" t="str">
        <x:f>IF($A430&lt;&gt;"",Katalog_Fiyatlayici!$AA430,"")</x:f>
      </x:c>
      <x:c r="D430" s="83" t="str">
        <x:f>IF($A430&lt;&gt;"",Katalog_Fiyatlayici!$W430,"")</x:f>
      </x:c>
      <x:c r="E430" s="75" t="str">
        <x:f>IF($A430&lt;&gt;"","Service","")</x:f>
      </x:c>
      <x:c r="F430" s="75" t="str">
        <x:f>IF($A430&lt;&gt;"",Katalog_Fiyatlayici!$AE430,"")</x:f>
      </x:c>
      <x:c r="G430" s="75" t="str">
        <x:f>IF($A430&lt;&gt;"",Katalog_Fiyatlayici!$AD430,"")</x:f>
      </x:c>
      <x:c r="H430" s="75" t="str">
        <x:f>IF($A430&lt;&gt;"",Katalog_Fiyatlayici!$B430,"")</x:f>
      </x:c>
      <x:c r="I430" s="75" t="str">
        <x:f>IF($A430&lt;&gt;"","MakerWorld model linkine göre tahmini 3D baskı fiyatı. Gerçek üretimden önce Bambu Studio ile gramaj ve süre doğrulanır.","")</x:f>
      </x:c>
      <x:c r="J430" s="75" t="str">
        <x:f>IF($A430&lt;&gt;"",TRUE,"")</x:f>
      </x:c>
      <x:c r="K430" s="75" t="str">
        <x:f>IF($A430&lt;&gt;"",FALSE,"")</x:f>
      </x:c>
      <x:c r="L430" s="75" t="str">
        <x:f>IF($A430&lt;&gt;"","Units","")</x:f>
      </x:c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75" t="str">
        <x:f>IF(Katalog_Fiyatlayici!$AC431="Fiyat Hazır",Katalog_Fiyatlayici!$AD431,"")</x:f>
      </x:c>
      <x:c r="B431" s="75" t="str">
        <x:f>IF($A431&lt;&gt;"",Katalog_Fiyatlayici!$AF431,"")</x:f>
      </x:c>
      <x:c r="C431" s="83" t="str">
        <x:f>IF($A431&lt;&gt;"",Katalog_Fiyatlayici!$AA431,"")</x:f>
      </x:c>
      <x:c r="D431" s="83" t="str">
        <x:f>IF($A431&lt;&gt;"",Katalog_Fiyatlayici!$W431,"")</x:f>
      </x:c>
      <x:c r="E431" s="75" t="str">
        <x:f>IF($A431&lt;&gt;"","Service","")</x:f>
      </x:c>
      <x:c r="F431" s="75" t="str">
        <x:f>IF($A431&lt;&gt;"",Katalog_Fiyatlayici!$AE431,"")</x:f>
      </x:c>
      <x:c r="G431" s="75" t="str">
        <x:f>IF($A431&lt;&gt;"",Katalog_Fiyatlayici!$AD431,"")</x:f>
      </x:c>
      <x:c r="H431" s="75" t="str">
        <x:f>IF($A431&lt;&gt;"",Katalog_Fiyatlayici!$B431,"")</x:f>
      </x:c>
      <x:c r="I431" s="75" t="str">
        <x:f>IF($A431&lt;&gt;"","MakerWorld model linkine göre tahmini 3D baskı fiyatı. Gerçek üretimden önce Bambu Studio ile gramaj ve süre doğrulanır.","")</x:f>
      </x:c>
      <x:c r="J431" s="75" t="str">
        <x:f>IF($A431&lt;&gt;"",TRUE,"")</x:f>
      </x:c>
      <x:c r="K431" s="75" t="str">
        <x:f>IF($A431&lt;&gt;"",FALSE,"")</x:f>
      </x:c>
      <x:c r="L431" s="75" t="str">
        <x:f>IF($A431&lt;&gt;"","Units","")</x:f>
      </x:c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75" t="str">
        <x:f>IF(Katalog_Fiyatlayici!$AC432="Fiyat Hazır",Katalog_Fiyatlayici!$AD432,"")</x:f>
      </x:c>
      <x:c r="B432" s="75" t="str">
        <x:f>IF($A432&lt;&gt;"",Katalog_Fiyatlayici!$AF432,"")</x:f>
      </x:c>
      <x:c r="C432" s="83" t="str">
        <x:f>IF($A432&lt;&gt;"",Katalog_Fiyatlayici!$AA432,"")</x:f>
      </x:c>
      <x:c r="D432" s="83" t="str">
        <x:f>IF($A432&lt;&gt;"",Katalog_Fiyatlayici!$W432,"")</x:f>
      </x:c>
      <x:c r="E432" s="75" t="str">
        <x:f>IF($A432&lt;&gt;"","Service","")</x:f>
      </x:c>
      <x:c r="F432" s="75" t="str">
        <x:f>IF($A432&lt;&gt;"",Katalog_Fiyatlayici!$AE432,"")</x:f>
      </x:c>
      <x:c r="G432" s="75" t="str">
        <x:f>IF($A432&lt;&gt;"",Katalog_Fiyatlayici!$AD432,"")</x:f>
      </x:c>
      <x:c r="H432" s="75" t="str">
        <x:f>IF($A432&lt;&gt;"",Katalog_Fiyatlayici!$B432,"")</x:f>
      </x:c>
      <x:c r="I432" s="75" t="str">
        <x:f>IF($A432&lt;&gt;"","MakerWorld model linkine göre tahmini 3D baskı fiyatı. Gerçek üretimden önce Bambu Studio ile gramaj ve süre doğrulanır.","")</x:f>
      </x:c>
      <x:c r="J432" s="75" t="str">
        <x:f>IF($A432&lt;&gt;"",TRUE,"")</x:f>
      </x:c>
      <x:c r="K432" s="75" t="str">
        <x:f>IF($A432&lt;&gt;"",FALSE,"")</x:f>
      </x:c>
      <x:c r="L432" s="75" t="str">
        <x:f>IF($A432&lt;&gt;"","Units","")</x:f>
      </x:c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75" t="str">
        <x:f>IF(Katalog_Fiyatlayici!$AC433="Fiyat Hazır",Katalog_Fiyatlayici!$AD433,"")</x:f>
      </x:c>
      <x:c r="B433" s="75" t="str">
        <x:f>IF($A433&lt;&gt;"",Katalog_Fiyatlayici!$AF433,"")</x:f>
      </x:c>
      <x:c r="C433" s="83" t="str">
        <x:f>IF($A433&lt;&gt;"",Katalog_Fiyatlayici!$AA433,"")</x:f>
      </x:c>
      <x:c r="D433" s="83" t="str">
        <x:f>IF($A433&lt;&gt;"",Katalog_Fiyatlayici!$W433,"")</x:f>
      </x:c>
      <x:c r="E433" s="75" t="str">
        <x:f>IF($A433&lt;&gt;"","Service","")</x:f>
      </x:c>
      <x:c r="F433" s="75" t="str">
        <x:f>IF($A433&lt;&gt;"",Katalog_Fiyatlayici!$AE433,"")</x:f>
      </x:c>
      <x:c r="G433" s="75" t="str">
        <x:f>IF($A433&lt;&gt;"",Katalog_Fiyatlayici!$AD433,"")</x:f>
      </x:c>
      <x:c r="H433" s="75" t="str">
        <x:f>IF($A433&lt;&gt;"",Katalog_Fiyatlayici!$B433,"")</x:f>
      </x:c>
      <x:c r="I433" s="75" t="str">
        <x:f>IF($A433&lt;&gt;"","MakerWorld model linkine göre tahmini 3D baskı fiyatı. Gerçek üretimden önce Bambu Studio ile gramaj ve süre doğrulanır.","")</x:f>
      </x:c>
      <x:c r="J433" s="75" t="str">
        <x:f>IF($A433&lt;&gt;"",TRUE,"")</x:f>
      </x:c>
      <x:c r="K433" s="75" t="str">
        <x:f>IF($A433&lt;&gt;"",FALSE,"")</x:f>
      </x:c>
      <x:c r="L433" s="75" t="str">
        <x:f>IF($A433&lt;&gt;"","Units","")</x:f>
      </x:c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75" t="str">
        <x:f>IF(Katalog_Fiyatlayici!$AC434="Fiyat Hazır",Katalog_Fiyatlayici!$AD434,"")</x:f>
      </x:c>
      <x:c r="B434" s="75" t="str">
        <x:f>IF($A434&lt;&gt;"",Katalog_Fiyatlayici!$AF434,"")</x:f>
      </x:c>
      <x:c r="C434" s="83" t="str">
        <x:f>IF($A434&lt;&gt;"",Katalog_Fiyatlayici!$AA434,"")</x:f>
      </x:c>
      <x:c r="D434" s="83" t="str">
        <x:f>IF($A434&lt;&gt;"",Katalog_Fiyatlayici!$W434,"")</x:f>
      </x:c>
      <x:c r="E434" s="75" t="str">
        <x:f>IF($A434&lt;&gt;"","Service","")</x:f>
      </x:c>
      <x:c r="F434" s="75" t="str">
        <x:f>IF($A434&lt;&gt;"",Katalog_Fiyatlayici!$AE434,"")</x:f>
      </x:c>
      <x:c r="G434" s="75" t="str">
        <x:f>IF($A434&lt;&gt;"",Katalog_Fiyatlayici!$AD434,"")</x:f>
      </x:c>
      <x:c r="H434" s="75" t="str">
        <x:f>IF($A434&lt;&gt;"",Katalog_Fiyatlayici!$B434,"")</x:f>
      </x:c>
      <x:c r="I434" s="75" t="str">
        <x:f>IF($A434&lt;&gt;"","MakerWorld model linkine göre tahmini 3D baskı fiyatı. Gerçek üretimden önce Bambu Studio ile gramaj ve süre doğrulanır.","")</x:f>
      </x:c>
      <x:c r="J434" s="75" t="str">
        <x:f>IF($A434&lt;&gt;"",TRUE,"")</x:f>
      </x:c>
      <x:c r="K434" s="75" t="str">
        <x:f>IF($A434&lt;&gt;"",FALSE,"")</x:f>
      </x:c>
      <x:c r="L434" s="75" t="str">
        <x:f>IF($A434&lt;&gt;"","Units","")</x:f>
      </x:c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75" t="str">
        <x:f>IF(Katalog_Fiyatlayici!$AC435="Fiyat Hazır",Katalog_Fiyatlayici!$AD435,"")</x:f>
      </x:c>
      <x:c r="B435" s="75" t="str">
        <x:f>IF($A435&lt;&gt;"",Katalog_Fiyatlayici!$AF435,"")</x:f>
      </x:c>
      <x:c r="C435" s="83" t="str">
        <x:f>IF($A435&lt;&gt;"",Katalog_Fiyatlayici!$AA435,"")</x:f>
      </x:c>
      <x:c r="D435" s="83" t="str">
        <x:f>IF($A435&lt;&gt;"",Katalog_Fiyatlayici!$W435,"")</x:f>
      </x:c>
      <x:c r="E435" s="75" t="str">
        <x:f>IF($A435&lt;&gt;"","Service","")</x:f>
      </x:c>
      <x:c r="F435" s="75" t="str">
        <x:f>IF($A435&lt;&gt;"",Katalog_Fiyatlayici!$AE435,"")</x:f>
      </x:c>
      <x:c r="G435" s="75" t="str">
        <x:f>IF($A435&lt;&gt;"",Katalog_Fiyatlayici!$AD435,"")</x:f>
      </x:c>
      <x:c r="H435" s="75" t="str">
        <x:f>IF($A435&lt;&gt;"",Katalog_Fiyatlayici!$B435,"")</x:f>
      </x:c>
      <x:c r="I435" s="75" t="str">
        <x:f>IF($A435&lt;&gt;"","MakerWorld model linkine göre tahmini 3D baskı fiyatı. Gerçek üretimden önce Bambu Studio ile gramaj ve süre doğrulanır.","")</x:f>
      </x:c>
      <x:c r="J435" s="75" t="str">
        <x:f>IF($A435&lt;&gt;"",TRUE,"")</x:f>
      </x:c>
      <x:c r="K435" s="75" t="str">
        <x:f>IF($A435&lt;&gt;"",FALSE,"")</x:f>
      </x:c>
      <x:c r="L435" s="75" t="str">
        <x:f>IF($A435&lt;&gt;"","Units","")</x:f>
      </x:c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75" t="str">
        <x:f>IF(Katalog_Fiyatlayici!$AC436="Fiyat Hazır",Katalog_Fiyatlayici!$AD436,"")</x:f>
      </x:c>
      <x:c r="B436" s="75" t="str">
        <x:f>IF($A436&lt;&gt;"",Katalog_Fiyatlayici!$AF436,"")</x:f>
      </x:c>
      <x:c r="C436" s="83" t="str">
        <x:f>IF($A436&lt;&gt;"",Katalog_Fiyatlayici!$AA436,"")</x:f>
      </x:c>
      <x:c r="D436" s="83" t="str">
        <x:f>IF($A436&lt;&gt;"",Katalog_Fiyatlayici!$W436,"")</x:f>
      </x:c>
      <x:c r="E436" s="75" t="str">
        <x:f>IF($A436&lt;&gt;"","Service","")</x:f>
      </x:c>
      <x:c r="F436" s="75" t="str">
        <x:f>IF($A436&lt;&gt;"",Katalog_Fiyatlayici!$AE436,"")</x:f>
      </x:c>
      <x:c r="G436" s="75" t="str">
        <x:f>IF($A436&lt;&gt;"",Katalog_Fiyatlayici!$AD436,"")</x:f>
      </x:c>
      <x:c r="H436" s="75" t="str">
        <x:f>IF($A436&lt;&gt;"",Katalog_Fiyatlayici!$B436,"")</x:f>
      </x:c>
      <x:c r="I436" s="75" t="str">
        <x:f>IF($A436&lt;&gt;"","MakerWorld model linkine göre tahmini 3D baskı fiyatı. Gerçek üretimden önce Bambu Studio ile gramaj ve süre doğrulanır.","")</x:f>
      </x:c>
      <x:c r="J436" s="75" t="str">
        <x:f>IF($A436&lt;&gt;"",TRUE,"")</x:f>
      </x:c>
      <x:c r="K436" s="75" t="str">
        <x:f>IF($A436&lt;&gt;"",FALSE,"")</x:f>
      </x:c>
      <x:c r="L436" s="75" t="str">
        <x:f>IF($A436&lt;&gt;"","Units","")</x:f>
      </x:c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75" t="str">
        <x:f>IF(Katalog_Fiyatlayici!$AC437="Fiyat Hazır",Katalog_Fiyatlayici!$AD437,"")</x:f>
      </x:c>
      <x:c r="B437" s="75" t="str">
        <x:f>IF($A437&lt;&gt;"",Katalog_Fiyatlayici!$AF437,"")</x:f>
      </x:c>
      <x:c r="C437" s="83" t="str">
        <x:f>IF($A437&lt;&gt;"",Katalog_Fiyatlayici!$AA437,"")</x:f>
      </x:c>
      <x:c r="D437" s="83" t="str">
        <x:f>IF($A437&lt;&gt;"",Katalog_Fiyatlayici!$W437,"")</x:f>
      </x:c>
      <x:c r="E437" s="75" t="str">
        <x:f>IF($A437&lt;&gt;"","Service","")</x:f>
      </x:c>
      <x:c r="F437" s="75" t="str">
        <x:f>IF($A437&lt;&gt;"",Katalog_Fiyatlayici!$AE437,"")</x:f>
      </x:c>
      <x:c r="G437" s="75" t="str">
        <x:f>IF($A437&lt;&gt;"",Katalog_Fiyatlayici!$AD437,"")</x:f>
      </x:c>
      <x:c r="H437" s="75" t="str">
        <x:f>IF($A437&lt;&gt;"",Katalog_Fiyatlayici!$B437,"")</x:f>
      </x:c>
      <x:c r="I437" s="75" t="str">
        <x:f>IF($A437&lt;&gt;"","MakerWorld model linkine göre tahmini 3D baskı fiyatı. Gerçek üretimden önce Bambu Studio ile gramaj ve süre doğrulanır.","")</x:f>
      </x:c>
      <x:c r="J437" s="75" t="str">
        <x:f>IF($A437&lt;&gt;"",TRUE,"")</x:f>
      </x:c>
      <x:c r="K437" s="75" t="str">
        <x:f>IF($A437&lt;&gt;"",FALSE,"")</x:f>
      </x:c>
      <x:c r="L437" s="75" t="str">
        <x:f>IF($A437&lt;&gt;"","Units","")</x:f>
      </x:c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75" t="str">
        <x:f>IF(Katalog_Fiyatlayici!$AC438="Fiyat Hazır",Katalog_Fiyatlayici!$AD438,"")</x:f>
      </x:c>
      <x:c r="B438" s="75" t="str">
        <x:f>IF($A438&lt;&gt;"",Katalog_Fiyatlayici!$AF438,"")</x:f>
      </x:c>
      <x:c r="C438" s="83" t="str">
        <x:f>IF($A438&lt;&gt;"",Katalog_Fiyatlayici!$AA438,"")</x:f>
      </x:c>
      <x:c r="D438" s="83" t="str">
        <x:f>IF($A438&lt;&gt;"",Katalog_Fiyatlayici!$W438,"")</x:f>
      </x:c>
      <x:c r="E438" s="75" t="str">
        <x:f>IF($A438&lt;&gt;"","Service","")</x:f>
      </x:c>
      <x:c r="F438" s="75" t="str">
        <x:f>IF($A438&lt;&gt;"",Katalog_Fiyatlayici!$AE438,"")</x:f>
      </x:c>
      <x:c r="G438" s="75" t="str">
        <x:f>IF($A438&lt;&gt;"",Katalog_Fiyatlayici!$AD438,"")</x:f>
      </x:c>
      <x:c r="H438" s="75" t="str">
        <x:f>IF($A438&lt;&gt;"",Katalog_Fiyatlayici!$B438,"")</x:f>
      </x:c>
      <x:c r="I438" s="75" t="str">
        <x:f>IF($A438&lt;&gt;"","MakerWorld model linkine göre tahmini 3D baskı fiyatı. Gerçek üretimden önce Bambu Studio ile gramaj ve süre doğrulanır.","")</x:f>
      </x:c>
      <x:c r="J438" s="75" t="str">
        <x:f>IF($A438&lt;&gt;"",TRUE,"")</x:f>
      </x:c>
      <x:c r="K438" s="75" t="str">
        <x:f>IF($A438&lt;&gt;"",FALSE,"")</x:f>
      </x:c>
      <x:c r="L438" s="75" t="str">
        <x:f>IF($A438&lt;&gt;"","Units","")</x:f>
      </x:c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75" t="str">
        <x:f>IF(Katalog_Fiyatlayici!$AC439="Fiyat Hazır",Katalog_Fiyatlayici!$AD439,"")</x:f>
      </x:c>
      <x:c r="B439" s="75" t="str">
        <x:f>IF($A439&lt;&gt;"",Katalog_Fiyatlayici!$AF439,"")</x:f>
      </x:c>
      <x:c r="C439" s="83" t="str">
        <x:f>IF($A439&lt;&gt;"",Katalog_Fiyatlayici!$AA439,"")</x:f>
      </x:c>
      <x:c r="D439" s="83" t="str">
        <x:f>IF($A439&lt;&gt;"",Katalog_Fiyatlayici!$W439,"")</x:f>
      </x:c>
      <x:c r="E439" s="75" t="str">
        <x:f>IF($A439&lt;&gt;"","Service","")</x:f>
      </x:c>
      <x:c r="F439" s="75" t="str">
        <x:f>IF($A439&lt;&gt;"",Katalog_Fiyatlayici!$AE439,"")</x:f>
      </x:c>
      <x:c r="G439" s="75" t="str">
        <x:f>IF($A439&lt;&gt;"",Katalog_Fiyatlayici!$AD439,"")</x:f>
      </x:c>
      <x:c r="H439" s="75" t="str">
        <x:f>IF($A439&lt;&gt;"",Katalog_Fiyatlayici!$B439,"")</x:f>
      </x:c>
      <x:c r="I439" s="75" t="str">
        <x:f>IF($A439&lt;&gt;"","MakerWorld model linkine göre tahmini 3D baskı fiyatı. Gerçek üretimden önce Bambu Studio ile gramaj ve süre doğrulanır.","")</x:f>
      </x:c>
      <x:c r="J439" s="75" t="str">
        <x:f>IF($A439&lt;&gt;"",TRUE,"")</x:f>
      </x:c>
      <x:c r="K439" s="75" t="str">
        <x:f>IF($A439&lt;&gt;"",FALSE,"")</x:f>
      </x:c>
      <x:c r="L439" s="75" t="str">
        <x:f>IF($A439&lt;&gt;"","Units","")</x:f>
      </x:c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75" t="str">
        <x:f>IF(Katalog_Fiyatlayici!$AC440="Fiyat Hazır",Katalog_Fiyatlayici!$AD440,"")</x:f>
      </x:c>
      <x:c r="B440" s="75" t="str">
        <x:f>IF($A440&lt;&gt;"",Katalog_Fiyatlayici!$AF440,"")</x:f>
      </x:c>
      <x:c r="C440" s="83" t="str">
        <x:f>IF($A440&lt;&gt;"",Katalog_Fiyatlayici!$AA440,"")</x:f>
      </x:c>
      <x:c r="D440" s="83" t="str">
        <x:f>IF($A440&lt;&gt;"",Katalog_Fiyatlayici!$W440,"")</x:f>
      </x:c>
      <x:c r="E440" s="75" t="str">
        <x:f>IF($A440&lt;&gt;"","Service","")</x:f>
      </x:c>
      <x:c r="F440" s="75" t="str">
        <x:f>IF($A440&lt;&gt;"",Katalog_Fiyatlayici!$AE440,"")</x:f>
      </x:c>
      <x:c r="G440" s="75" t="str">
        <x:f>IF($A440&lt;&gt;"",Katalog_Fiyatlayici!$AD440,"")</x:f>
      </x:c>
      <x:c r="H440" s="75" t="str">
        <x:f>IF($A440&lt;&gt;"",Katalog_Fiyatlayici!$B440,"")</x:f>
      </x:c>
      <x:c r="I440" s="75" t="str">
        <x:f>IF($A440&lt;&gt;"","MakerWorld model linkine göre tahmini 3D baskı fiyatı. Gerçek üretimden önce Bambu Studio ile gramaj ve süre doğrulanır.","")</x:f>
      </x:c>
      <x:c r="J440" s="75" t="str">
        <x:f>IF($A440&lt;&gt;"",TRUE,"")</x:f>
      </x:c>
      <x:c r="K440" s="75" t="str">
        <x:f>IF($A440&lt;&gt;"",FALSE,"")</x:f>
      </x:c>
      <x:c r="L440" s="75" t="str">
        <x:f>IF($A440&lt;&gt;"","Units","")</x:f>
      </x:c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75" t="str">
        <x:f>IF(Katalog_Fiyatlayici!$AC441="Fiyat Hazır",Katalog_Fiyatlayici!$AD441,"")</x:f>
      </x:c>
      <x:c r="B441" s="75" t="str">
        <x:f>IF($A441&lt;&gt;"",Katalog_Fiyatlayici!$AF441,"")</x:f>
      </x:c>
      <x:c r="C441" s="83" t="str">
        <x:f>IF($A441&lt;&gt;"",Katalog_Fiyatlayici!$AA441,"")</x:f>
      </x:c>
      <x:c r="D441" s="83" t="str">
        <x:f>IF($A441&lt;&gt;"",Katalog_Fiyatlayici!$W441,"")</x:f>
      </x:c>
      <x:c r="E441" s="75" t="str">
        <x:f>IF($A441&lt;&gt;"","Service","")</x:f>
      </x:c>
      <x:c r="F441" s="75" t="str">
        <x:f>IF($A441&lt;&gt;"",Katalog_Fiyatlayici!$AE441,"")</x:f>
      </x:c>
      <x:c r="G441" s="75" t="str">
        <x:f>IF($A441&lt;&gt;"",Katalog_Fiyatlayici!$AD441,"")</x:f>
      </x:c>
      <x:c r="H441" s="75" t="str">
        <x:f>IF($A441&lt;&gt;"",Katalog_Fiyatlayici!$B441,"")</x:f>
      </x:c>
      <x:c r="I441" s="75" t="str">
        <x:f>IF($A441&lt;&gt;"","MakerWorld model linkine göre tahmini 3D baskı fiyatı. Gerçek üretimden önce Bambu Studio ile gramaj ve süre doğrulanır.","")</x:f>
      </x:c>
      <x:c r="J441" s="75" t="str">
        <x:f>IF($A441&lt;&gt;"",TRUE,"")</x:f>
      </x:c>
      <x:c r="K441" s="75" t="str">
        <x:f>IF($A441&lt;&gt;"",FALSE,"")</x:f>
      </x:c>
      <x:c r="L441" s="75" t="str">
        <x:f>IF($A441&lt;&gt;"","Units","")</x:f>
      </x:c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75" t="str">
        <x:f>IF(Katalog_Fiyatlayici!$AC442="Fiyat Hazır",Katalog_Fiyatlayici!$AD442,"")</x:f>
      </x:c>
      <x:c r="B442" s="75" t="str">
        <x:f>IF($A442&lt;&gt;"",Katalog_Fiyatlayici!$AF442,"")</x:f>
      </x:c>
      <x:c r="C442" s="83" t="str">
        <x:f>IF($A442&lt;&gt;"",Katalog_Fiyatlayici!$AA442,"")</x:f>
      </x:c>
      <x:c r="D442" s="83" t="str">
        <x:f>IF($A442&lt;&gt;"",Katalog_Fiyatlayici!$W442,"")</x:f>
      </x:c>
      <x:c r="E442" s="75" t="str">
        <x:f>IF($A442&lt;&gt;"","Service","")</x:f>
      </x:c>
      <x:c r="F442" s="75" t="str">
        <x:f>IF($A442&lt;&gt;"",Katalog_Fiyatlayici!$AE442,"")</x:f>
      </x:c>
      <x:c r="G442" s="75" t="str">
        <x:f>IF($A442&lt;&gt;"",Katalog_Fiyatlayici!$AD442,"")</x:f>
      </x:c>
      <x:c r="H442" s="75" t="str">
        <x:f>IF($A442&lt;&gt;"",Katalog_Fiyatlayici!$B442,"")</x:f>
      </x:c>
      <x:c r="I442" s="75" t="str">
        <x:f>IF($A442&lt;&gt;"","MakerWorld model linkine göre tahmini 3D baskı fiyatı. Gerçek üretimden önce Bambu Studio ile gramaj ve süre doğrulanır.","")</x:f>
      </x:c>
      <x:c r="J442" s="75" t="str">
        <x:f>IF($A442&lt;&gt;"",TRUE,"")</x:f>
      </x:c>
      <x:c r="K442" s="75" t="str">
        <x:f>IF($A442&lt;&gt;"",FALSE,"")</x:f>
      </x:c>
      <x:c r="L442" s="75" t="str">
        <x:f>IF($A442&lt;&gt;"","Units","")</x:f>
      </x:c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75" t="str">
        <x:f>IF(Katalog_Fiyatlayici!$AC443="Fiyat Hazır",Katalog_Fiyatlayici!$AD443,"")</x:f>
      </x:c>
      <x:c r="B443" s="75" t="str">
        <x:f>IF($A443&lt;&gt;"",Katalog_Fiyatlayici!$AF443,"")</x:f>
      </x:c>
      <x:c r="C443" s="83" t="str">
        <x:f>IF($A443&lt;&gt;"",Katalog_Fiyatlayici!$AA443,"")</x:f>
      </x:c>
      <x:c r="D443" s="83" t="str">
        <x:f>IF($A443&lt;&gt;"",Katalog_Fiyatlayici!$W443,"")</x:f>
      </x:c>
      <x:c r="E443" s="75" t="str">
        <x:f>IF($A443&lt;&gt;"","Service","")</x:f>
      </x:c>
      <x:c r="F443" s="75" t="str">
        <x:f>IF($A443&lt;&gt;"",Katalog_Fiyatlayici!$AE443,"")</x:f>
      </x:c>
      <x:c r="G443" s="75" t="str">
        <x:f>IF($A443&lt;&gt;"",Katalog_Fiyatlayici!$AD443,"")</x:f>
      </x:c>
      <x:c r="H443" s="75" t="str">
        <x:f>IF($A443&lt;&gt;"",Katalog_Fiyatlayici!$B443,"")</x:f>
      </x:c>
      <x:c r="I443" s="75" t="str">
        <x:f>IF($A443&lt;&gt;"","MakerWorld model linkine göre tahmini 3D baskı fiyatı. Gerçek üretimden önce Bambu Studio ile gramaj ve süre doğrulanır.","")</x:f>
      </x:c>
      <x:c r="J443" s="75" t="str">
        <x:f>IF($A443&lt;&gt;"",TRUE,"")</x:f>
      </x:c>
      <x:c r="K443" s="75" t="str">
        <x:f>IF($A443&lt;&gt;"",FALSE,"")</x:f>
      </x:c>
      <x:c r="L443" s="75" t="str">
        <x:f>IF($A443&lt;&gt;"","Units","")</x:f>
      </x:c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75" t="str">
        <x:f>IF(Katalog_Fiyatlayici!$AC444="Fiyat Hazır",Katalog_Fiyatlayici!$AD444,"")</x:f>
      </x:c>
      <x:c r="B444" s="75" t="str">
        <x:f>IF($A444&lt;&gt;"",Katalog_Fiyatlayici!$AF444,"")</x:f>
      </x:c>
      <x:c r="C444" s="83" t="str">
        <x:f>IF($A444&lt;&gt;"",Katalog_Fiyatlayici!$AA444,"")</x:f>
      </x:c>
      <x:c r="D444" s="83" t="str">
        <x:f>IF($A444&lt;&gt;"",Katalog_Fiyatlayici!$W444,"")</x:f>
      </x:c>
      <x:c r="E444" s="75" t="str">
        <x:f>IF($A444&lt;&gt;"","Service","")</x:f>
      </x:c>
      <x:c r="F444" s="75" t="str">
        <x:f>IF($A444&lt;&gt;"",Katalog_Fiyatlayici!$AE444,"")</x:f>
      </x:c>
      <x:c r="G444" s="75" t="str">
        <x:f>IF($A444&lt;&gt;"",Katalog_Fiyatlayici!$AD444,"")</x:f>
      </x:c>
      <x:c r="H444" s="75" t="str">
        <x:f>IF($A444&lt;&gt;"",Katalog_Fiyatlayici!$B444,"")</x:f>
      </x:c>
      <x:c r="I444" s="75" t="str">
        <x:f>IF($A444&lt;&gt;"","MakerWorld model linkine göre tahmini 3D baskı fiyatı. Gerçek üretimden önce Bambu Studio ile gramaj ve süre doğrulanır.","")</x:f>
      </x:c>
      <x:c r="J444" s="75" t="str">
        <x:f>IF($A444&lt;&gt;"",TRUE,"")</x:f>
      </x:c>
      <x:c r="K444" s="75" t="str">
        <x:f>IF($A444&lt;&gt;"",FALSE,"")</x:f>
      </x:c>
      <x:c r="L444" s="75" t="str">
        <x:f>IF($A444&lt;&gt;"","Units","")</x:f>
      </x:c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75" t="str">
        <x:f>IF(Katalog_Fiyatlayici!$AC445="Fiyat Hazır",Katalog_Fiyatlayici!$AD445,"")</x:f>
      </x:c>
      <x:c r="B445" s="75" t="str">
        <x:f>IF($A445&lt;&gt;"",Katalog_Fiyatlayici!$AF445,"")</x:f>
      </x:c>
      <x:c r="C445" s="83" t="str">
        <x:f>IF($A445&lt;&gt;"",Katalog_Fiyatlayici!$AA445,"")</x:f>
      </x:c>
      <x:c r="D445" s="83" t="str">
        <x:f>IF($A445&lt;&gt;"",Katalog_Fiyatlayici!$W445,"")</x:f>
      </x:c>
      <x:c r="E445" s="75" t="str">
        <x:f>IF($A445&lt;&gt;"","Service","")</x:f>
      </x:c>
      <x:c r="F445" s="75" t="str">
        <x:f>IF($A445&lt;&gt;"",Katalog_Fiyatlayici!$AE445,"")</x:f>
      </x:c>
      <x:c r="G445" s="75" t="str">
        <x:f>IF($A445&lt;&gt;"",Katalog_Fiyatlayici!$AD445,"")</x:f>
      </x:c>
      <x:c r="H445" s="75" t="str">
        <x:f>IF($A445&lt;&gt;"",Katalog_Fiyatlayici!$B445,"")</x:f>
      </x:c>
      <x:c r="I445" s="75" t="str">
        <x:f>IF($A445&lt;&gt;"","MakerWorld model linkine göre tahmini 3D baskı fiyatı. Gerçek üretimden önce Bambu Studio ile gramaj ve süre doğrulanır.","")</x:f>
      </x:c>
      <x:c r="J445" s="75" t="str">
        <x:f>IF($A445&lt;&gt;"",TRUE,"")</x:f>
      </x:c>
      <x:c r="K445" s="75" t="str">
        <x:f>IF($A445&lt;&gt;"",FALSE,"")</x:f>
      </x:c>
      <x:c r="L445" s="75" t="str">
        <x:f>IF($A445&lt;&gt;"","Units","")</x:f>
      </x:c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75" t="str">
        <x:f>IF(Katalog_Fiyatlayici!$AC446="Fiyat Hazır",Katalog_Fiyatlayici!$AD446,"")</x:f>
      </x:c>
      <x:c r="B446" s="75" t="str">
        <x:f>IF($A446&lt;&gt;"",Katalog_Fiyatlayici!$AF446,"")</x:f>
      </x:c>
      <x:c r="C446" s="83" t="str">
        <x:f>IF($A446&lt;&gt;"",Katalog_Fiyatlayici!$AA446,"")</x:f>
      </x:c>
      <x:c r="D446" s="83" t="str">
        <x:f>IF($A446&lt;&gt;"",Katalog_Fiyatlayici!$W446,"")</x:f>
      </x:c>
      <x:c r="E446" s="75" t="str">
        <x:f>IF($A446&lt;&gt;"","Service","")</x:f>
      </x:c>
      <x:c r="F446" s="75" t="str">
        <x:f>IF($A446&lt;&gt;"",Katalog_Fiyatlayici!$AE446,"")</x:f>
      </x:c>
      <x:c r="G446" s="75" t="str">
        <x:f>IF($A446&lt;&gt;"",Katalog_Fiyatlayici!$AD446,"")</x:f>
      </x:c>
      <x:c r="H446" s="75" t="str">
        <x:f>IF($A446&lt;&gt;"",Katalog_Fiyatlayici!$B446,"")</x:f>
      </x:c>
      <x:c r="I446" s="75" t="str">
        <x:f>IF($A446&lt;&gt;"","MakerWorld model linkine göre tahmini 3D baskı fiyatı. Gerçek üretimden önce Bambu Studio ile gramaj ve süre doğrulanır.","")</x:f>
      </x:c>
      <x:c r="J446" s="75" t="str">
        <x:f>IF($A446&lt;&gt;"",TRUE,"")</x:f>
      </x:c>
      <x:c r="K446" s="75" t="str">
        <x:f>IF($A446&lt;&gt;"",FALSE,"")</x:f>
      </x:c>
      <x:c r="L446" s="75" t="str">
        <x:f>IF($A446&lt;&gt;"","Units","")</x:f>
      </x:c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75" t="str">
        <x:f>IF(Katalog_Fiyatlayici!$AC447="Fiyat Hazır",Katalog_Fiyatlayici!$AD447,"")</x:f>
      </x:c>
      <x:c r="B447" s="75" t="str">
        <x:f>IF($A447&lt;&gt;"",Katalog_Fiyatlayici!$AF447,"")</x:f>
      </x:c>
      <x:c r="C447" s="83" t="str">
        <x:f>IF($A447&lt;&gt;"",Katalog_Fiyatlayici!$AA447,"")</x:f>
      </x:c>
      <x:c r="D447" s="83" t="str">
        <x:f>IF($A447&lt;&gt;"",Katalog_Fiyatlayici!$W447,"")</x:f>
      </x:c>
      <x:c r="E447" s="75" t="str">
        <x:f>IF($A447&lt;&gt;"","Service","")</x:f>
      </x:c>
      <x:c r="F447" s="75" t="str">
        <x:f>IF($A447&lt;&gt;"",Katalog_Fiyatlayici!$AE447,"")</x:f>
      </x:c>
      <x:c r="G447" s="75" t="str">
        <x:f>IF($A447&lt;&gt;"",Katalog_Fiyatlayici!$AD447,"")</x:f>
      </x:c>
      <x:c r="H447" s="75" t="str">
        <x:f>IF($A447&lt;&gt;"",Katalog_Fiyatlayici!$B447,"")</x:f>
      </x:c>
      <x:c r="I447" s="75" t="str">
        <x:f>IF($A447&lt;&gt;"","MakerWorld model linkine göre tahmini 3D baskı fiyatı. Gerçek üretimden önce Bambu Studio ile gramaj ve süre doğrulanır.","")</x:f>
      </x:c>
      <x:c r="J447" s="75" t="str">
        <x:f>IF($A447&lt;&gt;"",TRUE,"")</x:f>
      </x:c>
      <x:c r="K447" s="75" t="str">
        <x:f>IF($A447&lt;&gt;"",FALSE,"")</x:f>
      </x:c>
      <x:c r="L447" s="75" t="str">
        <x:f>IF($A447&lt;&gt;"","Units","")</x:f>
      </x:c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75" t="str">
        <x:f>IF(Katalog_Fiyatlayici!$AC448="Fiyat Hazır",Katalog_Fiyatlayici!$AD448,"")</x:f>
      </x:c>
      <x:c r="B448" s="75" t="str">
        <x:f>IF($A448&lt;&gt;"",Katalog_Fiyatlayici!$AF448,"")</x:f>
      </x:c>
      <x:c r="C448" s="83" t="str">
        <x:f>IF($A448&lt;&gt;"",Katalog_Fiyatlayici!$AA448,"")</x:f>
      </x:c>
      <x:c r="D448" s="83" t="str">
        <x:f>IF($A448&lt;&gt;"",Katalog_Fiyatlayici!$W448,"")</x:f>
      </x:c>
      <x:c r="E448" s="75" t="str">
        <x:f>IF($A448&lt;&gt;"","Service","")</x:f>
      </x:c>
      <x:c r="F448" s="75" t="str">
        <x:f>IF($A448&lt;&gt;"",Katalog_Fiyatlayici!$AE448,"")</x:f>
      </x:c>
      <x:c r="G448" s="75" t="str">
        <x:f>IF($A448&lt;&gt;"",Katalog_Fiyatlayici!$AD448,"")</x:f>
      </x:c>
      <x:c r="H448" s="75" t="str">
        <x:f>IF($A448&lt;&gt;"",Katalog_Fiyatlayici!$B448,"")</x:f>
      </x:c>
      <x:c r="I448" s="75" t="str">
        <x:f>IF($A448&lt;&gt;"","MakerWorld model linkine göre tahmini 3D baskı fiyatı. Gerçek üretimden önce Bambu Studio ile gramaj ve süre doğrulanır.","")</x:f>
      </x:c>
      <x:c r="J448" s="75" t="str">
        <x:f>IF($A448&lt;&gt;"",TRUE,"")</x:f>
      </x:c>
      <x:c r="K448" s="75" t="str">
        <x:f>IF($A448&lt;&gt;"",FALSE,"")</x:f>
      </x:c>
      <x:c r="L448" s="75" t="str">
        <x:f>IF($A448&lt;&gt;"","Units","")</x:f>
      </x:c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75" t="str">
        <x:f>IF(Katalog_Fiyatlayici!$AC449="Fiyat Hazır",Katalog_Fiyatlayici!$AD449,"")</x:f>
      </x:c>
      <x:c r="B449" s="75" t="str">
        <x:f>IF($A449&lt;&gt;"",Katalog_Fiyatlayici!$AF449,"")</x:f>
      </x:c>
      <x:c r="C449" s="83" t="str">
        <x:f>IF($A449&lt;&gt;"",Katalog_Fiyatlayici!$AA449,"")</x:f>
      </x:c>
      <x:c r="D449" s="83" t="str">
        <x:f>IF($A449&lt;&gt;"",Katalog_Fiyatlayici!$W449,"")</x:f>
      </x:c>
      <x:c r="E449" s="75" t="str">
        <x:f>IF($A449&lt;&gt;"","Service","")</x:f>
      </x:c>
      <x:c r="F449" s="75" t="str">
        <x:f>IF($A449&lt;&gt;"",Katalog_Fiyatlayici!$AE449,"")</x:f>
      </x:c>
      <x:c r="G449" s="75" t="str">
        <x:f>IF($A449&lt;&gt;"",Katalog_Fiyatlayici!$AD449,"")</x:f>
      </x:c>
      <x:c r="H449" s="75" t="str">
        <x:f>IF($A449&lt;&gt;"",Katalog_Fiyatlayici!$B449,"")</x:f>
      </x:c>
      <x:c r="I449" s="75" t="str">
        <x:f>IF($A449&lt;&gt;"","MakerWorld model linkine göre tahmini 3D baskı fiyatı. Gerçek üretimden önce Bambu Studio ile gramaj ve süre doğrulanır.","")</x:f>
      </x:c>
      <x:c r="J449" s="75" t="str">
        <x:f>IF($A449&lt;&gt;"",TRUE,"")</x:f>
      </x:c>
      <x:c r="K449" s="75" t="str">
        <x:f>IF($A449&lt;&gt;"",FALSE,"")</x:f>
      </x:c>
      <x:c r="L449" s="75" t="str">
        <x:f>IF($A449&lt;&gt;"","Units","")</x:f>
      </x:c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75" t="str">
        <x:f>IF(Katalog_Fiyatlayici!$AC450="Fiyat Hazır",Katalog_Fiyatlayici!$AD450,"")</x:f>
      </x:c>
      <x:c r="B450" s="75" t="str">
        <x:f>IF($A450&lt;&gt;"",Katalog_Fiyatlayici!$AF450,"")</x:f>
      </x:c>
      <x:c r="C450" s="83" t="str">
        <x:f>IF($A450&lt;&gt;"",Katalog_Fiyatlayici!$AA450,"")</x:f>
      </x:c>
      <x:c r="D450" s="83" t="str">
        <x:f>IF($A450&lt;&gt;"",Katalog_Fiyatlayici!$W450,"")</x:f>
      </x:c>
      <x:c r="E450" s="75" t="str">
        <x:f>IF($A450&lt;&gt;"","Service","")</x:f>
      </x:c>
      <x:c r="F450" s="75" t="str">
        <x:f>IF($A450&lt;&gt;"",Katalog_Fiyatlayici!$AE450,"")</x:f>
      </x:c>
      <x:c r="G450" s="75" t="str">
        <x:f>IF($A450&lt;&gt;"",Katalog_Fiyatlayici!$AD450,"")</x:f>
      </x:c>
      <x:c r="H450" s="75" t="str">
        <x:f>IF($A450&lt;&gt;"",Katalog_Fiyatlayici!$B450,"")</x:f>
      </x:c>
      <x:c r="I450" s="75" t="str">
        <x:f>IF($A450&lt;&gt;"","MakerWorld model linkine göre tahmini 3D baskı fiyatı. Gerçek üretimden önce Bambu Studio ile gramaj ve süre doğrulanır.","")</x:f>
      </x:c>
      <x:c r="J450" s="75" t="str">
        <x:f>IF($A450&lt;&gt;"",TRUE,"")</x:f>
      </x:c>
      <x:c r="K450" s="75" t="str">
        <x:f>IF($A450&lt;&gt;"",FALSE,"")</x:f>
      </x:c>
      <x:c r="L450" s="75" t="str">
        <x:f>IF($A450&lt;&gt;"","Units","")</x:f>
      </x:c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75" t="str">
        <x:f>IF(Katalog_Fiyatlayici!$AC451="Fiyat Hazır",Katalog_Fiyatlayici!$AD451,"")</x:f>
      </x:c>
      <x:c r="B451" s="75" t="str">
        <x:f>IF($A451&lt;&gt;"",Katalog_Fiyatlayici!$AF451,"")</x:f>
      </x:c>
      <x:c r="C451" s="83" t="str">
        <x:f>IF($A451&lt;&gt;"",Katalog_Fiyatlayici!$AA451,"")</x:f>
      </x:c>
      <x:c r="D451" s="83" t="str">
        <x:f>IF($A451&lt;&gt;"",Katalog_Fiyatlayici!$W451,"")</x:f>
      </x:c>
      <x:c r="E451" s="75" t="str">
        <x:f>IF($A451&lt;&gt;"","Service","")</x:f>
      </x:c>
      <x:c r="F451" s="75" t="str">
        <x:f>IF($A451&lt;&gt;"",Katalog_Fiyatlayici!$AE451,"")</x:f>
      </x:c>
      <x:c r="G451" s="75" t="str">
        <x:f>IF($A451&lt;&gt;"",Katalog_Fiyatlayici!$AD451,"")</x:f>
      </x:c>
      <x:c r="H451" s="75" t="str">
        <x:f>IF($A451&lt;&gt;"",Katalog_Fiyatlayici!$B451,"")</x:f>
      </x:c>
      <x:c r="I451" s="75" t="str">
        <x:f>IF($A451&lt;&gt;"","MakerWorld model linkine göre tahmini 3D baskı fiyatı. Gerçek üretimden önce Bambu Studio ile gramaj ve süre doğrulanır.","")</x:f>
      </x:c>
      <x:c r="J451" s="75" t="str">
        <x:f>IF($A451&lt;&gt;"",TRUE,"")</x:f>
      </x:c>
      <x:c r="K451" s="75" t="str">
        <x:f>IF($A451&lt;&gt;"",FALSE,"")</x:f>
      </x:c>
      <x:c r="L451" s="75" t="str">
        <x:f>IF($A451&lt;&gt;"","Units","")</x:f>
      </x:c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75" t="str">
        <x:f>IF(Katalog_Fiyatlayici!$AC452="Fiyat Hazır",Katalog_Fiyatlayici!$AD452,"")</x:f>
      </x:c>
      <x:c r="B452" s="75" t="str">
        <x:f>IF($A452&lt;&gt;"",Katalog_Fiyatlayici!$AF452,"")</x:f>
      </x:c>
      <x:c r="C452" s="83" t="str">
        <x:f>IF($A452&lt;&gt;"",Katalog_Fiyatlayici!$AA452,"")</x:f>
      </x:c>
      <x:c r="D452" s="83" t="str">
        <x:f>IF($A452&lt;&gt;"",Katalog_Fiyatlayici!$W452,"")</x:f>
      </x:c>
      <x:c r="E452" s="75" t="str">
        <x:f>IF($A452&lt;&gt;"","Service","")</x:f>
      </x:c>
      <x:c r="F452" s="75" t="str">
        <x:f>IF($A452&lt;&gt;"",Katalog_Fiyatlayici!$AE452,"")</x:f>
      </x:c>
      <x:c r="G452" s="75" t="str">
        <x:f>IF($A452&lt;&gt;"",Katalog_Fiyatlayici!$AD452,"")</x:f>
      </x:c>
      <x:c r="H452" s="75" t="str">
        <x:f>IF($A452&lt;&gt;"",Katalog_Fiyatlayici!$B452,"")</x:f>
      </x:c>
      <x:c r="I452" s="75" t="str">
        <x:f>IF($A452&lt;&gt;"","MakerWorld model linkine göre tahmini 3D baskı fiyatı. Gerçek üretimden önce Bambu Studio ile gramaj ve süre doğrulanır.","")</x:f>
      </x:c>
      <x:c r="J452" s="75" t="str">
        <x:f>IF($A452&lt;&gt;"",TRUE,"")</x:f>
      </x:c>
      <x:c r="K452" s="75" t="str">
        <x:f>IF($A452&lt;&gt;"",FALSE,"")</x:f>
      </x:c>
      <x:c r="L452" s="75" t="str">
        <x:f>IF($A452&lt;&gt;"","Units","")</x:f>
      </x:c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75" t="str">
        <x:f>IF(Katalog_Fiyatlayici!$AC453="Fiyat Hazır",Katalog_Fiyatlayici!$AD453,"")</x:f>
      </x:c>
      <x:c r="B453" s="75" t="str">
        <x:f>IF($A453&lt;&gt;"",Katalog_Fiyatlayici!$AF453,"")</x:f>
      </x:c>
      <x:c r="C453" s="83" t="str">
        <x:f>IF($A453&lt;&gt;"",Katalog_Fiyatlayici!$AA453,"")</x:f>
      </x:c>
      <x:c r="D453" s="83" t="str">
        <x:f>IF($A453&lt;&gt;"",Katalog_Fiyatlayici!$W453,"")</x:f>
      </x:c>
      <x:c r="E453" s="75" t="str">
        <x:f>IF($A453&lt;&gt;"","Service","")</x:f>
      </x:c>
      <x:c r="F453" s="75" t="str">
        <x:f>IF($A453&lt;&gt;"",Katalog_Fiyatlayici!$AE453,"")</x:f>
      </x:c>
      <x:c r="G453" s="75" t="str">
        <x:f>IF($A453&lt;&gt;"",Katalog_Fiyatlayici!$AD453,"")</x:f>
      </x:c>
      <x:c r="H453" s="75" t="str">
        <x:f>IF($A453&lt;&gt;"",Katalog_Fiyatlayici!$B453,"")</x:f>
      </x:c>
      <x:c r="I453" s="75" t="str">
        <x:f>IF($A453&lt;&gt;"","MakerWorld model linkine göre tahmini 3D baskı fiyatı. Gerçek üretimden önce Bambu Studio ile gramaj ve süre doğrulanır.","")</x:f>
      </x:c>
      <x:c r="J453" s="75" t="str">
        <x:f>IF($A453&lt;&gt;"",TRUE,"")</x:f>
      </x:c>
      <x:c r="K453" s="75" t="str">
        <x:f>IF($A453&lt;&gt;"",FALSE,"")</x:f>
      </x:c>
      <x:c r="L453" s="75" t="str">
        <x:f>IF($A453&lt;&gt;"","Units","")</x:f>
      </x:c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75" t="str">
        <x:f>IF(Katalog_Fiyatlayici!$AC454="Fiyat Hazır",Katalog_Fiyatlayici!$AD454,"")</x:f>
      </x:c>
      <x:c r="B454" s="75" t="str">
        <x:f>IF($A454&lt;&gt;"",Katalog_Fiyatlayici!$AF454,"")</x:f>
      </x:c>
      <x:c r="C454" s="83" t="str">
        <x:f>IF($A454&lt;&gt;"",Katalog_Fiyatlayici!$AA454,"")</x:f>
      </x:c>
      <x:c r="D454" s="83" t="str">
        <x:f>IF($A454&lt;&gt;"",Katalog_Fiyatlayici!$W454,"")</x:f>
      </x:c>
      <x:c r="E454" s="75" t="str">
        <x:f>IF($A454&lt;&gt;"","Service","")</x:f>
      </x:c>
      <x:c r="F454" s="75" t="str">
        <x:f>IF($A454&lt;&gt;"",Katalog_Fiyatlayici!$AE454,"")</x:f>
      </x:c>
      <x:c r="G454" s="75" t="str">
        <x:f>IF($A454&lt;&gt;"",Katalog_Fiyatlayici!$AD454,"")</x:f>
      </x:c>
      <x:c r="H454" s="75" t="str">
        <x:f>IF($A454&lt;&gt;"",Katalog_Fiyatlayici!$B454,"")</x:f>
      </x:c>
      <x:c r="I454" s="75" t="str">
        <x:f>IF($A454&lt;&gt;"","MakerWorld model linkine göre tahmini 3D baskı fiyatı. Gerçek üretimden önce Bambu Studio ile gramaj ve süre doğrulanır.","")</x:f>
      </x:c>
      <x:c r="J454" s="75" t="str">
        <x:f>IF($A454&lt;&gt;"",TRUE,"")</x:f>
      </x:c>
      <x:c r="K454" s="75" t="str">
        <x:f>IF($A454&lt;&gt;"",FALSE,"")</x:f>
      </x:c>
      <x:c r="L454" s="75" t="str">
        <x:f>IF($A454&lt;&gt;"","Units","")</x:f>
      </x:c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75" t="str">
        <x:f>IF(Katalog_Fiyatlayici!$AC455="Fiyat Hazır",Katalog_Fiyatlayici!$AD455,"")</x:f>
      </x:c>
      <x:c r="B455" s="75" t="str">
        <x:f>IF($A455&lt;&gt;"",Katalog_Fiyatlayici!$AF455,"")</x:f>
      </x:c>
      <x:c r="C455" s="83" t="str">
        <x:f>IF($A455&lt;&gt;"",Katalog_Fiyatlayici!$AA455,"")</x:f>
      </x:c>
      <x:c r="D455" s="83" t="str">
        <x:f>IF($A455&lt;&gt;"",Katalog_Fiyatlayici!$W455,"")</x:f>
      </x:c>
      <x:c r="E455" s="75" t="str">
        <x:f>IF($A455&lt;&gt;"","Service","")</x:f>
      </x:c>
      <x:c r="F455" s="75" t="str">
        <x:f>IF($A455&lt;&gt;"",Katalog_Fiyatlayici!$AE455,"")</x:f>
      </x:c>
      <x:c r="G455" s="75" t="str">
        <x:f>IF($A455&lt;&gt;"",Katalog_Fiyatlayici!$AD455,"")</x:f>
      </x:c>
      <x:c r="H455" s="75" t="str">
        <x:f>IF($A455&lt;&gt;"",Katalog_Fiyatlayici!$B455,"")</x:f>
      </x:c>
      <x:c r="I455" s="75" t="str">
        <x:f>IF($A455&lt;&gt;"","MakerWorld model linkine göre tahmini 3D baskı fiyatı. Gerçek üretimden önce Bambu Studio ile gramaj ve süre doğrulanır.","")</x:f>
      </x:c>
      <x:c r="J455" s="75" t="str">
        <x:f>IF($A455&lt;&gt;"",TRUE,"")</x:f>
      </x:c>
      <x:c r="K455" s="75" t="str">
        <x:f>IF($A455&lt;&gt;"",FALSE,"")</x:f>
      </x:c>
      <x:c r="L455" s="75" t="str">
        <x:f>IF($A455&lt;&gt;"","Units","")</x:f>
      </x:c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75" t="str">
        <x:f>IF(Katalog_Fiyatlayici!$AC456="Fiyat Hazır",Katalog_Fiyatlayici!$AD456,"")</x:f>
      </x:c>
      <x:c r="B456" s="75" t="str">
        <x:f>IF($A456&lt;&gt;"",Katalog_Fiyatlayici!$AF456,"")</x:f>
      </x:c>
      <x:c r="C456" s="83" t="str">
        <x:f>IF($A456&lt;&gt;"",Katalog_Fiyatlayici!$AA456,"")</x:f>
      </x:c>
      <x:c r="D456" s="83" t="str">
        <x:f>IF($A456&lt;&gt;"",Katalog_Fiyatlayici!$W456,"")</x:f>
      </x:c>
      <x:c r="E456" s="75" t="str">
        <x:f>IF($A456&lt;&gt;"","Service","")</x:f>
      </x:c>
      <x:c r="F456" s="75" t="str">
        <x:f>IF($A456&lt;&gt;"",Katalog_Fiyatlayici!$AE456,"")</x:f>
      </x:c>
      <x:c r="G456" s="75" t="str">
        <x:f>IF($A456&lt;&gt;"",Katalog_Fiyatlayici!$AD456,"")</x:f>
      </x:c>
      <x:c r="H456" s="75" t="str">
        <x:f>IF($A456&lt;&gt;"",Katalog_Fiyatlayici!$B456,"")</x:f>
      </x:c>
      <x:c r="I456" s="75" t="str">
        <x:f>IF($A456&lt;&gt;"","MakerWorld model linkine göre tahmini 3D baskı fiyatı. Gerçek üretimden önce Bambu Studio ile gramaj ve süre doğrulanır.","")</x:f>
      </x:c>
      <x:c r="J456" s="75" t="str">
        <x:f>IF($A456&lt;&gt;"",TRUE,"")</x:f>
      </x:c>
      <x:c r="K456" s="75" t="str">
        <x:f>IF($A456&lt;&gt;"",FALSE,"")</x:f>
      </x:c>
      <x:c r="L456" s="75" t="str">
        <x:f>IF($A456&lt;&gt;"","Units","")</x:f>
      </x:c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75" t="str">
        <x:f>IF(Katalog_Fiyatlayici!$AC457="Fiyat Hazır",Katalog_Fiyatlayici!$AD457,"")</x:f>
      </x:c>
      <x:c r="B457" s="75" t="str">
        <x:f>IF($A457&lt;&gt;"",Katalog_Fiyatlayici!$AF457,"")</x:f>
      </x:c>
      <x:c r="C457" s="83" t="str">
        <x:f>IF($A457&lt;&gt;"",Katalog_Fiyatlayici!$AA457,"")</x:f>
      </x:c>
      <x:c r="D457" s="83" t="str">
        <x:f>IF($A457&lt;&gt;"",Katalog_Fiyatlayici!$W457,"")</x:f>
      </x:c>
      <x:c r="E457" s="75" t="str">
        <x:f>IF($A457&lt;&gt;"","Service","")</x:f>
      </x:c>
      <x:c r="F457" s="75" t="str">
        <x:f>IF($A457&lt;&gt;"",Katalog_Fiyatlayici!$AE457,"")</x:f>
      </x:c>
      <x:c r="G457" s="75" t="str">
        <x:f>IF($A457&lt;&gt;"",Katalog_Fiyatlayici!$AD457,"")</x:f>
      </x:c>
      <x:c r="H457" s="75" t="str">
        <x:f>IF($A457&lt;&gt;"",Katalog_Fiyatlayici!$B457,"")</x:f>
      </x:c>
      <x:c r="I457" s="75" t="str">
        <x:f>IF($A457&lt;&gt;"","MakerWorld model linkine göre tahmini 3D baskı fiyatı. Gerçek üretimden önce Bambu Studio ile gramaj ve süre doğrulanır.","")</x:f>
      </x:c>
      <x:c r="J457" s="75" t="str">
        <x:f>IF($A457&lt;&gt;"",TRUE,"")</x:f>
      </x:c>
      <x:c r="K457" s="75" t="str">
        <x:f>IF($A457&lt;&gt;"",FALSE,"")</x:f>
      </x:c>
      <x:c r="L457" s="75" t="str">
        <x:f>IF($A457&lt;&gt;"","Units","")</x:f>
      </x:c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75" t="str">
        <x:f>IF(Katalog_Fiyatlayici!$AC458="Fiyat Hazır",Katalog_Fiyatlayici!$AD458,"")</x:f>
      </x:c>
      <x:c r="B458" s="75" t="str">
        <x:f>IF($A458&lt;&gt;"",Katalog_Fiyatlayici!$AF458,"")</x:f>
      </x:c>
      <x:c r="C458" s="83" t="str">
        <x:f>IF($A458&lt;&gt;"",Katalog_Fiyatlayici!$AA458,"")</x:f>
      </x:c>
      <x:c r="D458" s="83" t="str">
        <x:f>IF($A458&lt;&gt;"",Katalog_Fiyatlayici!$W458,"")</x:f>
      </x:c>
      <x:c r="E458" s="75" t="str">
        <x:f>IF($A458&lt;&gt;"","Service","")</x:f>
      </x:c>
      <x:c r="F458" s="75" t="str">
        <x:f>IF($A458&lt;&gt;"",Katalog_Fiyatlayici!$AE458,"")</x:f>
      </x:c>
      <x:c r="G458" s="75" t="str">
        <x:f>IF($A458&lt;&gt;"",Katalog_Fiyatlayici!$AD458,"")</x:f>
      </x:c>
      <x:c r="H458" s="75" t="str">
        <x:f>IF($A458&lt;&gt;"",Katalog_Fiyatlayici!$B458,"")</x:f>
      </x:c>
      <x:c r="I458" s="75" t="str">
        <x:f>IF($A458&lt;&gt;"","MakerWorld model linkine göre tahmini 3D baskı fiyatı. Gerçek üretimden önce Bambu Studio ile gramaj ve süre doğrulanır.","")</x:f>
      </x:c>
      <x:c r="J458" s="75" t="str">
        <x:f>IF($A458&lt;&gt;"",TRUE,"")</x:f>
      </x:c>
      <x:c r="K458" s="75" t="str">
        <x:f>IF($A458&lt;&gt;"",FALSE,"")</x:f>
      </x:c>
      <x:c r="L458" s="75" t="str">
        <x:f>IF($A458&lt;&gt;"","Units","")</x:f>
      </x:c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75" t="str">
        <x:f>IF(Katalog_Fiyatlayici!$AC459="Fiyat Hazır",Katalog_Fiyatlayici!$AD459,"")</x:f>
      </x:c>
      <x:c r="B459" s="75" t="str">
        <x:f>IF($A459&lt;&gt;"",Katalog_Fiyatlayici!$AF459,"")</x:f>
      </x:c>
      <x:c r="C459" s="83" t="str">
        <x:f>IF($A459&lt;&gt;"",Katalog_Fiyatlayici!$AA459,"")</x:f>
      </x:c>
      <x:c r="D459" s="83" t="str">
        <x:f>IF($A459&lt;&gt;"",Katalog_Fiyatlayici!$W459,"")</x:f>
      </x:c>
      <x:c r="E459" s="75" t="str">
        <x:f>IF($A459&lt;&gt;"","Service","")</x:f>
      </x:c>
      <x:c r="F459" s="75" t="str">
        <x:f>IF($A459&lt;&gt;"",Katalog_Fiyatlayici!$AE459,"")</x:f>
      </x:c>
      <x:c r="G459" s="75" t="str">
        <x:f>IF($A459&lt;&gt;"",Katalog_Fiyatlayici!$AD459,"")</x:f>
      </x:c>
      <x:c r="H459" s="75" t="str">
        <x:f>IF($A459&lt;&gt;"",Katalog_Fiyatlayici!$B459,"")</x:f>
      </x:c>
      <x:c r="I459" s="75" t="str">
        <x:f>IF($A459&lt;&gt;"","MakerWorld model linkine göre tahmini 3D baskı fiyatı. Gerçek üretimden önce Bambu Studio ile gramaj ve süre doğrulanır.","")</x:f>
      </x:c>
      <x:c r="J459" s="75" t="str">
        <x:f>IF($A459&lt;&gt;"",TRUE,"")</x:f>
      </x:c>
      <x:c r="K459" s="75" t="str">
        <x:f>IF($A459&lt;&gt;"",FALSE,"")</x:f>
      </x:c>
      <x:c r="L459" s="75" t="str">
        <x:f>IF($A459&lt;&gt;"","Units","")</x:f>
      </x:c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75" t="str">
        <x:f>IF(Katalog_Fiyatlayici!$AC460="Fiyat Hazır",Katalog_Fiyatlayici!$AD460,"")</x:f>
      </x:c>
      <x:c r="B460" s="75" t="str">
        <x:f>IF($A460&lt;&gt;"",Katalog_Fiyatlayici!$AF460,"")</x:f>
      </x:c>
      <x:c r="C460" s="83" t="str">
        <x:f>IF($A460&lt;&gt;"",Katalog_Fiyatlayici!$AA460,"")</x:f>
      </x:c>
      <x:c r="D460" s="83" t="str">
        <x:f>IF($A460&lt;&gt;"",Katalog_Fiyatlayici!$W460,"")</x:f>
      </x:c>
      <x:c r="E460" s="75" t="str">
        <x:f>IF($A460&lt;&gt;"","Service","")</x:f>
      </x:c>
      <x:c r="F460" s="75" t="str">
        <x:f>IF($A460&lt;&gt;"",Katalog_Fiyatlayici!$AE460,"")</x:f>
      </x:c>
      <x:c r="G460" s="75" t="str">
        <x:f>IF($A460&lt;&gt;"",Katalog_Fiyatlayici!$AD460,"")</x:f>
      </x:c>
      <x:c r="H460" s="75" t="str">
        <x:f>IF($A460&lt;&gt;"",Katalog_Fiyatlayici!$B460,"")</x:f>
      </x:c>
      <x:c r="I460" s="75" t="str">
        <x:f>IF($A460&lt;&gt;"","MakerWorld model linkine göre tahmini 3D baskı fiyatı. Gerçek üretimden önce Bambu Studio ile gramaj ve süre doğrulanır.","")</x:f>
      </x:c>
      <x:c r="J460" s="75" t="str">
        <x:f>IF($A460&lt;&gt;"",TRUE,"")</x:f>
      </x:c>
      <x:c r="K460" s="75" t="str">
        <x:f>IF($A460&lt;&gt;"",FALSE,"")</x:f>
      </x:c>
      <x:c r="L460" s="75" t="str">
        <x:f>IF($A460&lt;&gt;"","Units","")</x:f>
      </x:c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75" t="str">
        <x:f>IF(Katalog_Fiyatlayici!$AC461="Fiyat Hazır",Katalog_Fiyatlayici!$AD461,"")</x:f>
      </x:c>
      <x:c r="B461" s="75" t="str">
        <x:f>IF($A461&lt;&gt;"",Katalog_Fiyatlayici!$AF461,"")</x:f>
      </x:c>
      <x:c r="C461" s="83" t="str">
        <x:f>IF($A461&lt;&gt;"",Katalog_Fiyatlayici!$AA461,"")</x:f>
      </x:c>
      <x:c r="D461" s="83" t="str">
        <x:f>IF($A461&lt;&gt;"",Katalog_Fiyatlayici!$W461,"")</x:f>
      </x:c>
      <x:c r="E461" s="75" t="str">
        <x:f>IF($A461&lt;&gt;"","Service","")</x:f>
      </x:c>
      <x:c r="F461" s="75" t="str">
        <x:f>IF($A461&lt;&gt;"",Katalog_Fiyatlayici!$AE461,"")</x:f>
      </x:c>
      <x:c r="G461" s="75" t="str">
        <x:f>IF($A461&lt;&gt;"",Katalog_Fiyatlayici!$AD461,"")</x:f>
      </x:c>
      <x:c r="H461" s="75" t="str">
        <x:f>IF($A461&lt;&gt;"",Katalog_Fiyatlayici!$B461,"")</x:f>
      </x:c>
      <x:c r="I461" s="75" t="str">
        <x:f>IF($A461&lt;&gt;"","MakerWorld model linkine göre tahmini 3D baskı fiyatı. Gerçek üretimden önce Bambu Studio ile gramaj ve süre doğrulanır.","")</x:f>
      </x:c>
      <x:c r="J461" s="75" t="str">
        <x:f>IF($A461&lt;&gt;"",TRUE,"")</x:f>
      </x:c>
      <x:c r="K461" s="75" t="str">
        <x:f>IF($A461&lt;&gt;"",FALSE,"")</x:f>
      </x:c>
      <x:c r="L461" s="75" t="str">
        <x:f>IF($A461&lt;&gt;"","Units","")</x:f>
      </x:c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75" t="str">
        <x:f>IF(Katalog_Fiyatlayici!$AC462="Fiyat Hazır",Katalog_Fiyatlayici!$AD462,"")</x:f>
      </x:c>
      <x:c r="B462" s="75" t="str">
        <x:f>IF($A462&lt;&gt;"",Katalog_Fiyatlayici!$AF462,"")</x:f>
      </x:c>
      <x:c r="C462" s="83" t="str">
        <x:f>IF($A462&lt;&gt;"",Katalog_Fiyatlayici!$AA462,"")</x:f>
      </x:c>
      <x:c r="D462" s="83" t="str">
        <x:f>IF($A462&lt;&gt;"",Katalog_Fiyatlayici!$W462,"")</x:f>
      </x:c>
      <x:c r="E462" s="75" t="str">
        <x:f>IF($A462&lt;&gt;"","Service","")</x:f>
      </x:c>
      <x:c r="F462" s="75" t="str">
        <x:f>IF($A462&lt;&gt;"",Katalog_Fiyatlayici!$AE462,"")</x:f>
      </x:c>
      <x:c r="G462" s="75" t="str">
        <x:f>IF($A462&lt;&gt;"",Katalog_Fiyatlayici!$AD462,"")</x:f>
      </x:c>
      <x:c r="H462" s="75" t="str">
        <x:f>IF($A462&lt;&gt;"",Katalog_Fiyatlayici!$B462,"")</x:f>
      </x:c>
      <x:c r="I462" s="75" t="str">
        <x:f>IF($A462&lt;&gt;"","MakerWorld model linkine göre tahmini 3D baskı fiyatı. Gerçek üretimden önce Bambu Studio ile gramaj ve süre doğrulanır.","")</x:f>
      </x:c>
      <x:c r="J462" s="75" t="str">
        <x:f>IF($A462&lt;&gt;"",TRUE,"")</x:f>
      </x:c>
      <x:c r="K462" s="75" t="str">
        <x:f>IF($A462&lt;&gt;"",FALSE,"")</x:f>
      </x:c>
      <x:c r="L462" s="75" t="str">
        <x:f>IF($A462&lt;&gt;"","Units","")</x:f>
      </x:c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75" t="str">
        <x:f>IF(Katalog_Fiyatlayici!$AC463="Fiyat Hazır",Katalog_Fiyatlayici!$AD463,"")</x:f>
      </x:c>
      <x:c r="B463" s="75" t="str">
        <x:f>IF($A463&lt;&gt;"",Katalog_Fiyatlayici!$AF463,"")</x:f>
      </x:c>
      <x:c r="C463" s="83" t="str">
        <x:f>IF($A463&lt;&gt;"",Katalog_Fiyatlayici!$AA463,"")</x:f>
      </x:c>
      <x:c r="D463" s="83" t="str">
        <x:f>IF($A463&lt;&gt;"",Katalog_Fiyatlayici!$W463,"")</x:f>
      </x:c>
      <x:c r="E463" s="75" t="str">
        <x:f>IF($A463&lt;&gt;"","Service","")</x:f>
      </x:c>
      <x:c r="F463" s="75" t="str">
        <x:f>IF($A463&lt;&gt;"",Katalog_Fiyatlayici!$AE463,"")</x:f>
      </x:c>
      <x:c r="G463" s="75" t="str">
        <x:f>IF($A463&lt;&gt;"",Katalog_Fiyatlayici!$AD463,"")</x:f>
      </x:c>
      <x:c r="H463" s="75" t="str">
        <x:f>IF($A463&lt;&gt;"",Katalog_Fiyatlayici!$B463,"")</x:f>
      </x:c>
      <x:c r="I463" s="75" t="str">
        <x:f>IF($A463&lt;&gt;"","MakerWorld model linkine göre tahmini 3D baskı fiyatı. Gerçek üretimden önce Bambu Studio ile gramaj ve süre doğrulanır.","")</x:f>
      </x:c>
      <x:c r="J463" s="75" t="str">
        <x:f>IF($A463&lt;&gt;"",TRUE,"")</x:f>
      </x:c>
      <x:c r="K463" s="75" t="str">
        <x:f>IF($A463&lt;&gt;"",FALSE,"")</x:f>
      </x:c>
      <x:c r="L463" s="75" t="str">
        <x:f>IF($A463&lt;&gt;"","Units","")</x:f>
      </x:c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75" t="str">
        <x:f>IF(Katalog_Fiyatlayici!$AC464="Fiyat Hazır",Katalog_Fiyatlayici!$AD464,"")</x:f>
      </x:c>
      <x:c r="B464" s="75" t="str">
        <x:f>IF($A464&lt;&gt;"",Katalog_Fiyatlayici!$AF464,"")</x:f>
      </x:c>
      <x:c r="C464" s="83" t="str">
        <x:f>IF($A464&lt;&gt;"",Katalog_Fiyatlayici!$AA464,"")</x:f>
      </x:c>
      <x:c r="D464" s="83" t="str">
        <x:f>IF($A464&lt;&gt;"",Katalog_Fiyatlayici!$W464,"")</x:f>
      </x:c>
      <x:c r="E464" s="75" t="str">
        <x:f>IF($A464&lt;&gt;"","Service","")</x:f>
      </x:c>
      <x:c r="F464" s="75" t="str">
        <x:f>IF($A464&lt;&gt;"",Katalog_Fiyatlayici!$AE464,"")</x:f>
      </x:c>
      <x:c r="G464" s="75" t="str">
        <x:f>IF($A464&lt;&gt;"",Katalog_Fiyatlayici!$AD464,"")</x:f>
      </x:c>
      <x:c r="H464" s="75" t="str">
        <x:f>IF($A464&lt;&gt;"",Katalog_Fiyatlayici!$B464,"")</x:f>
      </x:c>
      <x:c r="I464" s="75" t="str">
        <x:f>IF($A464&lt;&gt;"","MakerWorld model linkine göre tahmini 3D baskı fiyatı. Gerçek üretimden önce Bambu Studio ile gramaj ve süre doğrulanır.","")</x:f>
      </x:c>
      <x:c r="J464" s="75" t="str">
        <x:f>IF($A464&lt;&gt;"",TRUE,"")</x:f>
      </x:c>
      <x:c r="K464" s="75" t="str">
        <x:f>IF($A464&lt;&gt;"",FALSE,"")</x:f>
      </x:c>
      <x:c r="L464" s="75" t="str">
        <x:f>IF($A464&lt;&gt;"","Units","")</x:f>
      </x:c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75" t="str">
        <x:f>IF(Katalog_Fiyatlayici!$AC465="Fiyat Hazır",Katalog_Fiyatlayici!$AD465,"")</x:f>
      </x:c>
      <x:c r="B465" s="75" t="str">
        <x:f>IF($A465&lt;&gt;"",Katalog_Fiyatlayici!$AF465,"")</x:f>
      </x:c>
      <x:c r="C465" s="83" t="str">
        <x:f>IF($A465&lt;&gt;"",Katalog_Fiyatlayici!$AA465,"")</x:f>
      </x:c>
      <x:c r="D465" s="83" t="str">
        <x:f>IF($A465&lt;&gt;"",Katalog_Fiyatlayici!$W465,"")</x:f>
      </x:c>
      <x:c r="E465" s="75" t="str">
        <x:f>IF($A465&lt;&gt;"","Service","")</x:f>
      </x:c>
      <x:c r="F465" s="75" t="str">
        <x:f>IF($A465&lt;&gt;"",Katalog_Fiyatlayici!$AE465,"")</x:f>
      </x:c>
      <x:c r="G465" s="75" t="str">
        <x:f>IF($A465&lt;&gt;"",Katalog_Fiyatlayici!$AD465,"")</x:f>
      </x:c>
      <x:c r="H465" s="75" t="str">
        <x:f>IF($A465&lt;&gt;"",Katalog_Fiyatlayici!$B465,"")</x:f>
      </x:c>
      <x:c r="I465" s="75" t="str">
        <x:f>IF($A465&lt;&gt;"","MakerWorld model linkine göre tahmini 3D baskı fiyatı. Gerçek üretimden önce Bambu Studio ile gramaj ve süre doğrulanır.","")</x:f>
      </x:c>
      <x:c r="J465" s="75" t="str">
        <x:f>IF($A465&lt;&gt;"",TRUE,"")</x:f>
      </x:c>
      <x:c r="K465" s="75" t="str">
        <x:f>IF($A465&lt;&gt;"",FALSE,"")</x:f>
      </x:c>
      <x:c r="L465" s="75" t="str">
        <x:f>IF($A465&lt;&gt;"","Units","")</x:f>
      </x:c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75" t="str">
        <x:f>IF(Katalog_Fiyatlayici!$AC466="Fiyat Hazır",Katalog_Fiyatlayici!$AD466,"")</x:f>
      </x:c>
      <x:c r="B466" s="75" t="str">
        <x:f>IF($A466&lt;&gt;"",Katalog_Fiyatlayici!$AF466,"")</x:f>
      </x:c>
      <x:c r="C466" s="83" t="str">
        <x:f>IF($A466&lt;&gt;"",Katalog_Fiyatlayici!$AA466,"")</x:f>
      </x:c>
      <x:c r="D466" s="83" t="str">
        <x:f>IF($A466&lt;&gt;"",Katalog_Fiyatlayici!$W466,"")</x:f>
      </x:c>
      <x:c r="E466" s="75" t="str">
        <x:f>IF($A466&lt;&gt;"","Service","")</x:f>
      </x:c>
      <x:c r="F466" s="75" t="str">
        <x:f>IF($A466&lt;&gt;"",Katalog_Fiyatlayici!$AE466,"")</x:f>
      </x:c>
      <x:c r="G466" s="75" t="str">
        <x:f>IF($A466&lt;&gt;"",Katalog_Fiyatlayici!$AD466,"")</x:f>
      </x:c>
      <x:c r="H466" s="75" t="str">
        <x:f>IF($A466&lt;&gt;"",Katalog_Fiyatlayici!$B466,"")</x:f>
      </x:c>
      <x:c r="I466" s="75" t="str">
        <x:f>IF($A466&lt;&gt;"","MakerWorld model linkine göre tahmini 3D baskı fiyatı. Gerçek üretimden önce Bambu Studio ile gramaj ve süre doğrulanır.","")</x:f>
      </x:c>
      <x:c r="J466" s="75" t="str">
        <x:f>IF($A466&lt;&gt;"",TRUE,"")</x:f>
      </x:c>
      <x:c r="K466" s="75" t="str">
        <x:f>IF($A466&lt;&gt;"",FALSE,"")</x:f>
      </x:c>
      <x:c r="L466" s="75" t="str">
        <x:f>IF($A466&lt;&gt;"","Units","")</x:f>
      </x:c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75" t="str">
        <x:f>IF(Katalog_Fiyatlayici!$AC467="Fiyat Hazır",Katalog_Fiyatlayici!$AD467,"")</x:f>
      </x:c>
      <x:c r="B467" s="75" t="str">
        <x:f>IF($A467&lt;&gt;"",Katalog_Fiyatlayici!$AF467,"")</x:f>
      </x:c>
      <x:c r="C467" s="83" t="str">
        <x:f>IF($A467&lt;&gt;"",Katalog_Fiyatlayici!$AA467,"")</x:f>
      </x:c>
      <x:c r="D467" s="83" t="str">
        <x:f>IF($A467&lt;&gt;"",Katalog_Fiyatlayici!$W467,"")</x:f>
      </x:c>
      <x:c r="E467" s="75" t="str">
        <x:f>IF($A467&lt;&gt;"","Service","")</x:f>
      </x:c>
      <x:c r="F467" s="75" t="str">
        <x:f>IF($A467&lt;&gt;"",Katalog_Fiyatlayici!$AE467,"")</x:f>
      </x:c>
      <x:c r="G467" s="75" t="str">
        <x:f>IF($A467&lt;&gt;"",Katalog_Fiyatlayici!$AD467,"")</x:f>
      </x:c>
      <x:c r="H467" s="75" t="str">
        <x:f>IF($A467&lt;&gt;"",Katalog_Fiyatlayici!$B467,"")</x:f>
      </x:c>
      <x:c r="I467" s="75" t="str">
        <x:f>IF($A467&lt;&gt;"","MakerWorld model linkine göre tahmini 3D baskı fiyatı. Gerçek üretimden önce Bambu Studio ile gramaj ve süre doğrulanır.","")</x:f>
      </x:c>
      <x:c r="J467" s="75" t="str">
        <x:f>IF($A467&lt;&gt;"",TRUE,"")</x:f>
      </x:c>
      <x:c r="K467" s="75" t="str">
        <x:f>IF($A467&lt;&gt;"",FALSE,"")</x:f>
      </x:c>
      <x:c r="L467" s="75" t="str">
        <x:f>IF($A467&lt;&gt;"","Units","")</x:f>
      </x:c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75" t="str">
        <x:f>IF(Katalog_Fiyatlayici!$AC468="Fiyat Hazır",Katalog_Fiyatlayici!$AD468,"")</x:f>
      </x:c>
      <x:c r="B468" s="75" t="str">
        <x:f>IF($A468&lt;&gt;"",Katalog_Fiyatlayici!$AF468,"")</x:f>
      </x:c>
      <x:c r="C468" s="83" t="str">
        <x:f>IF($A468&lt;&gt;"",Katalog_Fiyatlayici!$AA468,"")</x:f>
      </x:c>
      <x:c r="D468" s="83" t="str">
        <x:f>IF($A468&lt;&gt;"",Katalog_Fiyatlayici!$W468,"")</x:f>
      </x:c>
      <x:c r="E468" s="75" t="str">
        <x:f>IF($A468&lt;&gt;"","Service","")</x:f>
      </x:c>
      <x:c r="F468" s="75" t="str">
        <x:f>IF($A468&lt;&gt;"",Katalog_Fiyatlayici!$AE468,"")</x:f>
      </x:c>
      <x:c r="G468" s="75" t="str">
        <x:f>IF($A468&lt;&gt;"",Katalog_Fiyatlayici!$AD468,"")</x:f>
      </x:c>
      <x:c r="H468" s="75" t="str">
        <x:f>IF($A468&lt;&gt;"",Katalog_Fiyatlayici!$B468,"")</x:f>
      </x:c>
      <x:c r="I468" s="75" t="str">
        <x:f>IF($A468&lt;&gt;"","MakerWorld model linkine göre tahmini 3D baskı fiyatı. Gerçek üretimden önce Bambu Studio ile gramaj ve süre doğrulanır.","")</x:f>
      </x:c>
      <x:c r="J468" s="75" t="str">
        <x:f>IF($A468&lt;&gt;"",TRUE,"")</x:f>
      </x:c>
      <x:c r="K468" s="75" t="str">
        <x:f>IF($A468&lt;&gt;"",FALSE,"")</x:f>
      </x:c>
      <x:c r="L468" s="75" t="str">
        <x:f>IF($A468&lt;&gt;"","Units","")</x:f>
      </x:c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75" t="str">
        <x:f>IF(Katalog_Fiyatlayici!$AC469="Fiyat Hazır",Katalog_Fiyatlayici!$AD469,"")</x:f>
      </x:c>
      <x:c r="B469" s="75" t="str">
        <x:f>IF($A469&lt;&gt;"",Katalog_Fiyatlayici!$AF469,"")</x:f>
      </x:c>
      <x:c r="C469" s="83" t="str">
        <x:f>IF($A469&lt;&gt;"",Katalog_Fiyatlayici!$AA469,"")</x:f>
      </x:c>
      <x:c r="D469" s="83" t="str">
        <x:f>IF($A469&lt;&gt;"",Katalog_Fiyatlayici!$W469,"")</x:f>
      </x:c>
      <x:c r="E469" s="75" t="str">
        <x:f>IF($A469&lt;&gt;"","Service","")</x:f>
      </x:c>
      <x:c r="F469" s="75" t="str">
        <x:f>IF($A469&lt;&gt;"",Katalog_Fiyatlayici!$AE469,"")</x:f>
      </x:c>
      <x:c r="G469" s="75" t="str">
        <x:f>IF($A469&lt;&gt;"",Katalog_Fiyatlayici!$AD469,"")</x:f>
      </x:c>
      <x:c r="H469" s="75" t="str">
        <x:f>IF($A469&lt;&gt;"",Katalog_Fiyatlayici!$B469,"")</x:f>
      </x:c>
      <x:c r="I469" s="75" t="str">
        <x:f>IF($A469&lt;&gt;"","MakerWorld model linkine göre tahmini 3D baskı fiyatı. Gerçek üretimden önce Bambu Studio ile gramaj ve süre doğrulanır.","")</x:f>
      </x:c>
      <x:c r="J469" s="75" t="str">
        <x:f>IF($A469&lt;&gt;"",TRUE,"")</x:f>
      </x:c>
      <x:c r="K469" s="75" t="str">
        <x:f>IF($A469&lt;&gt;"",FALSE,"")</x:f>
      </x:c>
      <x:c r="L469" s="75" t="str">
        <x:f>IF($A469&lt;&gt;"","Units","")</x:f>
      </x:c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75" t="str">
        <x:f>IF(Katalog_Fiyatlayici!$AC470="Fiyat Hazır",Katalog_Fiyatlayici!$AD470,"")</x:f>
      </x:c>
      <x:c r="B470" s="75" t="str">
        <x:f>IF($A470&lt;&gt;"",Katalog_Fiyatlayici!$AF470,"")</x:f>
      </x:c>
      <x:c r="C470" s="83" t="str">
        <x:f>IF($A470&lt;&gt;"",Katalog_Fiyatlayici!$AA470,"")</x:f>
      </x:c>
      <x:c r="D470" s="83" t="str">
        <x:f>IF($A470&lt;&gt;"",Katalog_Fiyatlayici!$W470,"")</x:f>
      </x:c>
      <x:c r="E470" s="75" t="str">
        <x:f>IF($A470&lt;&gt;"","Service","")</x:f>
      </x:c>
      <x:c r="F470" s="75" t="str">
        <x:f>IF($A470&lt;&gt;"",Katalog_Fiyatlayici!$AE470,"")</x:f>
      </x:c>
      <x:c r="G470" s="75" t="str">
        <x:f>IF($A470&lt;&gt;"",Katalog_Fiyatlayici!$AD470,"")</x:f>
      </x:c>
      <x:c r="H470" s="75" t="str">
        <x:f>IF($A470&lt;&gt;"",Katalog_Fiyatlayici!$B470,"")</x:f>
      </x:c>
      <x:c r="I470" s="75" t="str">
        <x:f>IF($A470&lt;&gt;"","MakerWorld model linkine göre tahmini 3D baskı fiyatı. Gerçek üretimden önce Bambu Studio ile gramaj ve süre doğrulanır.","")</x:f>
      </x:c>
      <x:c r="J470" s="75" t="str">
        <x:f>IF($A470&lt;&gt;"",TRUE,"")</x:f>
      </x:c>
      <x:c r="K470" s="75" t="str">
        <x:f>IF($A470&lt;&gt;"",FALSE,"")</x:f>
      </x:c>
      <x:c r="L470" s="75" t="str">
        <x:f>IF($A470&lt;&gt;"","Units","")</x:f>
      </x:c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75" t="str">
        <x:f>IF(Katalog_Fiyatlayici!$AC471="Fiyat Hazır",Katalog_Fiyatlayici!$AD471,"")</x:f>
      </x:c>
      <x:c r="B471" s="75" t="str">
        <x:f>IF($A471&lt;&gt;"",Katalog_Fiyatlayici!$AF471,"")</x:f>
      </x:c>
      <x:c r="C471" s="83" t="str">
        <x:f>IF($A471&lt;&gt;"",Katalog_Fiyatlayici!$AA471,"")</x:f>
      </x:c>
      <x:c r="D471" s="83" t="str">
        <x:f>IF($A471&lt;&gt;"",Katalog_Fiyatlayici!$W471,"")</x:f>
      </x:c>
      <x:c r="E471" s="75" t="str">
        <x:f>IF($A471&lt;&gt;"","Service","")</x:f>
      </x:c>
      <x:c r="F471" s="75" t="str">
        <x:f>IF($A471&lt;&gt;"",Katalog_Fiyatlayici!$AE471,"")</x:f>
      </x:c>
      <x:c r="G471" s="75" t="str">
        <x:f>IF($A471&lt;&gt;"",Katalog_Fiyatlayici!$AD471,"")</x:f>
      </x:c>
      <x:c r="H471" s="75" t="str">
        <x:f>IF($A471&lt;&gt;"",Katalog_Fiyatlayici!$B471,"")</x:f>
      </x:c>
      <x:c r="I471" s="75" t="str">
        <x:f>IF($A471&lt;&gt;"","MakerWorld model linkine göre tahmini 3D baskı fiyatı. Gerçek üretimden önce Bambu Studio ile gramaj ve süre doğrulanır.","")</x:f>
      </x:c>
      <x:c r="J471" s="75" t="str">
        <x:f>IF($A471&lt;&gt;"",TRUE,"")</x:f>
      </x:c>
      <x:c r="K471" s="75" t="str">
        <x:f>IF($A471&lt;&gt;"",FALSE,"")</x:f>
      </x:c>
      <x:c r="L471" s="75" t="str">
        <x:f>IF($A471&lt;&gt;"","Units","")</x:f>
      </x:c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75" t="str">
        <x:f>IF(Katalog_Fiyatlayici!$AC472="Fiyat Hazır",Katalog_Fiyatlayici!$AD472,"")</x:f>
      </x:c>
      <x:c r="B472" s="75" t="str">
        <x:f>IF($A472&lt;&gt;"",Katalog_Fiyatlayici!$AF472,"")</x:f>
      </x:c>
      <x:c r="C472" s="83" t="str">
        <x:f>IF($A472&lt;&gt;"",Katalog_Fiyatlayici!$AA472,"")</x:f>
      </x:c>
      <x:c r="D472" s="83" t="str">
        <x:f>IF($A472&lt;&gt;"",Katalog_Fiyatlayici!$W472,"")</x:f>
      </x:c>
      <x:c r="E472" s="75" t="str">
        <x:f>IF($A472&lt;&gt;"","Service","")</x:f>
      </x:c>
      <x:c r="F472" s="75" t="str">
        <x:f>IF($A472&lt;&gt;"",Katalog_Fiyatlayici!$AE472,"")</x:f>
      </x:c>
      <x:c r="G472" s="75" t="str">
        <x:f>IF($A472&lt;&gt;"",Katalog_Fiyatlayici!$AD472,"")</x:f>
      </x:c>
      <x:c r="H472" s="75" t="str">
        <x:f>IF($A472&lt;&gt;"",Katalog_Fiyatlayici!$B472,"")</x:f>
      </x:c>
      <x:c r="I472" s="75" t="str">
        <x:f>IF($A472&lt;&gt;"","MakerWorld model linkine göre tahmini 3D baskı fiyatı. Gerçek üretimden önce Bambu Studio ile gramaj ve süre doğrulanır.","")</x:f>
      </x:c>
      <x:c r="J472" s="75" t="str">
        <x:f>IF($A472&lt;&gt;"",TRUE,"")</x:f>
      </x:c>
      <x:c r="K472" s="75" t="str">
        <x:f>IF($A472&lt;&gt;"",FALSE,"")</x:f>
      </x:c>
      <x:c r="L472" s="75" t="str">
        <x:f>IF($A472&lt;&gt;"","Units","")</x:f>
      </x:c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75" t="str">
        <x:f>IF(Katalog_Fiyatlayici!$AC473="Fiyat Hazır",Katalog_Fiyatlayici!$AD473,"")</x:f>
      </x:c>
      <x:c r="B473" s="75" t="str">
        <x:f>IF($A473&lt;&gt;"",Katalog_Fiyatlayici!$AF473,"")</x:f>
      </x:c>
      <x:c r="C473" s="83" t="str">
        <x:f>IF($A473&lt;&gt;"",Katalog_Fiyatlayici!$AA473,"")</x:f>
      </x:c>
      <x:c r="D473" s="83" t="str">
        <x:f>IF($A473&lt;&gt;"",Katalog_Fiyatlayici!$W473,"")</x:f>
      </x:c>
      <x:c r="E473" s="75" t="str">
        <x:f>IF($A473&lt;&gt;"","Service","")</x:f>
      </x:c>
      <x:c r="F473" s="75" t="str">
        <x:f>IF($A473&lt;&gt;"",Katalog_Fiyatlayici!$AE473,"")</x:f>
      </x:c>
      <x:c r="G473" s="75" t="str">
        <x:f>IF($A473&lt;&gt;"",Katalog_Fiyatlayici!$AD473,"")</x:f>
      </x:c>
      <x:c r="H473" s="75" t="str">
        <x:f>IF($A473&lt;&gt;"",Katalog_Fiyatlayici!$B473,"")</x:f>
      </x:c>
      <x:c r="I473" s="75" t="str">
        <x:f>IF($A473&lt;&gt;"","MakerWorld model linkine göre tahmini 3D baskı fiyatı. Gerçek üretimden önce Bambu Studio ile gramaj ve süre doğrulanır.","")</x:f>
      </x:c>
      <x:c r="J473" s="75" t="str">
        <x:f>IF($A473&lt;&gt;"",TRUE,"")</x:f>
      </x:c>
      <x:c r="K473" s="75" t="str">
        <x:f>IF($A473&lt;&gt;"",FALSE,"")</x:f>
      </x:c>
      <x:c r="L473" s="75" t="str">
        <x:f>IF($A473&lt;&gt;"","Units","")</x:f>
      </x:c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75" t="str">
        <x:f>IF(Katalog_Fiyatlayici!$AC474="Fiyat Hazır",Katalog_Fiyatlayici!$AD474,"")</x:f>
      </x:c>
      <x:c r="B474" s="75" t="str">
        <x:f>IF($A474&lt;&gt;"",Katalog_Fiyatlayici!$AF474,"")</x:f>
      </x:c>
      <x:c r="C474" s="83" t="str">
        <x:f>IF($A474&lt;&gt;"",Katalog_Fiyatlayici!$AA474,"")</x:f>
      </x:c>
      <x:c r="D474" s="83" t="str">
        <x:f>IF($A474&lt;&gt;"",Katalog_Fiyatlayici!$W474,"")</x:f>
      </x:c>
      <x:c r="E474" s="75" t="str">
        <x:f>IF($A474&lt;&gt;"","Service","")</x:f>
      </x:c>
      <x:c r="F474" s="75" t="str">
        <x:f>IF($A474&lt;&gt;"",Katalog_Fiyatlayici!$AE474,"")</x:f>
      </x:c>
      <x:c r="G474" s="75" t="str">
        <x:f>IF($A474&lt;&gt;"",Katalog_Fiyatlayici!$AD474,"")</x:f>
      </x:c>
      <x:c r="H474" s="75" t="str">
        <x:f>IF($A474&lt;&gt;"",Katalog_Fiyatlayici!$B474,"")</x:f>
      </x:c>
      <x:c r="I474" s="75" t="str">
        <x:f>IF($A474&lt;&gt;"","MakerWorld model linkine göre tahmini 3D baskı fiyatı. Gerçek üretimden önce Bambu Studio ile gramaj ve süre doğrulanır.","")</x:f>
      </x:c>
      <x:c r="J474" s="75" t="str">
        <x:f>IF($A474&lt;&gt;"",TRUE,"")</x:f>
      </x:c>
      <x:c r="K474" s="75" t="str">
        <x:f>IF($A474&lt;&gt;"",FALSE,"")</x:f>
      </x:c>
      <x:c r="L474" s="75" t="str">
        <x:f>IF($A474&lt;&gt;"","Units","")</x:f>
      </x:c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75" t="str">
        <x:f>IF(Katalog_Fiyatlayici!$AC475="Fiyat Hazır",Katalog_Fiyatlayici!$AD475,"")</x:f>
      </x:c>
      <x:c r="B475" s="75" t="str">
        <x:f>IF($A475&lt;&gt;"",Katalog_Fiyatlayici!$AF475,"")</x:f>
      </x:c>
      <x:c r="C475" s="83" t="str">
        <x:f>IF($A475&lt;&gt;"",Katalog_Fiyatlayici!$AA475,"")</x:f>
      </x:c>
      <x:c r="D475" s="83" t="str">
        <x:f>IF($A475&lt;&gt;"",Katalog_Fiyatlayici!$W475,"")</x:f>
      </x:c>
      <x:c r="E475" s="75" t="str">
        <x:f>IF($A475&lt;&gt;"","Service","")</x:f>
      </x:c>
      <x:c r="F475" s="75" t="str">
        <x:f>IF($A475&lt;&gt;"",Katalog_Fiyatlayici!$AE475,"")</x:f>
      </x:c>
      <x:c r="G475" s="75" t="str">
        <x:f>IF($A475&lt;&gt;"",Katalog_Fiyatlayici!$AD475,"")</x:f>
      </x:c>
      <x:c r="H475" s="75" t="str">
        <x:f>IF($A475&lt;&gt;"",Katalog_Fiyatlayici!$B475,"")</x:f>
      </x:c>
      <x:c r="I475" s="75" t="str">
        <x:f>IF($A475&lt;&gt;"","MakerWorld model linkine göre tahmini 3D baskı fiyatı. Gerçek üretimden önce Bambu Studio ile gramaj ve süre doğrulanır.","")</x:f>
      </x:c>
      <x:c r="J475" s="75" t="str">
        <x:f>IF($A475&lt;&gt;"",TRUE,"")</x:f>
      </x:c>
      <x:c r="K475" s="75" t="str">
        <x:f>IF($A475&lt;&gt;"",FALSE,"")</x:f>
      </x:c>
      <x:c r="L475" s="75" t="str">
        <x:f>IF($A475&lt;&gt;"","Units","")</x:f>
      </x:c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75" t="str">
        <x:f>IF(Katalog_Fiyatlayici!$AC476="Fiyat Hazır",Katalog_Fiyatlayici!$AD476,"")</x:f>
      </x:c>
      <x:c r="B476" s="75" t="str">
        <x:f>IF($A476&lt;&gt;"",Katalog_Fiyatlayici!$AF476,"")</x:f>
      </x:c>
      <x:c r="C476" s="83" t="str">
        <x:f>IF($A476&lt;&gt;"",Katalog_Fiyatlayici!$AA476,"")</x:f>
      </x:c>
      <x:c r="D476" s="83" t="str">
        <x:f>IF($A476&lt;&gt;"",Katalog_Fiyatlayici!$W476,"")</x:f>
      </x:c>
      <x:c r="E476" s="75" t="str">
        <x:f>IF($A476&lt;&gt;"","Service","")</x:f>
      </x:c>
      <x:c r="F476" s="75" t="str">
        <x:f>IF($A476&lt;&gt;"",Katalog_Fiyatlayici!$AE476,"")</x:f>
      </x:c>
      <x:c r="G476" s="75" t="str">
        <x:f>IF($A476&lt;&gt;"",Katalog_Fiyatlayici!$AD476,"")</x:f>
      </x:c>
      <x:c r="H476" s="75" t="str">
        <x:f>IF($A476&lt;&gt;"",Katalog_Fiyatlayici!$B476,"")</x:f>
      </x:c>
      <x:c r="I476" s="75" t="str">
        <x:f>IF($A476&lt;&gt;"","MakerWorld model linkine göre tahmini 3D baskı fiyatı. Gerçek üretimden önce Bambu Studio ile gramaj ve süre doğrulanır.","")</x:f>
      </x:c>
      <x:c r="J476" s="75" t="str">
        <x:f>IF($A476&lt;&gt;"",TRUE,"")</x:f>
      </x:c>
      <x:c r="K476" s="75" t="str">
        <x:f>IF($A476&lt;&gt;"",FALSE,"")</x:f>
      </x:c>
      <x:c r="L476" s="75" t="str">
        <x:f>IF($A476&lt;&gt;"","Units","")</x:f>
      </x:c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75" t="str">
        <x:f>IF(Katalog_Fiyatlayici!$AC477="Fiyat Hazır",Katalog_Fiyatlayici!$AD477,"")</x:f>
      </x:c>
      <x:c r="B477" s="75" t="str">
        <x:f>IF($A477&lt;&gt;"",Katalog_Fiyatlayici!$AF477,"")</x:f>
      </x:c>
      <x:c r="C477" s="83" t="str">
        <x:f>IF($A477&lt;&gt;"",Katalog_Fiyatlayici!$AA477,"")</x:f>
      </x:c>
      <x:c r="D477" s="83" t="str">
        <x:f>IF($A477&lt;&gt;"",Katalog_Fiyatlayici!$W477,"")</x:f>
      </x:c>
      <x:c r="E477" s="75" t="str">
        <x:f>IF($A477&lt;&gt;"","Service","")</x:f>
      </x:c>
      <x:c r="F477" s="75" t="str">
        <x:f>IF($A477&lt;&gt;"",Katalog_Fiyatlayici!$AE477,"")</x:f>
      </x:c>
      <x:c r="G477" s="75" t="str">
        <x:f>IF($A477&lt;&gt;"",Katalog_Fiyatlayici!$AD477,"")</x:f>
      </x:c>
      <x:c r="H477" s="75" t="str">
        <x:f>IF($A477&lt;&gt;"",Katalog_Fiyatlayici!$B477,"")</x:f>
      </x:c>
      <x:c r="I477" s="75" t="str">
        <x:f>IF($A477&lt;&gt;"","MakerWorld model linkine göre tahmini 3D baskı fiyatı. Gerçek üretimden önce Bambu Studio ile gramaj ve süre doğrulanır.","")</x:f>
      </x:c>
      <x:c r="J477" s="75" t="str">
        <x:f>IF($A477&lt;&gt;"",TRUE,"")</x:f>
      </x:c>
      <x:c r="K477" s="75" t="str">
        <x:f>IF($A477&lt;&gt;"",FALSE,"")</x:f>
      </x:c>
      <x:c r="L477" s="75" t="str">
        <x:f>IF($A477&lt;&gt;"","Units","")</x:f>
      </x:c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75" t="str">
        <x:f>IF(Katalog_Fiyatlayici!$AC478="Fiyat Hazır",Katalog_Fiyatlayici!$AD478,"")</x:f>
      </x:c>
      <x:c r="B478" s="75" t="str">
        <x:f>IF($A478&lt;&gt;"",Katalog_Fiyatlayici!$AF478,"")</x:f>
      </x:c>
      <x:c r="C478" s="83" t="str">
        <x:f>IF($A478&lt;&gt;"",Katalog_Fiyatlayici!$AA478,"")</x:f>
      </x:c>
      <x:c r="D478" s="83" t="str">
        <x:f>IF($A478&lt;&gt;"",Katalog_Fiyatlayici!$W478,"")</x:f>
      </x:c>
      <x:c r="E478" s="75" t="str">
        <x:f>IF($A478&lt;&gt;"","Service","")</x:f>
      </x:c>
      <x:c r="F478" s="75" t="str">
        <x:f>IF($A478&lt;&gt;"",Katalog_Fiyatlayici!$AE478,"")</x:f>
      </x:c>
      <x:c r="G478" s="75" t="str">
        <x:f>IF($A478&lt;&gt;"",Katalog_Fiyatlayici!$AD478,"")</x:f>
      </x:c>
      <x:c r="H478" s="75" t="str">
        <x:f>IF($A478&lt;&gt;"",Katalog_Fiyatlayici!$B478,"")</x:f>
      </x:c>
      <x:c r="I478" s="75" t="str">
        <x:f>IF($A478&lt;&gt;"","MakerWorld model linkine göre tahmini 3D baskı fiyatı. Gerçek üretimden önce Bambu Studio ile gramaj ve süre doğrulanır.","")</x:f>
      </x:c>
      <x:c r="J478" s="75" t="str">
        <x:f>IF($A478&lt;&gt;"",TRUE,"")</x:f>
      </x:c>
      <x:c r="K478" s="75" t="str">
        <x:f>IF($A478&lt;&gt;"",FALSE,"")</x:f>
      </x:c>
      <x:c r="L478" s="75" t="str">
        <x:f>IF($A478&lt;&gt;"","Units","")</x:f>
      </x:c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75" t="str">
        <x:f>IF(Katalog_Fiyatlayici!$AC479="Fiyat Hazır",Katalog_Fiyatlayici!$AD479,"")</x:f>
      </x:c>
      <x:c r="B479" s="75" t="str">
        <x:f>IF($A479&lt;&gt;"",Katalog_Fiyatlayici!$AF479,"")</x:f>
      </x:c>
      <x:c r="C479" s="83" t="str">
        <x:f>IF($A479&lt;&gt;"",Katalog_Fiyatlayici!$AA479,"")</x:f>
      </x:c>
      <x:c r="D479" s="83" t="str">
        <x:f>IF($A479&lt;&gt;"",Katalog_Fiyatlayici!$W479,"")</x:f>
      </x:c>
      <x:c r="E479" s="75" t="str">
        <x:f>IF($A479&lt;&gt;"","Service","")</x:f>
      </x:c>
      <x:c r="F479" s="75" t="str">
        <x:f>IF($A479&lt;&gt;"",Katalog_Fiyatlayici!$AE479,"")</x:f>
      </x:c>
      <x:c r="G479" s="75" t="str">
        <x:f>IF($A479&lt;&gt;"",Katalog_Fiyatlayici!$AD479,"")</x:f>
      </x:c>
      <x:c r="H479" s="75" t="str">
        <x:f>IF($A479&lt;&gt;"",Katalog_Fiyatlayici!$B479,"")</x:f>
      </x:c>
      <x:c r="I479" s="75" t="str">
        <x:f>IF($A479&lt;&gt;"","MakerWorld model linkine göre tahmini 3D baskı fiyatı. Gerçek üretimden önce Bambu Studio ile gramaj ve süre doğrulanır.","")</x:f>
      </x:c>
      <x:c r="J479" s="75" t="str">
        <x:f>IF($A479&lt;&gt;"",TRUE,"")</x:f>
      </x:c>
      <x:c r="K479" s="75" t="str">
        <x:f>IF($A479&lt;&gt;"",FALSE,"")</x:f>
      </x:c>
      <x:c r="L479" s="75" t="str">
        <x:f>IF($A479&lt;&gt;"","Units","")</x:f>
      </x:c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75" t="str">
        <x:f>IF(Katalog_Fiyatlayici!$AC480="Fiyat Hazır",Katalog_Fiyatlayici!$AD480,"")</x:f>
      </x:c>
      <x:c r="B480" s="75" t="str">
        <x:f>IF($A480&lt;&gt;"",Katalog_Fiyatlayici!$AF480,"")</x:f>
      </x:c>
      <x:c r="C480" s="83" t="str">
        <x:f>IF($A480&lt;&gt;"",Katalog_Fiyatlayici!$AA480,"")</x:f>
      </x:c>
      <x:c r="D480" s="83" t="str">
        <x:f>IF($A480&lt;&gt;"",Katalog_Fiyatlayici!$W480,"")</x:f>
      </x:c>
      <x:c r="E480" s="75" t="str">
        <x:f>IF($A480&lt;&gt;"","Service","")</x:f>
      </x:c>
      <x:c r="F480" s="75" t="str">
        <x:f>IF($A480&lt;&gt;"",Katalog_Fiyatlayici!$AE480,"")</x:f>
      </x:c>
      <x:c r="G480" s="75" t="str">
        <x:f>IF($A480&lt;&gt;"",Katalog_Fiyatlayici!$AD480,"")</x:f>
      </x:c>
      <x:c r="H480" s="75" t="str">
        <x:f>IF($A480&lt;&gt;"",Katalog_Fiyatlayici!$B480,"")</x:f>
      </x:c>
      <x:c r="I480" s="75" t="str">
        <x:f>IF($A480&lt;&gt;"","MakerWorld model linkine göre tahmini 3D baskı fiyatı. Gerçek üretimden önce Bambu Studio ile gramaj ve süre doğrulanır.","")</x:f>
      </x:c>
      <x:c r="J480" s="75" t="str">
        <x:f>IF($A480&lt;&gt;"",TRUE,"")</x:f>
      </x:c>
      <x:c r="K480" s="75" t="str">
        <x:f>IF($A480&lt;&gt;"",FALSE,"")</x:f>
      </x:c>
      <x:c r="L480" s="75" t="str">
        <x:f>IF($A480&lt;&gt;"","Units","")</x:f>
      </x:c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75" t="str">
        <x:f>IF(Katalog_Fiyatlayici!$AC481="Fiyat Hazır",Katalog_Fiyatlayici!$AD481,"")</x:f>
      </x:c>
      <x:c r="B481" s="75" t="str">
        <x:f>IF($A481&lt;&gt;"",Katalog_Fiyatlayici!$AF481,"")</x:f>
      </x:c>
      <x:c r="C481" s="83" t="str">
        <x:f>IF($A481&lt;&gt;"",Katalog_Fiyatlayici!$AA481,"")</x:f>
      </x:c>
      <x:c r="D481" s="83" t="str">
        <x:f>IF($A481&lt;&gt;"",Katalog_Fiyatlayici!$W481,"")</x:f>
      </x:c>
      <x:c r="E481" s="75" t="str">
        <x:f>IF($A481&lt;&gt;"","Service","")</x:f>
      </x:c>
      <x:c r="F481" s="75" t="str">
        <x:f>IF($A481&lt;&gt;"",Katalog_Fiyatlayici!$AE481,"")</x:f>
      </x:c>
      <x:c r="G481" s="75" t="str">
        <x:f>IF($A481&lt;&gt;"",Katalog_Fiyatlayici!$AD481,"")</x:f>
      </x:c>
      <x:c r="H481" s="75" t="str">
        <x:f>IF($A481&lt;&gt;"",Katalog_Fiyatlayici!$B481,"")</x:f>
      </x:c>
      <x:c r="I481" s="75" t="str">
        <x:f>IF($A481&lt;&gt;"","MakerWorld model linkine göre tahmini 3D baskı fiyatı. Gerçek üretimden önce Bambu Studio ile gramaj ve süre doğrulanır.","")</x:f>
      </x:c>
      <x:c r="J481" s="75" t="str">
        <x:f>IF($A481&lt;&gt;"",TRUE,"")</x:f>
      </x:c>
      <x:c r="K481" s="75" t="str">
        <x:f>IF($A481&lt;&gt;"",FALSE,"")</x:f>
      </x:c>
      <x:c r="L481" s="75" t="str">
        <x:f>IF($A481&lt;&gt;"","Units","")</x:f>
      </x:c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75" t="str">
        <x:f>IF(Katalog_Fiyatlayici!$AC482="Fiyat Hazır",Katalog_Fiyatlayici!$AD482,"")</x:f>
      </x:c>
      <x:c r="B482" s="75" t="str">
        <x:f>IF($A482&lt;&gt;"",Katalog_Fiyatlayici!$AF482,"")</x:f>
      </x:c>
      <x:c r="C482" s="83" t="str">
        <x:f>IF($A482&lt;&gt;"",Katalog_Fiyatlayici!$AA482,"")</x:f>
      </x:c>
      <x:c r="D482" s="83" t="str">
        <x:f>IF($A482&lt;&gt;"",Katalog_Fiyatlayici!$W482,"")</x:f>
      </x:c>
      <x:c r="E482" s="75" t="str">
        <x:f>IF($A482&lt;&gt;"","Service","")</x:f>
      </x:c>
      <x:c r="F482" s="75" t="str">
        <x:f>IF($A482&lt;&gt;"",Katalog_Fiyatlayici!$AE482,"")</x:f>
      </x:c>
      <x:c r="G482" s="75" t="str">
        <x:f>IF($A482&lt;&gt;"",Katalog_Fiyatlayici!$AD482,"")</x:f>
      </x:c>
      <x:c r="H482" s="75" t="str">
        <x:f>IF($A482&lt;&gt;"",Katalog_Fiyatlayici!$B482,"")</x:f>
      </x:c>
      <x:c r="I482" s="75" t="str">
        <x:f>IF($A482&lt;&gt;"","MakerWorld model linkine göre tahmini 3D baskı fiyatı. Gerçek üretimden önce Bambu Studio ile gramaj ve süre doğrulanır.","")</x:f>
      </x:c>
      <x:c r="J482" s="75" t="str">
        <x:f>IF($A482&lt;&gt;"",TRUE,"")</x:f>
      </x:c>
      <x:c r="K482" s="75" t="str">
        <x:f>IF($A482&lt;&gt;"",FALSE,"")</x:f>
      </x:c>
      <x:c r="L482" s="75" t="str">
        <x:f>IF($A482&lt;&gt;"","Units","")</x:f>
      </x:c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75" t="str">
        <x:f>IF(Katalog_Fiyatlayici!$AC483="Fiyat Hazır",Katalog_Fiyatlayici!$AD483,"")</x:f>
      </x:c>
      <x:c r="B483" s="75" t="str">
        <x:f>IF($A483&lt;&gt;"",Katalog_Fiyatlayici!$AF483,"")</x:f>
      </x:c>
      <x:c r="C483" s="83" t="str">
        <x:f>IF($A483&lt;&gt;"",Katalog_Fiyatlayici!$AA483,"")</x:f>
      </x:c>
      <x:c r="D483" s="83" t="str">
        <x:f>IF($A483&lt;&gt;"",Katalog_Fiyatlayici!$W483,"")</x:f>
      </x:c>
      <x:c r="E483" s="75" t="str">
        <x:f>IF($A483&lt;&gt;"","Service","")</x:f>
      </x:c>
      <x:c r="F483" s="75" t="str">
        <x:f>IF($A483&lt;&gt;"",Katalog_Fiyatlayici!$AE483,"")</x:f>
      </x:c>
      <x:c r="G483" s="75" t="str">
        <x:f>IF($A483&lt;&gt;"",Katalog_Fiyatlayici!$AD483,"")</x:f>
      </x:c>
      <x:c r="H483" s="75" t="str">
        <x:f>IF($A483&lt;&gt;"",Katalog_Fiyatlayici!$B483,"")</x:f>
      </x:c>
      <x:c r="I483" s="75" t="str">
        <x:f>IF($A483&lt;&gt;"","MakerWorld model linkine göre tahmini 3D baskı fiyatı. Gerçek üretimden önce Bambu Studio ile gramaj ve süre doğrulanır.","")</x:f>
      </x:c>
      <x:c r="J483" s="75" t="str">
        <x:f>IF($A483&lt;&gt;"",TRUE,"")</x:f>
      </x:c>
      <x:c r="K483" s="75" t="str">
        <x:f>IF($A483&lt;&gt;"",FALSE,"")</x:f>
      </x:c>
      <x:c r="L483" s="75" t="str">
        <x:f>IF($A483&lt;&gt;"","Units","")</x:f>
      </x:c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75" t="str">
        <x:f>IF(Katalog_Fiyatlayici!$AC484="Fiyat Hazır",Katalog_Fiyatlayici!$AD484,"")</x:f>
      </x:c>
      <x:c r="B484" s="75" t="str">
        <x:f>IF($A484&lt;&gt;"",Katalog_Fiyatlayici!$AF484,"")</x:f>
      </x:c>
      <x:c r="C484" s="83" t="str">
        <x:f>IF($A484&lt;&gt;"",Katalog_Fiyatlayici!$AA484,"")</x:f>
      </x:c>
      <x:c r="D484" s="83" t="str">
        <x:f>IF($A484&lt;&gt;"",Katalog_Fiyatlayici!$W484,"")</x:f>
      </x:c>
      <x:c r="E484" s="75" t="str">
        <x:f>IF($A484&lt;&gt;"","Service","")</x:f>
      </x:c>
      <x:c r="F484" s="75" t="str">
        <x:f>IF($A484&lt;&gt;"",Katalog_Fiyatlayici!$AE484,"")</x:f>
      </x:c>
      <x:c r="G484" s="75" t="str">
        <x:f>IF($A484&lt;&gt;"",Katalog_Fiyatlayici!$AD484,"")</x:f>
      </x:c>
      <x:c r="H484" s="75" t="str">
        <x:f>IF($A484&lt;&gt;"",Katalog_Fiyatlayici!$B484,"")</x:f>
      </x:c>
      <x:c r="I484" s="75" t="str">
        <x:f>IF($A484&lt;&gt;"","MakerWorld model linkine göre tahmini 3D baskı fiyatı. Gerçek üretimden önce Bambu Studio ile gramaj ve süre doğrulanır.","")</x:f>
      </x:c>
      <x:c r="J484" s="75" t="str">
        <x:f>IF($A484&lt;&gt;"",TRUE,"")</x:f>
      </x:c>
      <x:c r="K484" s="75" t="str">
        <x:f>IF($A484&lt;&gt;"",FALSE,"")</x:f>
      </x:c>
      <x:c r="L484" s="75" t="str">
        <x:f>IF($A484&lt;&gt;"","Units","")</x:f>
      </x:c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75" t="str">
        <x:f>IF(Katalog_Fiyatlayici!$AC485="Fiyat Hazır",Katalog_Fiyatlayici!$AD485,"")</x:f>
      </x:c>
      <x:c r="B485" s="75" t="str">
        <x:f>IF($A485&lt;&gt;"",Katalog_Fiyatlayici!$AF485,"")</x:f>
      </x:c>
      <x:c r="C485" s="83" t="str">
        <x:f>IF($A485&lt;&gt;"",Katalog_Fiyatlayici!$AA485,"")</x:f>
      </x:c>
      <x:c r="D485" s="83" t="str">
        <x:f>IF($A485&lt;&gt;"",Katalog_Fiyatlayici!$W485,"")</x:f>
      </x:c>
      <x:c r="E485" s="75" t="str">
        <x:f>IF($A485&lt;&gt;"","Service","")</x:f>
      </x:c>
      <x:c r="F485" s="75" t="str">
        <x:f>IF($A485&lt;&gt;"",Katalog_Fiyatlayici!$AE485,"")</x:f>
      </x:c>
      <x:c r="G485" s="75" t="str">
        <x:f>IF($A485&lt;&gt;"",Katalog_Fiyatlayici!$AD485,"")</x:f>
      </x:c>
      <x:c r="H485" s="75" t="str">
        <x:f>IF($A485&lt;&gt;"",Katalog_Fiyatlayici!$B485,"")</x:f>
      </x:c>
      <x:c r="I485" s="75" t="str">
        <x:f>IF($A485&lt;&gt;"","MakerWorld model linkine göre tahmini 3D baskı fiyatı. Gerçek üretimden önce Bambu Studio ile gramaj ve süre doğrulanır.","")</x:f>
      </x:c>
      <x:c r="J485" s="75" t="str">
        <x:f>IF($A485&lt;&gt;"",TRUE,"")</x:f>
      </x:c>
      <x:c r="K485" s="75" t="str">
        <x:f>IF($A485&lt;&gt;"",FALSE,"")</x:f>
      </x:c>
      <x:c r="L485" s="75" t="str">
        <x:f>IF($A485&lt;&gt;"","Units","")</x:f>
      </x:c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75" t="str">
        <x:f>IF(Katalog_Fiyatlayici!$AC486="Fiyat Hazır",Katalog_Fiyatlayici!$AD486,"")</x:f>
      </x:c>
      <x:c r="B486" s="75" t="str">
        <x:f>IF($A486&lt;&gt;"",Katalog_Fiyatlayici!$AF486,"")</x:f>
      </x:c>
      <x:c r="C486" s="83" t="str">
        <x:f>IF($A486&lt;&gt;"",Katalog_Fiyatlayici!$AA486,"")</x:f>
      </x:c>
      <x:c r="D486" s="83" t="str">
        <x:f>IF($A486&lt;&gt;"",Katalog_Fiyatlayici!$W486,"")</x:f>
      </x:c>
      <x:c r="E486" s="75" t="str">
        <x:f>IF($A486&lt;&gt;"","Service","")</x:f>
      </x:c>
      <x:c r="F486" s="75" t="str">
        <x:f>IF($A486&lt;&gt;"",Katalog_Fiyatlayici!$AE486,"")</x:f>
      </x:c>
      <x:c r="G486" s="75" t="str">
        <x:f>IF($A486&lt;&gt;"",Katalog_Fiyatlayici!$AD486,"")</x:f>
      </x:c>
      <x:c r="H486" s="75" t="str">
        <x:f>IF($A486&lt;&gt;"",Katalog_Fiyatlayici!$B486,"")</x:f>
      </x:c>
      <x:c r="I486" s="75" t="str">
        <x:f>IF($A486&lt;&gt;"","MakerWorld model linkine göre tahmini 3D baskı fiyatı. Gerçek üretimden önce Bambu Studio ile gramaj ve süre doğrulanır.","")</x:f>
      </x:c>
      <x:c r="J486" s="75" t="str">
        <x:f>IF($A486&lt;&gt;"",TRUE,"")</x:f>
      </x:c>
      <x:c r="K486" s="75" t="str">
        <x:f>IF($A486&lt;&gt;"",FALSE,"")</x:f>
      </x:c>
      <x:c r="L486" s="75" t="str">
        <x:f>IF($A486&lt;&gt;"","Units","")</x:f>
      </x:c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75" t="str">
        <x:f>IF(Katalog_Fiyatlayici!$AC487="Fiyat Hazır",Katalog_Fiyatlayici!$AD487,"")</x:f>
      </x:c>
      <x:c r="B487" s="75" t="str">
        <x:f>IF($A487&lt;&gt;"",Katalog_Fiyatlayici!$AF487,"")</x:f>
      </x:c>
      <x:c r="C487" s="83" t="str">
        <x:f>IF($A487&lt;&gt;"",Katalog_Fiyatlayici!$AA487,"")</x:f>
      </x:c>
      <x:c r="D487" s="83" t="str">
        <x:f>IF($A487&lt;&gt;"",Katalog_Fiyatlayici!$W487,"")</x:f>
      </x:c>
      <x:c r="E487" s="75" t="str">
        <x:f>IF($A487&lt;&gt;"","Service","")</x:f>
      </x:c>
      <x:c r="F487" s="75" t="str">
        <x:f>IF($A487&lt;&gt;"",Katalog_Fiyatlayici!$AE487,"")</x:f>
      </x:c>
      <x:c r="G487" s="75" t="str">
        <x:f>IF($A487&lt;&gt;"",Katalog_Fiyatlayici!$AD487,"")</x:f>
      </x:c>
      <x:c r="H487" s="75" t="str">
        <x:f>IF($A487&lt;&gt;"",Katalog_Fiyatlayici!$B487,"")</x:f>
      </x:c>
      <x:c r="I487" s="75" t="str">
        <x:f>IF($A487&lt;&gt;"","MakerWorld model linkine göre tahmini 3D baskı fiyatı. Gerçek üretimden önce Bambu Studio ile gramaj ve süre doğrulanır.","")</x:f>
      </x:c>
      <x:c r="J487" s="75" t="str">
        <x:f>IF($A487&lt;&gt;"",TRUE,"")</x:f>
      </x:c>
      <x:c r="K487" s="75" t="str">
        <x:f>IF($A487&lt;&gt;"",FALSE,"")</x:f>
      </x:c>
      <x:c r="L487" s="75" t="str">
        <x:f>IF($A487&lt;&gt;"","Units","")</x:f>
      </x:c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75" t="str">
        <x:f>IF(Katalog_Fiyatlayici!$AC488="Fiyat Hazır",Katalog_Fiyatlayici!$AD488,"")</x:f>
      </x:c>
      <x:c r="B488" s="75" t="str">
        <x:f>IF($A488&lt;&gt;"",Katalog_Fiyatlayici!$AF488,"")</x:f>
      </x:c>
      <x:c r="C488" s="83" t="str">
        <x:f>IF($A488&lt;&gt;"",Katalog_Fiyatlayici!$AA488,"")</x:f>
      </x:c>
      <x:c r="D488" s="83" t="str">
        <x:f>IF($A488&lt;&gt;"",Katalog_Fiyatlayici!$W488,"")</x:f>
      </x:c>
      <x:c r="E488" s="75" t="str">
        <x:f>IF($A488&lt;&gt;"","Service","")</x:f>
      </x:c>
      <x:c r="F488" s="75" t="str">
        <x:f>IF($A488&lt;&gt;"",Katalog_Fiyatlayici!$AE488,"")</x:f>
      </x:c>
      <x:c r="G488" s="75" t="str">
        <x:f>IF($A488&lt;&gt;"",Katalog_Fiyatlayici!$AD488,"")</x:f>
      </x:c>
      <x:c r="H488" s="75" t="str">
        <x:f>IF($A488&lt;&gt;"",Katalog_Fiyatlayici!$B488,"")</x:f>
      </x:c>
      <x:c r="I488" s="75" t="str">
        <x:f>IF($A488&lt;&gt;"","MakerWorld model linkine göre tahmini 3D baskı fiyatı. Gerçek üretimden önce Bambu Studio ile gramaj ve süre doğrulanır.","")</x:f>
      </x:c>
      <x:c r="J488" s="75" t="str">
        <x:f>IF($A488&lt;&gt;"",TRUE,"")</x:f>
      </x:c>
      <x:c r="K488" s="75" t="str">
        <x:f>IF($A488&lt;&gt;"",FALSE,"")</x:f>
      </x:c>
      <x:c r="L488" s="75" t="str">
        <x:f>IF($A488&lt;&gt;"","Units","")</x:f>
      </x:c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75" t="str">
        <x:f>IF(Katalog_Fiyatlayici!$AC489="Fiyat Hazır",Katalog_Fiyatlayici!$AD489,"")</x:f>
      </x:c>
      <x:c r="B489" s="75" t="str">
        <x:f>IF($A489&lt;&gt;"",Katalog_Fiyatlayici!$AF489,"")</x:f>
      </x:c>
      <x:c r="C489" s="83" t="str">
        <x:f>IF($A489&lt;&gt;"",Katalog_Fiyatlayici!$AA489,"")</x:f>
      </x:c>
      <x:c r="D489" s="83" t="str">
        <x:f>IF($A489&lt;&gt;"",Katalog_Fiyatlayici!$W489,"")</x:f>
      </x:c>
      <x:c r="E489" s="75" t="str">
        <x:f>IF($A489&lt;&gt;"","Service","")</x:f>
      </x:c>
      <x:c r="F489" s="75" t="str">
        <x:f>IF($A489&lt;&gt;"",Katalog_Fiyatlayici!$AE489,"")</x:f>
      </x:c>
      <x:c r="G489" s="75" t="str">
        <x:f>IF($A489&lt;&gt;"",Katalog_Fiyatlayici!$AD489,"")</x:f>
      </x:c>
      <x:c r="H489" s="75" t="str">
        <x:f>IF($A489&lt;&gt;"",Katalog_Fiyatlayici!$B489,"")</x:f>
      </x:c>
      <x:c r="I489" s="75" t="str">
        <x:f>IF($A489&lt;&gt;"","MakerWorld model linkine göre tahmini 3D baskı fiyatı. Gerçek üretimden önce Bambu Studio ile gramaj ve süre doğrulanır.","")</x:f>
      </x:c>
      <x:c r="J489" s="75" t="str">
        <x:f>IF($A489&lt;&gt;"",TRUE,"")</x:f>
      </x:c>
      <x:c r="K489" s="75" t="str">
        <x:f>IF($A489&lt;&gt;"",FALSE,"")</x:f>
      </x:c>
      <x:c r="L489" s="75" t="str">
        <x:f>IF($A489&lt;&gt;"","Units","")</x:f>
      </x:c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75" t="str">
        <x:f>IF(Katalog_Fiyatlayici!$AC490="Fiyat Hazır",Katalog_Fiyatlayici!$AD490,"")</x:f>
      </x:c>
      <x:c r="B490" s="75" t="str">
        <x:f>IF($A490&lt;&gt;"",Katalog_Fiyatlayici!$AF490,"")</x:f>
      </x:c>
      <x:c r="C490" s="83" t="str">
        <x:f>IF($A490&lt;&gt;"",Katalog_Fiyatlayici!$AA490,"")</x:f>
      </x:c>
      <x:c r="D490" s="83" t="str">
        <x:f>IF($A490&lt;&gt;"",Katalog_Fiyatlayici!$W490,"")</x:f>
      </x:c>
      <x:c r="E490" s="75" t="str">
        <x:f>IF($A490&lt;&gt;"","Service","")</x:f>
      </x:c>
      <x:c r="F490" s="75" t="str">
        <x:f>IF($A490&lt;&gt;"",Katalog_Fiyatlayici!$AE490,"")</x:f>
      </x:c>
      <x:c r="G490" s="75" t="str">
        <x:f>IF($A490&lt;&gt;"",Katalog_Fiyatlayici!$AD490,"")</x:f>
      </x:c>
      <x:c r="H490" s="75" t="str">
        <x:f>IF($A490&lt;&gt;"",Katalog_Fiyatlayici!$B490,"")</x:f>
      </x:c>
      <x:c r="I490" s="75" t="str">
        <x:f>IF($A490&lt;&gt;"","MakerWorld model linkine göre tahmini 3D baskı fiyatı. Gerçek üretimden önce Bambu Studio ile gramaj ve süre doğrulanır.","")</x:f>
      </x:c>
      <x:c r="J490" s="75" t="str">
        <x:f>IF($A490&lt;&gt;"",TRUE,"")</x:f>
      </x:c>
      <x:c r="K490" s="75" t="str">
        <x:f>IF($A490&lt;&gt;"",FALSE,"")</x:f>
      </x:c>
      <x:c r="L490" s="75" t="str">
        <x:f>IF($A490&lt;&gt;"","Units","")</x:f>
      </x:c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75" t="str">
        <x:f>IF(Katalog_Fiyatlayici!$AC491="Fiyat Hazır",Katalog_Fiyatlayici!$AD491,"")</x:f>
      </x:c>
      <x:c r="B491" s="75" t="str">
        <x:f>IF($A491&lt;&gt;"",Katalog_Fiyatlayici!$AF491,"")</x:f>
      </x:c>
      <x:c r="C491" s="83" t="str">
        <x:f>IF($A491&lt;&gt;"",Katalog_Fiyatlayici!$AA491,"")</x:f>
      </x:c>
      <x:c r="D491" s="83" t="str">
        <x:f>IF($A491&lt;&gt;"",Katalog_Fiyatlayici!$W491,"")</x:f>
      </x:c>
      <x:c r="E491" s="75" t="str">
        <x:f>IF($A491&lt;&gt;"","Service","")</x:f>
      </x:c>
      <x:c r="F491" s="75" t="str">
        <x:f>IF($A491&lt;&gt;"",Katalog_Fiyatlayici!$AE491,"")</x:f>
      </x:c>
      <x:c r="G491" s="75" t="str">
        <x:f>IF($A491&lt;&gt;"",Katalog_Fiyatlayici!$AD491,"")</x:f>
      </x:c>
      <x:c r="H491" s="75" t="str">
        <x:f>IF($A491&lt;&gt;"",Katalog_Fiyatlayici!$B491,"")</x:f>
      </x:c>
      <x:c r="I491" s="75" t="str">
        <x:f>IF($A491&lt;&gt;"","MakerWorld model linkine göre tahmini 3D baskı fiyatı. Gerçek üretimden önce Bambu Studio ile gramaj ve süre doğrulanır.","")</x:f>
      </x:c>
      <x:c r="J491" s="75" t="str">
        <x:f>IF($A491&lt;&gt;"",TRUE,"")</x:f>
      </x:c>
      <x:c r="K491" s="75" t="str">
        <x:f>IF($A491&lt;&gt;"",FALSE,"")</x:f>
      </x:c>
      <x:c r="L491" s="75" t="str">
        <x:f>IF($A491&lt;&gt;"","Units","")</x:f>
      </x:c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75" t="str">
        <x:f>IF(Katalog_Fiyatlayici!$AC492="Fiyat Hazır",Katalog_Fiyatlayici!$AD492,"")</x:f>
      </x:c>
      <x:c r="B492" s="75" t="str">
        <x:f>IF($A492&lt;&gt;"",Katalog_Fiyatlayici!$AF492,"")</x:f>
      </x:c>
      <x:c r="C492" s="83" t="str">
        <x:f>IF($A492&lt;&gt;"",Katalog_Fiyatlayici!$AA492,"")</x:f>
      </x:c>
      <x:c r="D492" s="83" t="str">
        <x:f>IF($A492&lt;&gt;"",Katalog_Fiyatlayici!$W492,"")</x:f>
      </x:c>
      <x:c r="E492" s="75" t="str">
        <x:f>IF($A492&lt;&gt;"","Service","")</x:f>
      </x:c>
      <x:c r="F492" s="75" t="str">
        <x:f>IF($A492&lt;&gt;"",Katalog_Fiyatlayici!$AE492,"")</x:f>
      </x:c>
      <x:c r="G492" s="75" t="str">
        <x:f>IF($A492&lt;&gt;"",Katalog_Fiyatlayici!$AD492,"")</x:f>
      </x:c>
      <x:c r="H492" s="75" t="str">
        <x:f>IF($A492&lt;&gt;"",Katalog_Fiyatlayici!$B492,"")</x:f>
      </x:c>
      <x:c r="I492" s="75" t="str">
        <x:f>IF($A492&lt;&gt;"","MakerWorld model linkine göre tahmini 3D baskı fiyatı. Gerçek üretimden önce Bambu Studio ile gramaj ve süre doğrulanır.","")</x:f>
      </x:c>
      <x:c r="J492" s="75" t="str">
        <x:f>IF($A492&lt;&gt;"",TRUE,"")</x:f>
      </x:c>
      <x:c r="K492" s="75" t="str">
        <x:f>IF($A492&lt;&gt;"",FALSE,"")</x:f>
      </x:c>
      <x:c r="L492" s="75" t="str">
        <x:f>IF($A492&lt;&gt;"","Units","")</x:f>
      </x:c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75" t="str">
        <x:f>IF(Katalog_Fiyatlayici!$AC493="Fiyat Hazır",Katalog_Fiyatlayici!$AD493,"")</x:f>
      </x:c>
      <x:c r="B493" s="75" t="str">
        <x:f>IF($A493&lt;&gt;"",Katalog_Fiyatlayici!$AF493,"")</x:f>
      </x:c>
      <x:c r="C493" s="83" t="str">
        <x:f>IF($A493&lt;&gt;"",Katalog_Fiyatlayici!$AA493,"")</x:f>
      </x:c>
      <x:c r="D493" s="83" t="str">
        <x:f>IF($A493&lt;&gt;"",Katalog_Fiyatlayici!$W493,"")</x:f>
      </x:c>
      <x:c r="E493" s="75" t="str">
        <x:f>IF($A493&lt;&gt;"","Service","")</x:f>
      </x:c>
      <x:c r="F493" s="75" t="str">
        <x:f>IF($A493&lt;&gt;"",Katalog_Fiyatlayici!$AE493,"")</x:f>
      </x:c>
      <x:c r="G493" s="75" t="str">
        <x:f>IF($A493&lt;&gt;"",Katalog_Fiyatlayici!$AD493,"")</x:f>
      </x:c>
      <x:c r="H493" s="75" t="str">
        <x:f>IF($A493&lt;&gt;"",Katalog_Fiyatlayici!$B493,"")</x:f>
      </x:c>
      <x:c r="I493" s="75" t="str">
        <x:f>IF($A493&lt;&gt;"","MakerWorld model linkine göre tahmini 3D baskı fiyatı. Gerçek üretimden önce Bambu Studio ile gramaj ve süre doğrulanır.","")</x:f>
      </x:c>
      <x:c r="J493" s="75" t="str">
        <x:f>IF($A493&lt;&gt;"",TRUE,"")</x:f>
      </x:c>
      <x:c r="K493" s="75" t="str">
        <x:f>IF($A493&lt;&gt;"",FALSE,"")</x:f>
      </x:c>
      <x:c r="L493" s="75" t="str">
        <x:f>IF($A493&lt;&gt;"","Units","")</x:f>
      </x:c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75" t="str">
        <x:f>IF(Katalog_Fiyatlayici!$AC494="Fiyat Hazır",Katalog_Fiyatlayici!$AD494,"")</x:f>
      </x:c>
      <x:c r="B494" s="75" t="str">
        <x:f>IF($A494&lt;&gt;"",Katalog_Fiyatlayici!$AF494,"")</x:f>
      </x:c>
      <x:c r="C494" s="83" t="str">
        <x:f>IF($A494&lt;&gt;"",Katalog_Fiyatlayici!$AA494,"")</x:f>
      </x:c>
      <x:c r="D494" s="83" t="str">
        <x:f>IF($A494&lt;&gt;"",Katalog_Fiyatlayici!$W494,"")</x:f>
      </x:c>
      <x:c r="E494" s="75" t="str">
        <x:f>IF($A494&lt;&gt;"","Service","")</x:f>
      </x:c>
      <x:c r="F494" s="75" t="str">
        <x:f>IF($A494&lt;&gt;"",Katalog_Fiyatlayici!$AE494,"")</x:f>
      </x:c>
      <x:c r="G494" s="75" t="str">
        <x:f>IF($A494&lt;&gt;"",Katalog_Fiyatlayici!$AD494,"")</x:f>
      </x:c>
      <x:c r="H494" s="75" t="str">
        <x:f>IF($A494&lt;&gt;"",Katalog_Fiyatlayici!$B494,"")</x:f>
      </x:c>
      <x:c r="I494" s="75" t="str">
        <x:f>IF($A494&lt;&gt;"","MakerWorld model linkine göre tahmini 3D baskı fiyatı. Gerçek üretimden önce Bambu Studio ile gramaj ve süre doğrulanır.","")</x:f>
      </x:c>
      <x:c r="J494" s="75" t="str">
        <x:f>IF($A494&lt;&gt;"",TRUE,"")</x:f>
      </x:c>
      <x:c r="K494" s="75" t="str">
        <x:f>IF($A494&lt;&gt;"",FALSE,"")</x:f>
      </x:c>
      <x:c r="L494" s="75" t="str">
        <x:f>IF($A494&lt;&gt;"","Units","")</x:f>
      </x:c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75" t="str">
        <x:f>IF(Katalog_Fiyatlayici!$AC495="Fiyat Hazır",Katalog_Fiyatlayici!$AD495,"")</x:f>
      </x:c>
      <x:c r="B495" s="75" t="str">
        <x:f>IF($A495&lt;&gt;"",Katalog_Fiyatlayici!$AF495,"")</x:f>
      </x:c>
      <x:c r="C495" s="83" t="str">
        <x:f>IF($A495&lt;&gt;"",Katalog_Fiyatlayici!$AA495,"")</x:f>
      </x:c>
      <x:c r="D495" s="83" t="str">
        <x:f>IF($A495&lt;&gt;"",Katalog_Fiyatlayici!$W495,"")</x:f>
      </x:c>
      <x:c r="E495" s="75" t="str">
        <x:f>IF($A495&lt;&gt;"","Service","")</x:f>
      </x:c>
      <x:c r="F495" s="75" t="str">
        <x:f>IF($A495&lt;&gt;"",Katalog_Fiyatlayici!$AE495,"")</x:f>
      </x:c>
      <x:c r="G495" s="75" t="str">
        <x:f>IF($A495&lt;&gt;"",Katalog_Fiyatlayici!$AD495,"")</x:f>
      </x:c>
      <x:c r="H495" s="75" t="str">
        <x:f>IF($A495&lt;&gt;"",Katalog_Fiyatlayici!$B495,"")</x:f>
      </x:c>
      <x:c r="I495" s="75" t="str">
        <x:f>IF($A495&lt;&gt;"","MakerWorld model linkine göre tahmini 3D baskı fiyatı. Gerçek üretimden önce Bambu Studio ile gramaj ve süre doğrulanır.","")</x:f>
      </x:c>
      <x:c r="J495" s="75" t="str">
        <x:f>IF($A495&lt;&gt;"",TRUE,"")</x:f>
      </x:c>
      <x:c r="K495" s="75" t="str">
        <x:f>IF($A495&lt;&gt;"",FALSE,"")</x:f>
      </x:c>
      <x:c r="L495" s="75" t="str">
        <x:f>IF($A495&lt;&gt;"","Units","")</x:f>
      </x:c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75" t="str">
        <x:f>IF(Katalog_Fiyatlayici!$AC496="Fiyat Hazır",Katalog_Fiyatlayici!$AD496,"")</x:f>
      </x:c>
      <x:c r="B496" s="75" t="str">
        <x:f>IF($A496&lt;&gt;"",Katalog_Fiyatlayici!$AF496,"")</x:f>
      </x:c>
      <x:c r="C496" s="83" t="str">
        <x:f>IF($A496&lt;&gt;"",Katalog_Fiyatlayici!$AA496,"")</x:f>
      </x:c>
      <x:c r="D496" s="83" t="str">
        <x:f>IF($A496&lt;&gt;"",Katalog_Fiyatlayici!$W496,"")</x:f>
      </x:c>
      <x:c r="E496" s="75" t="str">
        <x:f>IF($A496&lt;&gt;"","Service","")</x:f>
      </x:c>
      <x:c r="F496" s="75" t="str">
        <x:f>IF($A496&lt;&gt;"",Katalog_Fiyatlayici!$AE496,"")</x:f>
      </x:c>
      <x:c r="G496" s="75" t="str">
        <x:f>IF($A496&lt;&gt;"",Katalog_Fiyatlayici!$AD496,"")</x:f>
      </x:c>
      <x:c r="H496" s="75" t="str">
        <x:f>IF($A496&lt;&gt;"",Katalog_Fiyatlayici!$B496,"")</x:f>
      </x:c>
      <x:c r="I496" s="75" t="str">
        <x:f>IF($A496&lt;&gt;"","MakerWorld model linkine göre tahmini 3D baskı fiyatı. Gerçek üretimden önce Bambu Studio ile gramaj ve süre doğrulanır.","")</x:f>
      </x:c>
      <x:c r="J496" s="75" t="str">
        <x:f>IF($A496&lt;&gt;"",TRUE,"")</x:f>
      </x:c>
      <x:c r="K496" s="75" t="str">
        <x:f>IF($A496&lt;&gt;"",FALSE,"")</x:f>
      </x:c>
      <x:c r="L496" s="75" t="str">
        <x:f>IF($A496&lt;&gt;"","Units","")</x:f>
      </x:c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75" t="str">
        <x:f>IF(Katalog_Fiyatlayici!$AC497="Fiyat Hazır",Katalog_Fiyatlayici!$AD497,"")</x:f>
      </x:c>
      <x:c r="B497" s="75" t="str">
        <x:f>IF($A497&lt;&gt;"",Katalog_Fiyatlayici!$AF497,"")</x:f>
      </x:c>
      <x:c r="C497" s="83" t="str">
        <x:f>IF($A497&lt;&gt;"",Katalog_Fiyatlayici!$AA497,"")</x:f>
      </x:c>
      <x:c r="D497" s="83" t="str">
        <x:f>IF($A497&lt;&gt;"",Katalog_Fiyatlayici!$W497,"")</x:f>
      </x:c>
      <x:c r="E497" s="75" t="str">
        <x:f>IF($A497&lt;&gt;"","Service","")</x:f>
      </x:c>
      <x:c r="F497" s="75" t="str">
        <x:f>IF($A497&lt;&gt;"",Katalog_Fiyatlayici!$AE497,"")</x:f>
      </x:c>
      <x:c r="G497" s="75" t="str">
        <x:f>IF($A497&lt;&gt;"",Katalog_Fiyatlayici!$AD497,"")</x:f>
      </x:c>
      <x:c r="H497" s="75" t="str">
        <x:f>IF($A497&lt;&gt;"",Katalog_Fiyatlayici!$B497,"")</x:f>
      </x:c>
      <x:c r="I497" s="75" t="str">
        <x:f>IF($A497&lt;&gt;"","MakerWorld model linkine göre tahmini 3D baskı fiyatı. Gerçek üretimden önce Bambu Studio ile gramaj ve süre doğrulanır.","")</x:f>
      </x:c>
      <x:c r="J497" s="75" t="str">
        <x:f>IF($A497&lt;&gt;"",TRUE,"")</x:f>
      </x:c>
      <x:c r="K497" s="75" t="str">
        <x:f>IF($A497&lt;&gt;"",FALSE,"")</x:f>
      </x:c>
      <x:c r="L497" s="75" t="str">
        <x:f>IF($A497&lt;&gt;"","Units","")</x:f>
      </x:c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75" t="str">
        <x:f>IF(Katalog_Fiyatlayici!$AC498="Fiyat Hazır",Katalog_Fiyatlayici!$AD498,"")</x:f>
      </x:c>
      <x:c r="B498" s="75" t="str">
        <x:f>IF($A498&lt;&gt;"",Katalog_Fiyatlayici!$AF498,"")</x:f>
      </x:c>
      <x:c r="C498" s="83" t="str">
        <x:f>IF($A498&lt;&gt;"",Katalog_Fiyatlayici!$AA498,"")</x:f>
      </x:c>
      <x:c r="D498" s="83" t="str">
        <x:f>IF($A498&lt;&gt;"",Katalog_Fiyatlayici!$W498,"")</x:f>
      </x:c>
      <x:c r="E498" s="75" t="str">
        <x:f>IF($A498&lt;&gt;"","Service","")</x:f>
      </x:c>
      <x:c r="F498" s="75" t="str">
        <x:f>IF($A498&lt;&gt;"",Katalog_Fiyatlayici!$AE498,"")</x:f>
      </x:c>
      <x:c r="G498" s="75" t="str">
        <x:f>IF($A498&lt;&gt;"",Katalog_Fiyatlayici!$AD498,"")</x:f>
      </x:c>
      <x:c r="H498" s="75" t="str">
        <x:f>IF($A498&lt;&gt;"",Katalog_Fiyatlayici!$B498,"")</x:f>
      </x:c>
      <x:c r="I498" s="75" t="str">
        <x:f>IF($A498&lt;&gt;"","MakerWorld model linkine göre tahmini 3D baskı fiyatı. Gerçek üretimden önce Bambu Studio ile gramaj ve süre doğrulanır.","")</x:f>
      </x:c>
      <x:c r="J498" s="75" t="str">
        <x:f>IF($A498&lt;&gt;"",TRUE,"")</x:f>
      </x:c>
      <x:c r="K498" s="75" t="str">
        <x:f>IF($A498&lt;&gt;"",FALSE,"")</x:f>
      </x:c>
      <x:c r="L498" s="75" t="str">
        <x:f>IF($A498&lt;&gt;"","Units","")</x:f>
      </x:c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75" t="str">
        <x:f>IF(Katalog_Fiyatlayici!$AC499="Fiyat Hazır",Katalog_Fiyatlayici!$AD499,"")</x:f>
      </x:c>
      <x:c r="B499" s="75" t="str">
        <x:f>IF($A499&lt;&gt;"",Katalog_Fiyatlayici!$AF499,"")</x:f>
      </x:c>
      <x:c r="C499" s="83" t="str">
        <x:f>IF($A499&lt;&gt;"",Katalog_Fiyatlayici!$AA499,"")</x:f>
      </x:c>
      <x:c r="D499" s="83" t="str">
        <x:f>IF($A499&lt;&gt;"",Katalog_Fiyatlayici!$W499,"")</x:f>
      </x:c>
      <x:c r="E499" s="75" t="str">
        <x:f>IF($A499&lt;&gt;"","Service","")</x:f>
      </x:c>
      <x:c r="F499" s="75" t="str">
        <x:f>IF($A499&lt;&gt;"",Katalog_Fiyatlayici!$AE499,"")</x:f>
      </x:c>
      <x:c r="G499" s="75" t="str">
        <x:f>IF($A499&lt;&gt;"",Katalog_Fiyatlayici!$AD499,"")</x:f>
      </x:c>
      <x:c r="H499" s="75" t="str">
        <x:f>IF($A499&lt;&gt;"",Katalog_Fiyatlayici!$B499,"")</x:f>
      </x:c>
      <x:c r="I499" s="75" t="str">
        <x:f>IF($A499&lt;&gt;"","MakerWorld model linkine göre tahmini 3D baskı fiyatı. Gerçek üretimden önce Bambu Studio ile gramaj ve süre doğrulanır.","")</x:f>
      </x:c>
      <x:c r="J499" s="75" t="str">
        <x:f>IF($A499&lt;&gt;"",TRUE,"")</x:f>
      </x:c>
      <x:c r="K499" s="75" t="str">
        <x:f>IF($A499&lt;&gt;"",FALSE,"")</x:f>
      </x:c>
      <x:c r="L499" s="75" t="str">
        <x:f>IF($A499&lt;&gt;"","Units","")</x:f>
      </x:c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75" t="str">
        <x:f>IF(Katalog_Fiyatlayici!$AC500="Fiyat Hazır",Katalog_Fiyatlayici!$AD500,"")</x:f>
      </x:c>
      <x:c r="B500" s="75" t="str">
        <x:f>IF($A500&lt;&gt;"",Katalog_Fiyatlayici!$AF500,"")</x:f>
      </x:c>
      <x:c r="C500" s="83" t="str">
        <x:f>IF($A500&lt;&gt;"",Katalog_Fiyatlayici!$AA500,"")</x:f>
      </x:c>
      <x:c r="D500" s="83" t="str">
        <x:f>IF($A500&lt;&gt;"",Katalog_Fiyatlayici!$W500,"")</x:f>
      </x:c>
      <x:c r="E500" s="75" t="str">
        <x:f>IF($A500&lt;&gt;"","Service","")</x:f>
      </x:c>
      <x:c r="F500" s="75" t="str">
        <x:f>IF($A500&lt;&gt;"",Katalog_Fiyatlayici!$AE500,"")</x:f>
      </x:c>
      <x:c r="G500" s="75" t="str">
        <x:f>IF($A500&lt;&gt;"",Katalog_Fiyatlayici!$AD500,"")</x:f>
      </x:c>
      <x:c r="H500" s="75" t="str">
        <x:f>IF($A500&lt;&gt;"",Katalog_Fiyatlayici!$B500,"")</x:f>
      </x:c>
      <x:c r="I500" s="75" t="str">
        <x:f>IF($A500&lt;&gt;"","MakerWorld model linkine göre tahmini 3D baskı fiyatı. Gerçek üretimden önce Bambu Studio ile gramaj ve süre doğrulanır.","")</x:f>
      </x:c>
      <x:c r="J500" s="75" t="str">
        <x:f>IF($A500&lt;&gt;"",TRUE,"")</x:f>
      </x:c>
      <x:c r="K500" s="75" t="str">
        <x:f>IF($A500&lt;&gt;"",FALSE,"")</x:f>
      </x:c>
      <x:c r="L500" s="75" t="str">
        <x:f>IF($A500&lt;&gt;"","Units","")</x:f>
      </x:c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75" t="str">
        <x:f>IF(Katalog_Fiyatlayici!$AC501="Fiyat Hazır",Katalog_Fiyatlayici!$AD501,"")</x:f>
      </x:c>
      <x:c r="B501" s="75" t="str">
        <x:f>IF($A501&lt;&gt;"",Katalog_Fiyatlayici!$AF501,"")</x:f>
      </x:c>
      <x:c r="C501" s="83" t="str">
        <x:f>IF($A501&lt;&gt;"",Katalog_Fiyatlayici!$AA501,"")</x:f>
      </x:c>
      <x:c r="D501" s="83" t="str">
        <x:f>IF($A501&lt;&gt;"",Katalog_Fiyatlayici!$W501,"")</x:f>
      </x:c>
      <x:c r="E501" s="75" t="str">
        <x:f>IF($A501&lt;&gt;"","Service","")</x:f>
      </x:c>
      <x:c r="F501" s="75" t="str">
        <x:f>IF($A501&lt;&gt;"",Katalog_Fiyatlayici!$AE501,"")</x:f>
      </x:c>
      <x:c r="G501" s="75" t="str">
        <x:f>IF($A501&lt;&gt;"",Katalog_Fiyatlayici!$AD501,"")</x:f>
      </x:c>
      <x:c r="H501" s="75" t="str">
        <x:f>IF($A501&lt;&gt;"",Katalog_Fiyatlayici!$B501,"")</x:f>
      </x:c>
      <x:c r="I501" s="75" t="str">
        <x:f>IF($A501&lt;&gt;"","MakerWorld model linkine göre tahmini 3D baskı fiyatı. Gerçek üretimden önce Bambu Studio ile gramaj ve süre doğrulanır.","")</x:f>
      </x:c>
      <x:c r="J501" s="75" t="str">
        <x:f>IF($A501&lt;&gt;"",TRUE,"")</x:f>
      </x:c>
      <x:c r="K501" s="75" t="str">
        <x:f>IF($A501&lt;&gt;"",FALSE,"")</x:f>
      </x:c>
      <x:c r="L501" s="75" t="str">
        <x:f>IF($A501&lt;&gt;"","Units","")</x:f>
      </x:c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75" t="str">
        <x:f>IF(Katalog_Fiyatlayici!$AC502="Fiyat Hazır",Katalog_Fiyatlayici!$AD502,"")</x:f>
      </x:c>
      <x:c r="B502" s="75" t="str">
        <x:f>IF($A502&lt;&gt;"",Katalog_Fiyatlayici!$AF502,"")</x:f>
      </x:c>
      <x:c r="C502" s="83" t="str">
        <x:f>IF($A502&lt;&gt;"",Katalog_Fiyatlayici!$AA502,"")</x:f>
      </x:c>
      <x:c r="D502" s="83" t="str">
        <x:f>IF($A502&lt;&gt;"",Katalog_Fiyatlayici!$W502,"")</x:f>
      </x:c>
      <x:c r="E502" s="75" t="str">
        <x:f>IF($A502&lt;&gt;"","Service","")</x:f>
      </x:c>
      <x:c r="F502" s="75" t="str">
        <x:f>IF($A502&lt;&gt;"",Katalog_Fiyatlayici!$AE502,"")</x:f>
      </x:c>
      <x:c r="G502" s="75" t="str">
        <x:f>IF($A502&lt;&gt;"",Katalog_Fiyatlayici!$AD502,"")</x:f>
      </x:c>
      <x:c r="H502" s="75" t="str">
        <x:f>IF($A502&lt;&gt;"",Katalog_Fiyatlayici!$B502,"")</x:f>
      </x:c>
      <x:c r="I502" s="75" t="str">
        <x:f>IF($A502&lt;&gt;"","MakerWorld model linkine göre tahmini 3D baskı fiyatı. Gerçek üretimden önce Bambu Studio ile gramaj ve süre doğrulanır.","")</x:f>
      </x:c>
      <x:c r="J502" s="75" t="str">
        <x:f>IF($A502&lt;&gt;"",TRUE,"")</x:f>
      </x:c>
      <x:c r="K502" s="75" t="str">
        <x:f>IF($A502&lt;&gt;"",FALSE,"")</x:f>
      </x:c>
      <x:c r="L502" s="75" t="str">
        <x:f>IF($A502&lt;&gt;"","Units","")</x:f>
      </x:c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75" t="str">
        <x:f>IF(Katalog_Fiyatlayici!$AC503="Fiyat Hazır",Katalog_Fiyatlayici!$AD503,"")</x:f>
      </x:c>
      <x:c r="B503" s="75" t="str">
        <x:f>IF($A503&lt;&gt;"",Katalog_Fiyatlayici!$AF503,"")</x:f>
      </x:c>
      <x:c r="C503" s="83" t="str">
        <x:f>IF($A503&lt;&gt;"",Katalog_Fiyatlayici!$AA503,"")</x:f>
      </x:c>
      <x:c r="D503" s="83" t="str">
        <x:f>IF($A503&lt;&gt;"",Katalog_Fiyatlayici!$W503,"")</x:f>
      </x:c>
      <x:c r="E503" s="75" t="str">
        <x:f>IF($A503&lt;&gt;"","Service","")</x:f>
      </x:c>
      <x:c r="F503" s="75" t="str">
        <x:f>IF($A503&lt;&gt;"",Katalog_Fiyatlayici!$AE503,"")</x:f>
      </x:c>
      <x:c r="G503" s="75" t="str">
        <x:f>IF($A503&lt;&gt;"",Katalog_Fiyatlayici!$AD503,"")</x:f>
      </x:c>
      <x:c r="H503" s="75" t="str">
        <x:f>IF($A503&lt;&gt;"",Katalog_Fiyatlayici!$B503,"")</x:f>
      </x:c>
      <x:c r="I503" s="75" t="str">
        <x:f>IF($A503&lt;&gt;"","MakerWorld model linkine göre tahmini 3D baskı fiyatı. Gerçek üretimden önce Bambu Studio ile gramaj ve süre doğrulanır.","")</x:f>
      </x:c>
      <x:c r="J503" s="75" t="str">
        <x:f>IF($A503&lt;&gt;"",TRUE,"")</x:f>
      </x:c>
      <x:c r="K503" s="75" t="str">
        <x:f>IF($A503&lt;&gt;"",FALSE,"")</x:f>
      </x:c>
      <x:c r="L503" s="75" t="str">
        <x:f>IF($A503&lt;&gt;"","Units","")</x:f>
      </x:c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75" t="str">
        <x:f>IF(Katalog_Fiyatlayici!$AC504="Fiyat Hazır",Katalog_Fiyatlayici!$AD504,"")</x:f>
      </x:c>
      <x:c r="B504" s="75" t="str">
        <x:f>IF($A504&lt;&gt;"",Katalog_Fiyatlayici!$AF504,"")</x:f>
      </x:c>
      <x:c r="C504" s="83" t="str">
        <x:f>IF($A504&lt;&gt;"",Katalog_Fiyatlayici!$AA504,"")</x:f>
      </x:c>
      <x:c r="D504" s="83" t="str">
        <x:f>IF($A504&lt;&gt;"",Katalog_Fiyatlayici!$W504,"")</x:f>
      </x:c>
      <x:c r="E504" s="75" t="str">
        <x:f>IF($A504&lt;&gt;"","Service","")</x:f>
      </x:c>
      <x:c r="F504" s="75" t="str">
        <x:f>IF($A504&lt;&gt;"",Katalog_Fiyatlayici!$AE504,"")</x:f>
      </x:c>
      <x:c r="G504" s="75" t="str">
        <x:f>IF($A504&lt;&gt;"",Katalog_Fiyatlayici!$AD504,"")</x:f>
      </x:c>
      <x:c r="H504" s="75" t="str">
        <x:f>IF($A504&lt;&gt;"",Katalog_Fiyatlayici!$B504,"")</x:f>
      </x:c>
      <x:c r="I504" s="75" t="str">
        <x:f>IF($A504&lt;&gt;"","MakerWorld model linkine göre tahmini 3D baskı fiyatı. Gerçek üretimden önce Bambu Studio ile gramaj ve süre doğrulanır.","")</x:f>
      </x:c>
      <x:c r="J504" s="75" t="str">
        <x:f>IF($A504&lt;&gt;"",TRUE,"")</x:f>
      </x:c>
      <x:c r="K504" s="75" t="str">
        <x:f>IF($A504&lt;&gt;"",FALSE,"")</x:f>
      </x:c>
      <x:c r="L504" s="75" t="str">
        <x:f>IF($A504&lt;&gt;"","Units","")</x:f>
      </x:c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965205dacdc4e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  <x:col min="3" max="3" width="18" hidden="0" customWidth="1"/>
    <x:col min="4" max="4" width="44" hidden="0" customWidth="1"/>
  </x:cols>
  <x:sheetData>
    <x:row r="1" ht="30" customHeight="1">
      <x:c r="A1" s="5" t="str">
        <x:v>Otomatik Veri Rehberi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Excel dosyası tek başına dinamik MakerWorld verisini garanti çekemez; bu sayfa otomatik veri denemesi ve güvenli manuel mod için hazırlandı.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Bölüm</x:v>
      </x:c>
      <x:c r="B4" s="24" t="str">
        <x:v>İçerik / Kod</x:v>
      </x:c>
      <x:c r="C4" s="24" t="str">
        <x:v>Durum</x:v>
      </x:c>
      <x:c r="D4" s="24" t="str">
        <x:v>Not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88" t="str">
        <x:v>Önemli</x:v>
      </x:c>
      <x:c r="B5" s="75" t="str">
        <x:v>MakerWorld fiyat hesabında gramaj ve süre yazıcı, malzeme, nozzle, seçilen print profile ve cloud slicing sonucuna göre değişebilir.</x:v>
      </x:c>
      <x:c r="C5" s="75" t="str">
        <x:v>Sabit kural</x:v>
      </x:c>
      <x:c r="D5" s="75" t="str">
        <x:v>Son tekliften önce Bambu Studio ile doğrulamak en güvenli yöntemdir.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88" t="str">
        <x:v>Link Only Akış</x:v>
      </x:c>
      <x:c r="B6" s="75" t="str">
        <x:v>Katalog_Fiyatlayici!B kolonuna link ekle. Model ID otomatik çıkar. MakerWorld_Verileri sayfasında aynı Model ID için gram/süre varsa fiyat otomatik oluşur.</x:v>
      </x:c>
      <x:c r="C6" s="75" t="str">
        <x:v>Hazır</x:v>
      </x:c>
      <x:c r="D6" s="75" t="str">
        <x:v>Sen sadece link eklediğinde, veri tablosu doluysa fiyat çıkar.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88" t="str">
        <x:v>Güvenli Mod</x:v>
      </x:c>
      <x:c r="B7" s="75" t="str">
        <x:v>Auto Gram / Auto Süre boş kalırsa Manuel Gram ve Manuel Süre dk alanlarını doldur. Fiyat aynı formülle çalışır.</x:v>
      </x:c>
      <x:c r="C7" s="75" t="str">
        <x:v>Hazır</x:v>
      </x:c>
      <x:c r="D7" s="75" t="str">
        <x:v>Bambu Studio veya MakerWorld profil kartından alınan değerler girilebilir.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88" t="str">
        <x:v>Office Script</x:v>
      </x:c>
      <x:c r="B8" s="75" t="str">
        <x:v>Aşağıdaki JavaScript'i Excel Online &gt; Automate &gt; New Script içine yapıştırıp çalıştır. Dinamik sayfa/izin nedeniyle her linkte çalışması garanti değildir.</x:v>
      </x:c>
      <x:c r="C8" s="75" t="str">
        <x:v>Deneysel</x:v>
      </x:c>
      <x:c r="D8" s="75" t="str">
        <x:v>Başarısız olursa güvenli mod kullanılmalı.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64"/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24" t="str">
        <x:v>Office Script Kodu</x:v>
      </x:c>
      <x:c r="B10" s="24" t="str">
        <x:v>Kopyala</x:v>
      </x:c>
      <x:c r="C10" s="24" t="str">
        <x:v>Excel Online</x:v>
      </x:c>
      <x:c r="D10" s="24" t="str">
        <x:v>Deneysel otomatik çekim</x:v>
      </x:c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64" t="str"/>
      <x:c r="B11" s="89" t="str">
        <x:v>async function main(workbook: ExcelScript.Workbook) {</x:v>
      </x:c>
      <x:c r="C11" s="64" t="str"/>
      <x:c r="D11" s="64" t="str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64" t="str"/>
      <x:c r="B12" s="89" t="str">
        <x:v>  const catalog = workbook.getWorksheet("Katalog_Fiyatlayici");</x:v>
      </x:c>
      <x:c r="C12" s="64" t="str"/>
      <x:c r="D12" s="64" t="str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64" t="str"/>
      <x:c r="B13" s="89" t="str">
        <x:v>  const data = workbook.getWorksheet("MakerWorld_Verileri");</x:v>
      </x:c>
      <x:c r="C13" s="64" t="str"/>
      <x:c r="D13" s="64" t="str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64" t="str"/>
      <x:c r="B14" s="89" t="str"/>
      <x:c r="C14" s="64" t="str"/>
      <x:c r="D14" s="64" t="str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64" t="str"/>
      <x:c r="B15" s="89" t="str">
        <x:v>  const used = catalog.getUsedRange();</x:v>
      </x:c>
      <x:c r="C15" s="64" t="str"/>
      <x:c r="D15" s="64" t="str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64" t="str"/>
      <x:c r="B16" s="89" t="str">
        <x:v>  if (!used) return;</x:v>
      </x:c>
      <x:c r="C16" s="64" t="str"/>
      <x:c r="D16" s="64" t="str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64" t="str"/>
      <x:c r="B17" s="89" t="str">
        <x:v>  const values = used.getValues();</x:v>
      </x:c>
      <x:c r="C17" s="64" t="str"/>
      <x:c r="D17" s="64" t="str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64" t="str"/>
      <x:c r="B18" s="89" t="str"/>
      <x:c r="C18" s="64" t="str"/>
      <x:c r="D18" s="64" t="str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64" t="str"/>
      <x:c r="B19" s="89" t="str">
        <x:v>  const output: (string | number | boolean)[][] = [[</x:v>
      </x:c>
      <x:c r="C19" s="64" t="str"/>
      <x:c r="D19" s="64" t="str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64" t="str"/>
      <x:c r="B20" s="89" t="str">
        <x:v>    "Model ID", "Model Adı", "Print Profile", "Auto Gram", "Auto Süre dk",</x:v>
      </x:c>
      <x:c r="C20" s="64" t="str"/>
      <x:c r="D20" s="64" t="str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64" t="str"/>
      <x:c r="B21" s="89" t="str">
        <x:v>    "Kaynak Link", "Veri Kaynağı", "Son Kontrol", "Not"</x:v>
      </x:c>
      <x:c r="C21" s="64" t="str"/>
      <x:c r="D21" s="64" t="str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64" t="str"/>
      <x:c r="B22" s="89" t="str">
        <x:v>  ]];</x:v>
      </x:c>
      <x:c r="C22" s="64" t="str"/>
      <x:c r="D22" s="64" t="str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64" t="str"/>
      <x:c r="B23" s="89" t="str"/>
      <x:c r="C23" s="64" t="str"/>
      <x:c r="D23" s="64" t="str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64" t="str"/>
      <x:c r="B24" s="89" t="str">
        <x:v>  for (let r = 4; r &lt; values.length; r++) {</x:v>
      </x:c>
      <x:c r="C24" s="64" t="str"/>
      <x:c r="D24" s="64" t="str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64" t="str"/>
      <x:c r="B25" s="89" t="str">
        <x:v>    const url = String(values[r][1] ?? "").trim();</x:v>
      </x:c>
      <x:c r="C25" s="64" t="str"/>
      <x:c r="D25" s="64" t="str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64" t="str"/>
      <x:c r="B26" s="89" t="str">
        <x:v>    const match = url.match(/\/models\/(\d+)/);</x:v>
      </x:c>
      <x:c r="C26" s="64" t="str"/>
      <x:c r="D26" s="64" t="str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64" t="str"/>
      <x:c r="B27" s="89" t="str">
        <x:v>    if (!match) continue;</x:v>
      </x:c>
      <x:c r="C27" s="64" t="str"/>
      <x:c r="D27" s="64" t="str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64" t="str"/>
      <x:c r="B28" s="89" t="str"/>
      <x:c r="C28" s="64" t="str"/>
      <x:c r="D28" s="64" t="str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64" t="str"/>
      <x:c r="B29" s="89" t="str">
        <x:v>    const id = match[1];</x:v>
      </x:c>
      <x:c r="C29" s="64" t="str"/>
      <x:c r="D29" s="64" t="str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64" t="str"/>
      <x:c r="B30" s="89" t="str">
        <x:v>    let title = "";</x:v>
      </x:c>
      <x:c r="C30" s="64" t="str"/>
      <x:c r="D30" s="64" t="str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64" t="str"/>
      <x:c r="B31" s="89" t="str">
        <x:v>    let grams: number | string = "";</x:v>
      </x:c>
      <x:c r="C31" s="64" t="str"/>
      <x:c r="D31" s="64" t="str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64" t="str"/>
      <x:c r="B32" s="89" t="str">
        <x:v>    let minutes: number | string = "";</x:v>
      </x:c>
      <x:c r="C32" s="64" t="str"/>
      <x:c r="D32" s="64" t="str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64" t="str"/>
      <x:c r="B33" s="89" t="str">
        <x:v>    let note = "";</x:v>
      </x:c>
      <x:c r="C33" s="64" t="str"/>
      <x:c r="D33" s="64" t="str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64" t="str"/>
      <x:c r="B34" s="89" t="str"/>
      <x:c r="C34" s="64" t="str"/>
      <x:c r="D34" s="64" t="str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64" t="str"/>
      <x:c r="B35" s="89" t="str">
        <x:v>    try {</x:v>
      </x:c>
      <x:c r="C35" s="64" t="str"/>
      <x:c r="D35" s="64" t="str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64" t="str"/>
      <x:c r="B36" s="89" t="str">
        <x:v>      const response = await fetch(url);</x:v>
      </x:c>
      <x:c r="C36" s="64" t="str"/>
      <x:c r="D36" s="64" t="str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64" t="str"/>
      <x:c r="B37" s="89" t="str">
        <x:v>      const html = await response.text();</x:v>
      </x:c>
      <x:c r="C37" s="64" t="str"/>
      <x:c r="D37" s="64" t="str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64" t="str"/>
      <x:c r="B38" s="89" t="str"/>
      <x:c r="C38" s="64" t="str"/>
      <x:c r="D38" s="64" t="str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64" t="str"/>
      <x:c r="B39" s="89" t="str">
        <x:v>      const titleMatch = html.match(/&lt;title&gt;(.*?)&lt;\/title&gt;/i);</x:v>
      </x:c>
      <x:c r="C39" s="64" t="str"/>
      <x:c r="D39" s="64" t="str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64" t="str"/>
      <x:c r="B40" s="89" t="str">
        <x:v>      title = titleMatch ? titleMatch[1].replace(" - MakerWorld", "").trim() : "";</x:v>
      </x:c>
      <x:c r="C40" s="64" t="str"/>
      <x:c r="D40" s="64" t="str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64" t="str"/>
      <x:c r="B41" s="89" t="str"/>
      <x:c r="C41" s="64" t="str"/>
      <x:c r="D41" s="64" t="str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64" t="str"/>
      <x:c r="B42" s="89" t="str">
        <x:v>      const gramMatch = html.match(/(?:filament|weight|consume|consumption)[^0-9]{0,40}([0-9]+(?:\.[0-9]+)?)\s*g/i);</x:v>
      </x:c>
      <x:c r="C42" s="64" t="str"/>
      <x:c r="D42" s="64" t="str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64" t="str"/>
      <x:c r="B43" s="89" t="str">
        <x:v>      const hourMinMatch = html.match(/([0-9]+(?:\.[0-9]+)?)\s*h(?:ours?)?[^0-9]{0,30}([0-9]+)?\s*m?/i);</x:v>
      </x:c>
      <x:c r="C43" s="64" t="str"/>
      <x:c r="D43" s="64" t="str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64" t="str"/>
      <x:c r="B44" s="89" t="str">
        <x:v>      const minuteMatch = html.match(/([0-9]+)\s*min/i);</x:v>
      </x:c>
      <x:c r="C44" s="64" t="str"/>
      <x:c r="D44" s="64" t="str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64" t="str"/>
      <x:c r="B45" s="89" t="str"/>
      <x:c r="C45" s="64" t="str"/>
      <x:c r="D45" s="64" t="str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64" t="str"/>
      <x:c r="B46" s="89" t="str">
        <x:v>      if (gramMatch) grams = Number(gramMatch[1]);</x:v>
      </x:c>
      <x:c r="C46" s="64" t="str"/>
      <x:c r="D46" s="64" t="str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64" t="str"/>
      <x:c r="B47" s="89" t="str">
        <x:v>      if (hourMinMatch) {</x:v>
      </x:c>
      <x:c r="C47" s="64" t="str"/>
      <x:c r="D47" s="64" t="str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64" t="str"/>
      <x:c r="B48" s="89" t="str">
        <x:v>        minutes = Math.round(Number(hourMinMatch[1]) * 60 + (hourMinMatch[2] ? Number(hourMinMatch[2]) : 0));</x:v>
      </x:c>
      <x:c r="C48" s="64" t="str"/>
      <x:c r="D48" s="64" t="str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64" t="str"/>
      <x:c r="B49" s="89" t="str">
        <x:v>      } else if (minuteMatch) {</x:v>
      </x:c>
      <x:c r="C49" s="64" t="str"/>
      <x:c r="D49" s="64" t="str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64" t="str"/>
      <x:c r="B50" s="89" t="str">
        <x:v>        minutes = Number(minuteMatch[1]);</x:v>
      </x:c>
      <x:c r="C50" s="64" t="str"/>
      <x:c r="D50" s="64" t="str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64" t="str"/>
      <x:c r="B51" s="89" t="str">
        <x:v>      }</x:v>
      </x:c>
      <x:c r="C51" s="64" t="str"/>
      <x:c r="D51" s="64" t="str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64" t="str"/>
      <x:c r="B52" s="89" t="str"/>
      <x:c r="C52" s="64" t="str"/>
      <x:c r="D52" s="64" t="str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64" t="str"/>
      <x:c r="B53" s="89" t="str">
        <x:v>      note = (grams !== "" &amp;&amp; minutes !== "")</x:v>
      </x:c>
      <x:c r="C53" s="64" t="str"/>
      <x:c r="D53" s="64" t="str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64" t="str"/>
      <x:c r="B54" s="89" t="str">
        <x:v>        ? "Otomatik yakalandı; Bambu Studio ile doğrula."</x:v>
      </x:c>
      <x:c r="C54" s="64" t="str"/>
      <x:c r="D54" s="64" t="str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64" t="str"/>
      <x:c r="B55" s="89" t="str">
        <x:v>        : "Sayfadan gram/süre bulunamadı; manuel güvenli mod kullan.";</x:v>
      </x:c>
      <x:c r="C55" s="64" t="str"/>
      <x:c r="D55" s="64" t="str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64" t="str"/>
      <x:c r="B56" s="89" t="str">
        <x:v>    } catch (error) {</x:v>
      </x:c>
      <x:c r="C56" s="64" t="str"/>
      <x:c r="D56" s="64" t="str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64" t="str"/>
      <x:c r="B57" s="89" t="str">
        <x:v>      note = "Fetch/izin hatası; MakerWorld dinamik olabilir. Manuel güvenli mod kullan.";</x:v>
      </x:c>
      <x:c r="C57" s="64" t="str"/>
      <x:c r="D57" s="64" t="str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64" t="str"/>
      <x:c r="B58" s="89" t="str">
        <x:v>    }</x:v>
      </x:c>
      <x:c r="C58" s="64" t="str"/>
      <x:c r="D58" s="64" t="str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64" t="str"/>
      <x:c r="B59" s="89" t="str"/>
      <x:c r="C59" s="64" t="str"/>
      <x:c r="D59" s="64" t="str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64" t="str"/>
      <x:c r="B60" s="89" t="str">
        <x:v>    output.push([id, title, "", grams, minutes, url, "Office Script", new Date().toISOString().slice(0, 10), note]);</x:v>
      </x:c>
      <x:c r="C60" s="64" t="str"/>
      <x:c r="D60" s="64" t="str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64" t="str"/>
      <x:c r="B61" s="89" t="str">
        <x:v>  }</x:v>
      </x:c>
      <x:c r="C61" s="64" t="str"/>
      <x:c r="D61" s="64" t="str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64" t="str"/>
      <x:c r="B62" s="89" t="str"/>
      <x:c r="C62" s="64" t="str"/>
      <x:c r="D62" s="64" t="str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64" t="str"/>
      <x:c r="B63" s="89" t="str">
        <x:v>  data.getRange("A4:I" + (output.length + 3)).clear(ExcelScript.ClearApplyTo.contents);</x:v>
      </x:c>
      <x:c r="C63" s="64" t="str"/>
      <x:c r="D63" s="64" t="str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64" t="str"/>
      <x:c r="B64" s="89" t="str">
        <x:v>  data.getRange("A4:I" + (output.length + 3)).setValues(output);</x:v>
      </x:c>
      <x:c r="C64" s="64" t="str"/>
      <x:c r="D64" s="64" t="str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64" t="str"/>
      <x:c r="B65" s="89" t="str">
        <x:v>}</x:v>
      </x:c>
      <x:c r="C65" s="64" t="str"/>
      <x:c r="D65" s="64" t="str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24" t="str">
        <x:v>Power Query M Kodu</x:v>
      </x:c>
      <x:c r="B68" s="24" t="str">
        <x:v>Kopyala</x:v>
      </x:c>
      <x:c r="C68" s="24" t="str">
        <x:v>Excel Data &gt; Get Data</x:v>
      </x:c>
      <x:c r="D68" s="24" t="str">
        <x:v>Çok deneysel; HTML değişebilir</x:v>
      </x:c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64" t="str"/>
      <x:c r="B69" s="89" t="str">
        <x:v>let</x:v>
      </x:c>
      <x:c r="C69" s="64" t="str"/>
      <x:c r="D69" s="64" t="str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64" t="str"/>
      <x:c r="B70" s="89" t="str">
        <x:v>    Source = Excel.CurrentWorkbook(){[Name="KatalogFiyatTable"]}[Content],</x:v>
      </x:c>
      <x:c r="C70" s="64" t="str"/>
      <x:c r="D70" s="64" t="str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64" t="str"/>
      <x:c r="B71" s="89" t="str">
        <x:v>    Links = Table.SelectColumns(Source, {"MakerWorld Link", "Model ID"}),</x:v>
      </x:c>
      <x:c r="C71" s="64" t="str"/>
      <x:c r="D71" s="64" t="str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64" t="str"/>
      <x:c r="B72" s="89" t="str">
        <x:v>    Clean = Table.SelectRows(Links, each [MakerWorld Link] &lt;&gt; null and [MakerWorld Link] &lt;&gt; ""),</x:v>
      </x:c>
      <x:c r="C72" s="64" t="str"/>
      <x:c r="D72" s="64" t="str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64" t="str"/>
      <x:c r="B73" s="89" t="str">
        <x:v>    AddHtml = Table.AddColumn(Clean, "HTML", each try Text.FromBinary(Web.Contents([MakerWorld Link])) otherwise null),</x:v>
      </x:c>
      <x:c r="C73" s="64" t="str"/>
      <x:c r="D73" s="64" t="str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64" t="str"/>
      <x:c r="B74" s="89" t="str">
        <x:v>    AddGram = Table.AddColumn(AddHtml, "Auto Gram", each try Number.FromText(Text.BetweenDelimiters([HTML], "filament", "g")) otherwise null),</x:v>
      </x:c>
      <x:c r="C74" s="64" t="str"/>
      <x:c r="D74" s="64" t="str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64" t="str"/>
      <x:c r="B75" s="89" t="str">
        <x:v>    AddMinutes = Table.AddColumn(AddGram, "Auto Süre dk", each null),</x:v>
      </x:c>
      <x:c r="C75" s="64" t="str"/>
      <x:c r="D75" s="64" t="str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64" t="str"/>
      <x:c r="B76" s="89" t="str">
        <x:v>    Result = Table.SelectColumns(AddMinutes, {"Model ID", "Auto Gram", "Auto Süre dk"})</x:v>
      </x:c>
      <x:c r="C76" s="64" t="str"/>
      <x:c r="D76" s="64" t="str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64" t="str"/>
      <x:c r="B77" s="89" t="str">
        <x:v>in</x:v>
      </x:c>
      <x:c r="C77" s="64" t="str"/>
      <x:c r="D77" s="64" t="str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64" t="str"/>
      <x:c r="B78" s="89" t="str">
        <x:v>    Result</x:v>
      </x:c>
      <x:c r="C78" s="64" t="str"/>
      <x:c r="D78" s="64" t="str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64"/>
      <x:c r="B501" s="64"/>
      <x:c r="C501" s="64"/>
      <x:c r="D501" s="64"/>
      <x:c r="E501" s="64"/>
      <x:c r="F501" s="64"/>
      <x:c r="G501" s="64"/>
      <x:c r="H501" s="64"/>
      <x:c r="I501" s="64"/>
      <x:c r="J501" s="64"/>
      <x:c r="K501" s="64"/>
      <x:c r="L501" s="64"/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64"/>
      <x:c r="B502" s="64"/>
      <x:c r="C502" s="64"/>
      <x:c r="D502" s="64"/>
      <x:c r="E502" s="64"/>
      <x:c r="F502" s="64"/>
      <x:c r="G502" s="64"/>
      <x:c r="H502" s="64"/>
      <x:c r="I502" s="64"/>
      <x:c r="J502" s="64"/>
      <x:c r="K502" s="64"/>
      <x:c r="L502" s="64"/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64"/>
      <x:c r="B503" s="64"/>
      <x:c r="C503" s="64"/>
      <x:c r="D503" s="64"/>
      <x:c r="E503" s="64"/>
      <x:c r="F503" s="64"/>
      <x:c r="G503" s="64"/>
      <x:c r="H503" s="64"/>
      <x:c r="I503" s="64"/>
      <x:c r="J503" s="64"/>
      <x:c r="K503" s="64"/>
      <x:c r="L503" s="64"/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64"/>
      <x:c r="B504" s="64"/>
      <x:c r="C504" s="64"/>
      <x:c r="D504" s="64"/>
      <x:c r="E504" s="64"/>
      <x:c r="F504" s="64"/>
      <x:c r="G504" s="64"/>
      <x:c r="H504" s="64"/>
      <x:c r="I504" s="64"/>
      <x:c r="J504" s="64"/>
      <x:c r="K504" s="64"/>
      <x:c r="L504" s="64"/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7.689998626708984" hidden="0" customWidth="1"/>
    <x:col min="2" max="2" width="6.059999942779541" hidden="0" customWidth="1"/>
    <x:col min="3" max="3" width="11.3100004196167" hidden="0" customWidth="1"/>
    <x:col min="4" max="4" width="9.829999923706055" hidden="0" customWidth="1"/>
  </x:cols>
  <x:sheetData>
    <x:row r="1" ht="30" customHeight="1">
      <x:c r="A1" s="5" t="str">
        <x:v>Veri Listeleri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Açılır listeler ve durum değerleri burada tutulur.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Malzeme</x:v>
      </x:c>
      <x:c r="B4" s="24" t="str">
        <x:v>Zorluk</x:v>
      </x:c>
      <x:c r="C4" s="24" t="str">
        <x:v>Durum</x:v>
      </x:c>
      <x:c r="D4" s="24" t="str">
        <x:v>Kategori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64" t="str">
        <x:v>PLA</x:v>
      </x:c>
      <x:c r="B5" s="64" t="str">
        <x:v>Kolay</x:v>
      </x:c>
      <x:c r="C5" s="64" t="str">
        <x:v>Veri Eksik</x:v>
      </x:c>
      <x:c r="D5" s="64" t="str">
        <x:v>Dekoratif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64" t="str">
        <x:v>PETG</x:v>
      </x:c>
      <x:c r="B6" s="64" t="str">
        <x:v>Orta</x:v>
      </x:c>
      <x:c r="C6" s="64" t="str">
        <x:v>Fiyat Hazır</x:v>
      </x:c>
      <x:c r="D6" s="64" t="str">
        <x:v>Prototip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64" t="str">
        <x:v>ABS</x:v>
      </x:c>
      <x:c r="B7" s="64" t="str">
        <x:v>Zor</x:v>
      </x:c>
      <x:c r="C7" s="64" t="str">
        <x:v>Kontrol Et</x:v>
      </x:c>
      <x:c r="D7" s="64" t="str">
        <x:v>Teknik Parça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64" t="str">
        <x:v>ASA</x:v>
      </x:c>
      <x:c r="B8" s="64" t="str">
        <x:v>Çok Zor</x:v>
      </x:c>
      <x:c r="C8" s="64" t="str">
        <x:v>Odoo'ya Aktar</x:v>
      </x:c>
      <x:c r="D8" s="64" t="str">
        <x:v>Drone / İHA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64" t="str">
        <x:v>TPU 95A</x:v>
      </x:c>
      <x:c r="B9" s="64" t="str">
        <x:v>Riskli</x:v>
      </x:c>
      <x:c r="C9" s="64" t="str">
        <x:v>Pasif</x:v>
      </x:c>
      <x:c r="D9" s="64" t="str">
        <x:v>Aparat / Jig</x:v>
      </x:c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64" t="str">
        <x:v>PA / Nylon</x:v>
      </x:c>
      <x:c r="B10" s="64"/>
      <x:c r="C10" s="64" t="str">
        <x:v>Yayında</x:v>
      </x:c>
      <x:c r="D10" s="64" t="str">
        <x:v>Hediye</x:v>
      </x:c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64" t="str">
        <x:v>PA-CF</x:v>
      </x:c>
      <x:c r="B11" s="64"/>
      <x:c r="C11" s="64"/>
      <x:c r="D11" s="64" t="str">
        <x:v>Yedek Parça</x:v>
      </x:c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64" t="str">
        <x:v>Support PLA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64" t="str">
        <x:v>PVA</x:v>
      </x:c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64"/>
      <x:c r="B501" s="64"/>
      <x:c r="C501" s="64"/>
      <x:c r="D501" s="64"/>
      <x:c r="E501" s="64"/>
      <x:c r="F501" s="64"/>
      <x:c r="G501" s="64"/>
      <x:c r="H501" s="64"/>
      <x:c r="I501" s="64"/>
      <x:c r="J501" s="64"/>
      <x:c r="K501" s="64"/>
      <x:c r="L501" s="64"/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64"/>
      <x:c r="B502" s="64"/>
      <x:c r="C502" s="64"/>
      <x:c r="D502" s="64"/>
      <x:c r="E502" s="64"/>
      <x:c r="F502" s="64"/>
      <x:c r="G502" s="64"/>
      <x:c r="H502" s="64"/>
      <x:c r="I502" s="64"/>
      <x:c r="J502" s="64"/>
      <x:c r="K502" s="64"/>
      <x:c r="L502" s="64"/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64"/>
      <x:c r="B503" s="64"/>
      <x:c r="C503" s="64"/>
      <x:c r="D503" s="64"/>
      <x:c r="E503" s="64"/>
      <x:c r="F503" s="64"/>
      <x:c r="G503" s="64"/>
      <x:c r="H503" s="64"/>
      <x:c r="I503" s="64"/>
      <x:c r="J503" s="64"/>
      <x:c r="K503" s="64"/>
      <x:c r="L503" s="64"/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64"/>
      <x:c r="B504" s="64"/>
      <x:c r="C504" s="64"/>
      <x:c r="D504" s="64"/>
      <x:c r="E504" s="64"/>
      <x:c r="F504" s="64"/>
      <x:c r="G504" s="64"/>
      <x:c r="H504" s="64"/>
      <x:c r="I504" s="64"/>
      <x:c r="J504" s="64"/>
      <x:c r="K504" s="64"/>
      <x:c r="L504" s="64"/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38" hidden="0" customWidth="1"/>
    <x:col min="4" max="4" width="38" hidden="0" customWidth="1"/>
  </x:cols>
  <x:sheetData>
    <x:row r="1" ht="30" customHeight="1">
      <x:c r="A1" s="5" t="str">
        <x:v>Kaynaklar ve Notlar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</x:row>
    <x:row r="2" ht="24" customHeight="1">
      <x:c r="A2" s="14" t="str">
        <x:v>Katalog sistemi tasarlanırken kullanılan genel bilgi kaynakları.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</x:row>
    <x:row r="4">
      <x:c r="A4" s="24" t="str">
        <x:v>Kaynak</x:v>
      </x:c>
      <x:c r="B4" s="24" t="str">
        <x:v>URL</x:v>
      </x:c>
      <x:c r="C4" s="24" t="str">
        <x:v>Ne İçin Kullanıldı</x:v>
      </x:c>
      <x:c r="D4" s="24" t="str">
        <x:v>Not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</x:row>
    <x:row r="5">
      <x:c r="A5" s="75" t="str">
        <x:v>Bambu Lab Blog - MakerWorld One-Step Printing</x:v>
      </x:c>
      <x:c r="B5" s="75" t="str">
        <x:v>https://blog.bambulab.com/makerworld-one-step-printing/</x:v>
      </x:c>
      <x:c r="C5" s="75" t="str">
        <x:v>Cloud slicing ve print profile çalışma mantığı</x:v>
      </x:c>
      <x:c r="D5" s="75" t="str">
        <x:v>Printer/filament seçimine göre yeniden dilimleme bilgisi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</x:row>
    <x:row r="6">
      <x:c r="A6" s="75" t="str">
        <x:v>MakerWorld</x:v>
      </x:c>
      <x:c r="B6" s="75" t="str">
        <x:v>https://makerworld.com/en</x:v>
      </x:c>
      <x:c r="C6" s="75" t="str">
        <x:v>Model linklerinin ana kaynağı</x:v>
      </x:c>
      <x:c r="D6" s="75" t="str">
        <x:v>Linkler katalogda kaynak olarak saklanır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</x:row>
    <x:row r="7">
      <x:c r="A7" s="75" t="str">
        <x:v>Bambu Lab Wiki / MakerWorld</x:v>
      </x:c>
      <x:c r="B7" s="75" t="str">
        <x:v>https://wiki.bambulab.com/en/makerworld/tutorials/how-to-upload-models</x:v>
      </x:c>
      <x:c r="C7" s="75" t="str">
        <x:v>Print profile kavramı</x:v>
      </x:c>
      <x:c r="D7" s="75" t="str">
        <x:v>Erişim/ülke kısıtları olabilir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</x:row>
    <x:row r="8">
      <x:c r="A8" s="75" t="str">
        <x:v>BunuDaBastık3D Odoo</x:v>
      </x:c>
      <x:c r="B8" s="75" t="str">
        <x:v>https://bunudabastik3d.odoo.com</x:v>
      </x:c>
      <x:c r="C8" s="75" t="str">
        <x:v>Odoo export uyumu</x:v>
      </x:c>
      <x:c r="D8" s="75" t="str">
        <x:v>Kullanıcı Odoo adresi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</x:row>
    <x:row r="9">
      <x:c r="A9" s="75" t="str">
        <x:v>Not</x:v>
      </x:c>
      <x:c r="B9" s="75" t="str">
        <x:v>Dosya içinde fiyatlar tahminidir.</x:v>
      </x:c>
      <x:c r="C9" s="75" t="str">
        <x:v>Gerçek teklif öncesi Bambu Studio gramaj/süre kontrolü gerekir.</x:v>
      </x:c>
      <x:c r="D9" s="75" t="str">
        <x:v>Teknik malzemelerde risk payı artırılabilir.</x:v>
      </x:c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  <x:c r="AA9" s="64"/>
      <x:c r="AB9" s="64"/>
      <x:c r="AC9" s="64"/>
      <x:c r="AD9" s="64"/>
      <x:c r="AE9" s="64"/>
      <x:c r="AF9" s="64"/>
      <x:c r="AG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  <x:c r="AA10" s="64"/>
      <x:c r="AB10" s="64"/>
      <x:c r="AC10" s="64"/>
      <x:c r="AD10" s="64"/>
      <x:c r="AE10" s="64"/>
      <x:c r="AF10" s="64"/>
      <x:c r="AG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  <x:c r="AA11" s="64"/>
      <x:c r="AB11" s="64"/>
      <x:c r="AC11" s="64"/>
      <x:c r="AD11" s="64"/>
      <x:c r="AE11" s="64"/>
      <x:c r="AF11" s="64"/>
      <x:c r="AG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  <x:c r="AA12" s="64"/>
      <x:c r="AB12" s="64"/>
      <x:c r="AC12" s="64"/>
      <x:c r="AD12" s="64"/>
      <x:c r="AE12" s="64"/>
      <x:c r="AF12" s="64"/>
      <x:c r="AG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  <x:c r="AA13" s="64"/>
      <x:c r="AB13" s="64"/>
      <x:c r="AC13" s="64"/>
      <x:c r="AD13" s="64"/>
      <x:c r="AE13" s="64"/>
      <x:c r="AF13" s="64"/>
      <x:c r="AG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  <x:c r="AA14" s="64"/>
      <x:c r="AB14" s="64"/>
      <x:c r="AC14" s="64"/>
      <x:c r="AD14" s="64"/>
      <x:c r="AE14" s="64"/>
      <x:c r="AF14" s="64"/>
      <x:c r="AG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  <x:c r="AA15" s="64"/>
      <x:c r="AB15" s="64"/>
      <x:c r="AC15" s="64"/>
      <x:c r="AD15" s="64"/>
      <x:c r="AE15" s="64"/>
      <x:c r="AF15" s="64"/>
      <x:c r="AG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  <x:c r="AA16" s="64"/>
      <x:c r="AB16" s="64"/>
      <x:c r="AC16" s="64"/>
      <x:c r="AD16" s="64"/>
      <x:c r="AE16" s="64"/>
      <x:c r="AF16" s="64"/>
      <x:c r="AG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  <x:c r="AA17" s="64"/>
      <x:c r="AB17" s="64"/>
      <x:c r="AC17" s="64"/>
      <x:c r="AD17" s="64"/>
      <x:c r="AE17" s="64"/>
      <x:c r="AF17" s="64"/>
      <x:c r="AG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  <x:c r="AA18" s="64"/>
      <x:c r="AB18" s="64"/>
      <x:c r="AC18" s="64"/>
      <x:c r="AD18" s="64"/>
      <x:c r="AE18" s="64"/>
      <x:c r="AF18" s="64"/>
      <x:c r="AG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  <x:c r="AA19" s="64"/>
      <x:c r="AB19" s="64"/>
      <x:c r="AC19" s="64"/>
      <x:c r="AD19" s="64"/>
      <x:c r="AE19" s="64"/>
      <x:c r="AF19" s="64"/>
      <x:c r="AG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  <x:c r="AA20" s="64"/>
      <x:c r="AB20" s="64"/>
      <x:c r="AC20" s="64"/>
      <x:c r="AD20" s="64"/>
      <x:c r="AE20" s="64"/>
      <x:c r="AF20" s="64"/>
      <x:c r="AG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  <x:c r="AA21" s="64"/>
      <x:c r="AB21" s="64"/>
      <x:c r="AC21" s="64"/>
      <x:c r="AD21" s="64"/>
      <x:c r="AE21" s="64"/>
      <x:c r="AF21" s="64"/>
      <x:c r="AG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  <x:c r="AA22" s="64"/>
      <x:c r="AB22" s="64"/>
      <x:c r="AC22" s="64"/>
      <x:c r="AD22" s="64"/>
      <x:c r="AE22" s="64"/>
      <x:c r="AF22" s="64"/>
      <x:c r="AG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  <x:c r="AA23" s="64"/>
      <x:c r="AB23" s="64"/>
      <x:c r="AC23" s="64"/>
      <x:c r="AD23" s="64"/>
      <x:c r="AE23" s="64"/>
      <x:c r="AF23" s="64"/>
      <x:c r="AG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  <x:c r="AA24" s="64"/>
      <x:c r="AB24" s="64"/>
      <x:c r="AC24" s="64"/>
      <x:c r="AD24" s="64"/>
      <x:c r="AE24" s="64"/>
      <x:c r="AF24" s="64"/>
      <x:c r="AG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  <x:c r="AA25" s="64"/>
      <x:c r="AB25" s="64"/>
      <x:c r="AC25" s="64"/>
      <x:c r="AD25" s="64"/>
      <x:c r="AE25" s="64"/>
      <x:c r="AF25" s="64"/>
      <x:c r="AG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  <x:c r="AA30" s="64"/>
      <x:c r="AB30" s="64"/>
      <x:c r="AC30" s="64"/>
      <x:c r="AD30" s="64"/>
      <x:c r="AE30" s="64"/>
      <x:c r="AF30" s="64"/>
      <x:c r="AG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  <x:c r="AA31" s="64"/>
      <x:c r="AB31" s="64"/>
      <x:c r="AC31" s="64"/>
      <x:c r="AD31" s="64"/>
      <x:c r="AE31" s="64"/>
      <x:c r="AF31" s="64"/>
      <x:c r="AG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  <x:c r="AA32" s="64"/>
      <x:c r="AB32" s="64"/>
      <x:c r="AC32" s="64"/>
      <x:c r="AD32" s="64"/>
      <x:c r="AE32" s="64"/>
      <x:c r="AF32" s="64"/>
      <x:c r="AG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  <x:c r="AA33" s="64"/>
      <x:c r="AB33" s="64"/>
      <x:c r="AC33" s="64"/>
      <x:c r="AD33" s="64"/>
      <x:c r="AE33" s="64"/>
      <x:c r="AF33" s="64"/>
      <x:c r="AG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  <x:c r="AA34" s="64"/>
      <x:c r="AB34" s="64"/>
      <x:c r="AC34" s="64"/>
      <x:c r="AD34" s="64"/>
      <x:c r="AE34" s="64"/>
      <x:c r="AF34" s="64"/>
      <x:c r="AG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  <x:c r="AA35" s="64"/>
      <x:c r="AB35" s="64"/>
      <x:c r="AC35" s="64"/>
      <x:c r="AD35" s="64"/>
      <x:c r="AE35" s="64"/>
      <x:c r="AF35" s="64"/>
      <x:c r="AG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  <x:c r="AA36" s="64"/>
      <x:c r="AB36" s="64"/>
      <x:c r="AC36" s="64"/>
      <x:c r="AD36" s="64"/>
      <x:c r="AE36" s="64"/>
      <x:c r="AF36" s="64"/>
      <x:c r="AG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  <x:c r="AA37" s="64"/>
      <x:c r="AB37" s="64"/>
      <x:c r="AC37" s="64"/>
      <x:c r="AD37" s="64"/>
      <x:c r="AE37" s="64"/>
      <x:c r="AF37" s="64"/>
      <x:c r="AG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  <x:c r="AA38" s="64"/>
      <x:c r="AB38" s="64"/>
      <x:c r="AC38" s="64"/>
      <x:c r="AD38" s="64"/>
      <x:c r="AE38" s="64"/>
      <x:c r="AF38" s="64"/>
      <x:c r="AG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  <x:c r="AA39" s="64"/>
      <x:c r="AB39" s="64"/>
      <x:c r="AC39" s="64"/>
      <x:c r="AD39" s="64"/>
      <x:c r="AE39" s="64"/>
      <x:c r="AF39" s="64"/>
      <x:c r="AG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  <x:c r="AA40" s="64"/>
      <x:c r="AB40" s="64"/>
      <x:c r="AC40" s="64"/>
      <x:c r="AD40" s="64"/>
      <x:c r="AE40" s="64"/>
      <x:c r="AF40" s="64"/>
      <x:c r="AG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  <x:c r="AA41" s="64"/>
      <x:c r="AB41" s="64"/>
      <x:c r="AC41" s="64"/>
      <x:c r="AD41" s="64"/>
      <x:c r="AE41" s="64"/>
      <x:c r="AF41" s="64"/>
      <x:c r="AG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  <x:c r="AA42" s="64"/>
      <x:c r="AB42" s="64"/>
      <x:c r="AC42" s="64"/>
      <x:c r="AD42" s="64"/>
      <x:c r="AE42" s="64"/>
      <x:c r="AF42" s="64"/>
      <x:c r="AG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  <x:c r="AA43" s="64"/>
      <x:c r="AB43" s="64"/>
      <x:c r="AC43" s="64"/>
      <x:c r="AD43" s="64"/>
      <x:c r="AE43" s="64"/>
      <x:c r="AF43" s="64"/>
      <x:c r="AG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  <x:c r="AA44" s="64"/>
      <x:c r="AB44" s="64"/>
      <x:c r="AC44" s="64"/>
      <x:c r="AD44" s="64"/>
      <x:c r="AE44" s="64"/>
      <x:c r="AF44" s="64"/>
      <x:c r="AG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  <x:c r="AA45" s="64"/>
      <x:c r="AB45" s="64"/>
      <x:c r="AC45" s="64"/>
      <x:c r="AD45" s="64"/>
      <x:c r="AE45" s="64"/>
      <x:c r="AF45" s="64"/>
      <x:c r="AG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  <x:c r="AA46" s="64"/>
      <x:c r="AB46" s="64"/>
      <x:c r="AC46" s="64"/>
      <x:c r="AD46" s="64"/>
      <x:c r="AE46" s="64"/>
      <x:c r="AF46" s="64"/>
      <x:c r="AG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  <x:c r="AA47" s="64"/>
      <x:c r="AB47" s="64"/>
      <x:c r="AC47" s="64"/>
      <x:c r="AD47" s="64"/>
      <x:c r="AE47" s="64"/>
      <x:c r="AF47" s="64"/>
      <x:c r="AG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  <x:c r="AA48" s="64"/>
      <x:c r="AB48" s="64"/>
      <x:c r="AC48" s="64"/>
      <x:c r="AD48" s="64"/>
      <x:c r="AE48" s="64"/>
      <x:c r="AF48" s="64"/>
      <x:c r="AG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  <x:c r="AA49" s="64"/>
      <x:c r="AB49" s="64"/>
      <x:c r="AC49" s="64"/>
      <x:c r="AD49" s="64"/>
      <x:c r="AE49" s="64"/>
      <x:c r="AF49" s="64"/>
      <x:c r="AG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  <x:c r="AA50" s="64"/>
      <x:c r="AB50" s="64"/>
      <x:c r="AC50" s="64"/>
      <x:c r="AD50" s="64"/>
      <x:c r="AE50" s="64"/>
      <x:c r="AF50" s="64"/>
      <x:c r="AG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  <x:c r="AA51" s="64"/>
      <x:c r="AB51" s="64"/>
      <x:c r="AC51" s="64"/>
      <x:c r="AD51" s="64"/>
      <x:c r="AE51" s="64"/>
      <x:c r="AF51" s="64"/>
      <x:c r="AG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  <x:c r="AA52" s="64"/>
      <x:c r="AB52" s="64"/>
      <x:c r="AC52" s="64"/>
      <x:c r="AD52" s="64"/>
      <x:c r="AE52" s="64"/>
      <x:c r="AF52" s="64"/>
      <x:c r="AG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  <x:c r="AA53" s="64"/>
      <x:c r="AB53" s="64"/>
      <x:c r="AC53" s="64"/>
      <x:c r="AD53" s="64"/>
      <x:c r="AE53" s="64"/>
      <x:c r="AF53" s="64"/>
      <x:c r="AG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  <x:c r="AA54" s="64"/>
      <x:c r="AB54" s="64"/>
      <x:c r="AC54" s="64"/>
      <x:c r="AD54" s="64"/>
      <x:c r="AE54" s="64"/>
      <x:c r="AF54" s="64"/>
      <x:c r="AG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  <x:c r="AA55" s="64"/>
      <x:c r="AB55" s="64"/>
      <x:c r="AC55" s="64"/>
      <x:c r="AD55" s="64"/>
      <x:c r="AE55" s="64"/>
      <x:c r="AF55" s="64"/>
      <x:c r="AG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  <x:c r="AA56" s="64"/>
      <x:c r="AB56" s="64"/>
      <x:c r="AC56" s="64"/>
      <x:c r="AD56" s="64"/>
      <x:c r="AE56" s="64"/>
      <x:c r="AF56" s="64"/>
      <x:c r="AG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  <x:c r="AA57" s="64"/>
      <x:c r="AB57" s="64"/>
      <x:c r="AC57" s="64"/>
      <x:c r="AD57" s="64"/>
      <x:c r="AE57" s="64"/>
      <x:c r="AF57" s="64"/>
      <x:c r="AG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  <x:c r="AA58" s="64"/>
      <x:c r="AB58" s="64"/>
      <x:c r="AC58" s="64"/>
      <x:c r="AD58" s="64"/>
      <x:c r="AE58" s="64"/>
      <x:c r="AF58" s="64"/>
      <x:c r="AG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  <x:c r="AA59" s="64"/>
      <x:c r="AB59" s="64"/>
      <x:c r="AC59" s="64"/>
      <x:c r="AD59" s="64"/>
      <x:c r="AE59" s="64"/>
      <x:c r="AF59" s="64"/>
      <x:c r="AG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  <x:c r="AA60" s="64"/>
      <x:c r="AB60" s="64"/>
      <x:c r="AC60" s="64"/>
      <x:c r="AD60" s="64"/>
      <x:c r="AE60" s="64"/>
      <x:c r="AF60" s="64"/>
      <x:c r="AG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  <x:c r="AA61" s="64"/>
      <x:c r="AB61" s="64"/>
      <x:c r="AC61" s="64"/>
      <x:c r="AD61" s="64"/>
      <x:c r="AE61" s="64"/>
      <x:c r="AF61" s="64"/>
      <x:c r="AG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  <x:c r="AA62" s="64"/>
      <x:c r="AB62" s="64"/>
      <x:c r="AC62" s="64"/>
      <x:c r="AD62" s="64"/>
      <x:c r="AE62" s="64"/>
      <x:c r="AF62" s="64"/>
      <x:c r="AG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  <x:c r="AA63" s="64"/>
      <x:c r="AB63" s="64"/>
      <x:c r="AC63" s="64"/>
      <x:c r="AD63" s="64"/>
      <x:c r="AE63" s="64"/>
      <x:c r="AF63" s="64"/>
      <x:c r="AG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  <x:c r="AA64" s="64"/>
      <x:c r="AB64" s="64"/>
      <x:c r="AC64" s="64"/>
      <x:c r="AD64" s="64"/>
      <x:c r="AE64" s="64"/>
      <x:c r="AF64" s="64"/>
      <x:c r="AG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  <x:c r="AA65" s="64"/>
      <x:c r="AB65" s="64"/>
      <x:c r="AC65" s="64"/>
      <x:c r="AD65" s="64"/>
      <x:c r="AE65" s="64"/>
      <x:c r="AF65" s="64"/>
      <x:c r="AG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  <x:c r="AA66" s="64"/>
      <x:c r="AB66" s="64"/>
      <x:c r="AC66" s="64"/>
      <x:c r="AD66" s="64"/>
      <x:c r="AE66" s="64"/>
      <x:c r="AF66" s="64"/>
      <x:c r="AG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  <x:c r="AA67" s="64"/>
      <x:c r="AB67" s="64"/>
      <x:c r="AC67" s="64"/>
      <x:c r="AD67" s="64"/>
      <x:c r="AE67" s="64"/>
      <x:c r="AF67" s="64"/>
      <x:c r="AG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  <x:c r="AA68" s="64"/>
      <x:c r="AB68" s="64"/>
      <x:c r="AC68" s="64"/>
      <x:c r="AD68" s="64"/>
      <x:c r="AE68" s="64"/>
      <x:c r="AF68" s="64"/>
      <x:c r="AG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  <x:c r="AA69" s="64"/>
      <x:c r="AB69" s="64"/>
      <x:c r="AC69" s="64"/>
      <x:c r="AD69" s="64"/>
      <x:c r="AE69" s="64"/>
      <x:c r="AF69" s="64"/>
      <x:c r="AG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  <x:c r="AA70" s="64"/>
      <x:c r="AB70" s="64"/>
      <x:c r="AC70" s="64"/>
      <x:c r="AD70" s="64"/>
      <x:c r="AE70" s="64"/>
      <x:c r="AF70" s="64"/>
      <x:c r="AG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  <x:c r="AA71" s="64"/>
      <x:c r="AB71" s="64"/>
      <x:c r="AC71" s="64"/>
      <x:c r="AD71" s="64"/>
      <x:c r="AE71" s="64"/>
      <x:c r="AF71" s="64"/>
      <x:c r="AG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  <x:c r="AA72" s="64"/>
      <x:c r="AB72" s="64"/>
      <x:c r="AC72" s="64"/>
      <x:c r="AD72" s="64"/>
      <x:c r="AE72" s="64"/>
      <x:c r="AF72" s="64"/>
      <x:c r="AG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  <x:c r="AA73" s="64"/>
      <x:c r="AB73" s="64"/>
      <x:c r="AC73" s="64"/>
      <x:c r="AD73" s="64"/>
      <x:c r="AE73" s="64"/>
      <x:c r="AF73" s="64"/>
      <x:c r="AG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  <x:c r="AA74" s="64"/>
      <x:c r="AB74" s="64"/>
      <x:c r="AC74" s="64"/>
      <x:c r="AD74" s="64"/>
      <x:c r="AE74" s="64"/>
      <x:c r="AF74" s="64"/>
      <x:c r="AG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  <x:c r="AA75" s="64"/>
      <x:c r="AB75" s="64"/>
      <x:c r="AC75" s="64"/>
      <x:c r="AD75" s="64"/>
      <x:c r="AE75" s="64"/>
      <x:c r="AF75" s="64"/>
      <x:c r="AG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  <x:c r="AA76" s="64"/>
      <x:c r="AB76" s="64"/>
      <x:c r="AC76" s="64"/>
      <x:c r="AD76" s="64"/>
      <x:c r="AE76" s="64"/>
      <x:c r="AF76" s="64"/>
      <x:c r="AG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  <x:c r="AA77" s="64"/>
      <x:c r="AB77" s="64"/>
      <x:c r="AC77" s="64"/>
      <x:c r="AD77" s="64"/>
      <x:c r="AE77" s="64"/>
      <x:c r="AF77" s="64"/>
      <x:c r="AG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  <x:c r="AA78" s="64"/>
      <x:c r="AB78" s="64"/>
      <x:c r="AC78" s="64"/>
      <x:c r="AD78" s="64"/>
      <x:c r="AE78" s="64"/>
      <x:c r="AF78" s="64"/>
      <x:c r="AG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  <x:c r="AA79" s="64"/>
      <x:c r="AB79" s="64"/>
      <x:c r="AC79" s="64"/>
      <x:c r="AD79" s="64"/>
      <x:c r="AE79" s="64"/>
      <x:c r="AF79" s="64"/>
      <x:c r="AG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  <x:c r="AA80" s="64"/>
      <x:c r="AB80" s="64"/>
      <x:c r="AC80" s="64"/>
      <x:c r="AD80" s="64"/>
      <x:c r="AE80" s="64"/>
      <x:c r="AF80" s="64"/>
      <x:c r="AG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  <x:c r="AA81" s="64"/>
      <x:c r="AB81" s="64"/>
      <x:c r="AC81" s="64"/>
      <x:c r="AD81" s="64"/>
      <x:c r="AE81" s="64"/>
      <x:c r="AF81" s="64"/>
      <x:c r="AG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  <x:c r="AA82" s="64"/>
      <x:c r="AB82" s="64"/>
      <x:c r="AC82" s="64"/>
      <x:c r="AD82" s="64"/>
      <x:c r="AE82" s="64"/>
      <x:c r="AF82" s="64"/>
      <x:c r="AG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  <x:c r="AA83" s="64"/>
      <x:c r="AB83" s="64"/>
      <x:c r="AC83" s="64"/>
      <x:c r="AD83" s="64"/>
      <x:c r="AE83" s="64"/>
      <x:c r="AF83" s="64"/>
      <x:c r="AG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  <x:c r="AA84" s="64"/>
      <x:c r="AB84" s="64"/>
      <x:c r="AC84" s="64"/>
      <x:c r="AD84" s="64"/>
      <x:c r="AE84" s="64"/>
      <x:c r="AF84" s="64"/>
      <x:c r="AG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  <x:c r="AA85" s="64"/>
      <x:c r="AB85" s="64"/>
      <x:c r="AC85" s="64"/>
      <x:c r="AD85" s="64"/>
      <x:c r="AE85" s="64"/>
      <x:c r="AF85" s="64"/>
      <x:c r="AG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  <x:c r="AA86" s="64"/>
      <x:c r="AB86" s="64"/>
      <x:c r="AC86" s="64"/>
      <x:c r="AD86" s="64"/>
      <x:c r="AE86" s="64"/>
      <x:c r="AF86" s="64"/>
      <x:c r="AG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  <x:c r="AA87" s="64"/>
      <x:c r="AB87" s="64"/>
      <x:c r="AC87" s="64"/>
      <x:c r="AD87" s="64"/>
      <x:c r="AE87" s="64"/>
      <x:c r="AF87" s="64"/>
      <x:c r="AG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  <x:c r="AA88" s="64"/>
      <x:c r="AB88" s="64"/>
      <x:c r="AC88" s="64"/>
      <x:c r="AD88" s="64"/>
      <x:c r="AE88" s="64"/>
      <x:c r="AF88" s="64"/>
      <x:c r="AG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  <x:c r="AA89" s="64"/>
      <x:c r="AB89" s="64"/>
      <x:c r="AC89" s="64"/>
      <x:c r="AD89" s="64"/>
      <x:c r="AE89" s="64"/>
      <x:c r="AF89" s="64"/>
      <x:c r="AG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  <x:c r="AA90" s="64"/>
      <x:c r="AB90" s="64"/>
      <x:c r="AC90" s="64"/>
      <x:c r="AD90" s="64"/>
      <x:c r="AE90" s="64"/>
      <x:c r="AF90" s="64"/>
      <x:c r="AG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  <x:c r="AA91" s="64"/>
      <x:c r="AB91" s="64"/>
      <x:c r="AC91" s="64"/>
      <x:c r="AD91" s="64"/>
      <x:c r="AE91" s="64"/>
      <x:c r="AF91" s="64"/>
      <x:c r="AG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  <x:c r="AA92" s="64"/>
      <x:c r="AB92" s="64"/>
      <x:c r="AC92" s="64"/>
      <x:c r="AD92" s="64"/>
      <x:c r="AE92" s="64"/>
      <x:c r="AF92" s="64"/>
      <x:c r="AG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  <x:c r="AA93" s="64"/>
      <x:c r="AB93" s="64"/>
      <x:c r="AC93" s="64"/>
      <x:c r="AD93" s="64"/>
      <x:c r="AE93" s="64"/>
      <x:c r="AF93" s="64"/>
      <x:c r="AG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  <x:c r="AA94" s="64"/>
      <x:c r="AB94" s="64"/>
      <x:c r="AC94" s="64"/>
      <x:c r="AD94" s="64"/>
      <x:c r="AE94" s="64"/>
      <x:c r="AF94" s="64"/>
      <x:c r="AG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  <x:c r="AA95" s="64"/>
      <x:c r="AB95" s="64"/>
      <x:c r="AC95" s="64"/>
      <x:c r="AD95" s="64"/>
      <x:c r="AE95" s="64"/>
      <x:c r="AF95" s="64"/>
      <x:c r="AG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  <x:c r="AA96" s="64"/>
      <x:c r="AB96" s="64"/>
      <x:c r="AC96" s="64"/>
      <x:c r="AD96" s="64"/>
      <x:c r="AE96" s="64"/>
      <x:c r="AF96" s="64"/>
      <x:c r="AG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  <x:c r="AA97" s="64"/>
      <x:c r="AB97" s="64"/>
      <x:c r="AC97" s="64"/>
      <x:c r="AD97" s="64"/>
      <x:c r="AE97" s="64"/>
      <x:c r="AF97" s="64"/>
      <x:c r="AG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  <x:c r="AA98" s="64"/>
      <x:c r="AB98" s="64"/>
      <x:c r="AC98" s="64"/>
      <x:c r="AD98" s="64"/>
      <x:c r="AE98" s="64"/>
      <x:c r="AF98" s="64"/>
      <x:c r="AG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  <x:c r="AA99" s="64"/>
      <x:c r="AB99" s="64"/>
      <x:c r="AC99" s="64"/>
      <x:c r="AD99" s="64"/>
      <x:c r="AE99" s="64"/>
      <x:c r="AF99" s="64"/>
      <x:c r="AG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  <x:c r="AA100" s="64"/>
      <x:c r="AB100" s="64"/>
      <x:c r="AC100" s="64"/>
      <x:c r="AD100" s="64"/>
      <x:c r="AE100" s="64"/>
      <x:c r="AF100" s="64"/>
      <x:c r="AG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  <x:c r="AA101" s="64"/>
      <x:c r="AB101" s="64"/>
      <x:c r="AC101" s="64"/>
      <x:c r="AD101" s="64"/>
      <x:c r="AE101" s="64"/>
      <x:c r="AF101" s="64"/>
      <x:c r="AG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  <x:c r="AA102" s="64"/>
      <x:c r="AB102" s="64"/>
      <x:c r="AC102" s="64"/>
      <x:c r="AD102" s="64"/>
      <x:c r="AE102" s="64"/>
      <x:c r="AF102" s="64"/>
      <x:c r="AG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  <x:c r="AA103" s="64"/>
      <x:c r="AB103" s="64"/>
      <x:c r="AC103" s="64"/>
      <x:c r="AD103" s="64"/>
      <x:c r="AE103" s="64"/>
      <x:c r="AF103" s="64"/>
      <x:c r="AG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  <x:c r="AA104" s="64"/>
      <x:c r="AB104" s="64"/>
      <x:c r="AC104" s="64"/>
      <x:c r="AD104" s="64"/>
      <x:c r="AE104" s="64"/>
      <x:c r="AF104" s="64"/>
      <x:c r="AG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  <x:c r="AA105" s="64"/>
      <x:c r="AB105" s="64"/>
      <x:c r="AC105" s="64"/>
      <x:c r="AD105" s="64"/>
      <x:c r="AE105" s="64"/>
      <x:c r="AF105" s="64"/>
      <x:c r="AG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  <x:c r="AA106" s="64"/>
      <x:c r="AB106" s="64"/>
      <x:c r="AC106" s="64"/>
      <x:c r="AD106" s="64"/>
      <x:c r="AE106" s="64"/>
      <x:c r="AF106" s="64"/>
      <x:c r="AG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  <x:c r="AA107" s="64"/>
      <x:c r="AB107" s="64"/>
      <x:c r="AC107" s="64"/>
      <x:c r="AD107" s="64"/>
      <x:c r="AE107" s="64"/>
      <x:c r="AF107" s="64"/>
      <x:c r="AG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  <x:c r="AA108" s="64"/>
      <x:c r="AB108" s="64"/>
      <x:c r="AC108" s="64"/>
      <x:c r="AD108" s="64"/>
      <x:c r="AE108" s="64"/>
      <x:c r="AF108" s="64"/>
      <x:c r="AG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  <x:c r="AA109" s="64"/>
      <x:c r="AB109" s="64"/>
      <x:c r="AC109" s="64"/>
      <x:c r="AD109" s="64"/>
      <x:c r="AE109" s="64"/>
      <x:c r="AF109" s="64"/>
      <x:c r="AG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  <x:c r="AA110" s="64"/>
      <x:c r="AB110" s="64"/>
      <x:c r="AC110" s="64"/>
      <x:c r="AD110" s="64"/>
      <x:c r="AE110" s="64"/>
      <x:c r="AF110" s="64"/>
      <x:c r="AG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  <x:c r="AA111" s="64"/>
      <x:c r="AB111" s="64"/>
      <x:c r="AC111" s="64"/>
      <x:c r="AD111" s="64"/>
      <x:c r="AE111" s="64"/>
      <x:c r="AF111" s="64"/>
      <x:c r="AG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  <x:c r="AA112" s="64"/>
      <x:c r="AB112" s="64"/>
      <x:c r="AC112" s="64"/>
      <x:c r="AD112" s="64"/>
      <x:c r="AE112" s="64"/>
      <x:c r="AF112" s="64"/>
      <x:c r="AG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  <x:c r="AA113" s="64"/>
      <x:c r="AB113" s="64"/>
      <x:c r="AC113" s="64"/>
      <x:c r="AD113" s="64"/>
      <x:c r="AE113" s="64"/>
      <x:c r="AF113" s="64"/>
      <x:c r="AG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  <x:c r="AA114" s="64"/>
      <x:c r="AB114" s="64"/>
      <x:c r="AC114" s="64"/>
      <x:c r="AD114" s="64"/>
      <x:c r="AE114" s="64"/>
      <x:c r="AF114" s="64"/>
      <x:c r="AG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  <x:c r="AA115" s="64"/>
      <x:c r="AB115" s="64"/>
      <x:c r="AC115" s="64"/>
      <x:c r="AD115" s="64"/>
      <x:c r="AE115" s="64"/>
      <x:c r="AF115" s="64"/>
      <x:c r="AG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  <x:c r="AA116" s="64"/>
      <x:c r="AB116" s="64"/>
      <x:c r="AC116" s="64"/>
      <x:c r="AD116" s="64"/>
      <x:c r="AE116" s="64"/>
      <x:c r="AF116" s="64"/>
      <x:c r="AG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  <x:c r="AA117" s="64"/>
      <x:c r="AB117" s="64"/>
      <x:c r="AC117" s="64"/>
      <x:c r="AD117" s="64"/>
      <x:c r="AE117" s="64"/>
      <x:c r="AF117" s="64"/>
      <x:c r="AG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  <x:c r="AA118" s="64"/>
      <x:c r="AB118" s="64"/>
      <x:c r="AC118" s="64"/>
      <x:c r="AD118" s="64"/>
      <x:c r="AE118" s="64"/>
      <x:c r="AF118" s="64"/>
      <x:c r="AG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  <x:c r="AA119" s="64"/>
      <x:c r="AB119" s="64"/>
      <x:c r="AC119" s="64"/>
      <x:c r="AD119" s="64"/>
      <x:c r="AE119" s="64"/>
      <x:c r="AF119" s="64"/>
      <x:c r="AG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  <x:c r="AA120" s="64"/>
      <x:c r="AB120" s="64"/>
      <x:c r="AC120" s="64"/>
      <x:c r="AD120" s="64"/>
      <x:c r="AE120" s="64"/>
      <x:c r="AF120" s="64"/>
      <x:c r="AG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  <x:c r="AA121" s="64"/>
      <x:c r="AB121" s="64"/>
      <x:c r="AC121" s="64"/>
      <x:c r="AD121" s="64"/>
      <x:c r="AE121" s="64"/>
      <x:c r="AF121" s="64"/>
      <x:c r="AG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  <x:c r="AA122" s="64"/>
      <x:c r="AB122" s="64"/>
      <x:c r="AC122" s="64"/>
      <x:c r="AD122" s="64"/>
      <x:c r="AE122" s="64"/>
      <x:c r="AF122" s="64"/>
      <x:c r="AG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  <x:c r="AA123" s="64"/>
      <x:c r="AB123" s="64"/>
      <x:c r="AC123" s="64"/>
      <x:c r="AD123" s="64"/>
      <x:c r="AE123" s="64"/>
      <x:c r="AF123" s="64"/>
      <x:c r="AG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  <x:c r="AA124" s="64"/>
      <x:c r="AB124" s="64"/>
      <x:c r="AC124" s="64"/>
      <x:c r="AD124" s="64"/>
      <x:c r="AE124" s="64"/>
      <x:c r="AF124" s="64"/>
      <x:c r="AG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  <x:c r="AA125" s="64"/>
      <x:c r="AB125" s="64"/>
      <x:c r="AC125" s="64"/>
      <x:c r="AD125" s="64"/>
      <x:c r="AE125" s="64"/>
      <x:c r="AF125" s="64"/>
      <x:c r="AG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  <x:c r="AA126" s="64"/>
      <x:c r="AB126" s="64"/>
      <x:c r="AC126" s="64"/>
      <x:c r="AD126" s="64"/>
      <x:c r="AE126" s="64"/>
      <x:c r="AF126" s="64"/>
      <x:c r="AG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  <x:c r="AA127" s="64"/>
      <x:c r="AB127" s="64"/>
      <x:c r="AC127" s="64"/>
      <x:c r="AD127" s="64"/>
      <x:c r="AE127" s="64"/>
      <x:c r="AF127" s="64"/>
      <x:c r="AG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  <x:c r="AA128" s="64"/>
      <x:c r="AB128" s="64"/>
      <x:c r="AC128" s="64"/>
      <x:c r="AD128" s="64"/>
      <x:c r="AE128" s="64"/>
      <x:c r="AF128" s="64"/>
      <x:c r="AG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  <x:c r="AA129" s="64"/>
      <x:c r="AB129" s="64"/>
      <x:c r="AC129" s="64"/>
      <x:c r="AD129" s="64"/>
      <x:c r="AE129" s="64"/>
      <x:c r="AF129" s="64"/>
      <x:c r="AG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  <x:c r="AA130" s="64"/>
      <x:c r="AB130" s="64"/>
      <x:c r="AC130" s="64"/>
      <x:c r="AD130" s="64"/>
      <x:c r="AE130" s="64"/>
      <x:c r="AF130" s="64"/>
      <x:c r="AG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  <x:c r="AA131" s="64"/>
      <x:c r="AB131" s="64"/>
      <x:c r="AC131" s="64"/>
      <x:c r="AD131" s="64"/>
      <x:c r="AE131" s="64"/>
      <x:c r="AF131" s="64"/>
      <x:c r="AG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  <x:c r="AA132" s="64"/>
      <x:c r="AB132" s="64"/>
      <x:c r="AC132" s="64"/>
      <x:c r="AD132" s="64"/>
      <x:c r="AE132" s="64"/>
      <x:c r="AF132" s="64"/>
      <x:c r="AG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  <x:c r="AA133" s="64"/>
      <x:c r="AB133" s="64"/>
      <x:c r="AC133" s="64"/>
      <x:c r="AD133" s="64"/>
      <x:c r="AE133" s="64"/>
      <x:c r="AF133" s="64"/>
      <x:c r="AG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  <x:c r="AA134" s="64"/>
      <x:c r="AB134" s="64"/>
      <x:c r="AC134" s="64"/>
      <x:c r="AD134" s="64"/>
      <x:c r="AE134" s="64"/>
      <x:c r="AF134" s="64"/>
      <x:c r="AG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  <x:c r="AA135" s="64"/>
      <x:c r="AB135" s="64"/>
      <x:c r="AC135" s="64"/>
      <x:c r="AD135" s="64"/>
      <x:c r="AE135" s="64"/>
      <x:c r="AF135" s="64"/>
      <x:c r="AG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  <x:c r="AA136" s="64"/>
      <x:c r="AB136" s="64"/>
      <x:c r="AC136" s="64"/>
      <x:c r="AD136" s="64"/>
      <x:c r="AE136" s="64"/>
      <x:c r="AF136" s="64"/>
      <x:c r="AG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  <x:c r="AA137" s="64"/>
      <x:c r="AB137" s="64"/>
      <x:c r="AC137" s="64"/>
      <x:c r="AD137" s="64"/>
      <x:c r="AE137" s="64"/>
      <x:c r="AF137" s="64"/>
      <x:c r="AG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  <x:c r="AA138" s="64"/>
      <x:c r="AB138" s="64"/>
      <x:c r="AC138" s="64"/>
      <x:c r="AD138" s="64"/>
      <x:c r="AE138" s="64"/>
      <x:c r="AF138" s="64"/>
      <x:c r="AG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  <x:c r="AA139" s="64"/>
      <x:c r="AB139" s="64"/>
      <x:c r="AC139" s="64"/>
      <x:c r="AD139" s="64"/>
      <x:c r="AE139" s="64"/>
      <x:c r="AF139" s="64"/>
      <x:c r="AG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  <x:c r="AA140" s="64"/>
      <x:c r="AB140" s="64"/>
      <x:c r="AC140" s="64"/>
      <x:c r="AD140" s="64"/>
      <x:c r="AE140" s="64"/>
      <x:c r="AF140" s="64"/>
      <x:c r="AG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  <x:c r="AA141" s="64"/>
      <x:c r="AB141" s="64"/>
      <x:c r="AC141" s="64"/>
      <x:c r="AD141" s="64"/>
      <x:c r="AE141" s="64"/>
      <x:c r="AF141" s="64"/>
      <x:c r="AG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  <x:c r="AA142" s="64"/>
      <x:c r="AB142" s="64"/>
      <x:c r="AC142" s="64"/>
      <x:c r="AD142" s="64"/>
      <x:c r="AE142" s="64"/>
      <x:c r="AF142" s="64"/>
      <x:c r="AG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  <x:c r="AA143" s="64"/>
      <x:c r="AB143" s="64"/>
      <x:c r="AC143" s="64"/>
      <x:c r="AD143" s="64"/>
      <x:c r="AE143" s="64"/>
      <x:c r="AF143" s="64"/>
      <x:c r="AG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  <x:c r="AA144" s="64"/>
      <x:c r="AB144" s="64"/>
      <x:c r="AC144" s="64"/>
      <x:c r="AD144" s="64"/>
      <x:c r="AE144" s="64"/>
      <x:c r="AF144" s="64"/>
      <x:c r="AG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  <x:c r="AA145" s="64"/>
      <x:c r="AB145" s="64"/>
      <x:c r="AC145" s="64"/>
      <x:c r="AD145" s="64"/>
      <x:c r="AE145" s="64"/>
      <x:c r="AF145" s="64"/>
      <x:c r="AG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  <x:c r="AA146" s="64"/>
      <x:c r="AB146" s="64"/>
      <x:c r="AC146" s="64"/>
      <x:c r="AD146" s="64"/>
      <x:c r="AE146" s="64"/>
      <x:c r="AF146" s="64"/>
      <x:c r="AG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  <x:c r="AA147" s="64"/>
      <x:c r="AB147" s="64"/>
      <x:c r="AC147" s="64"/>
      <x:c r="AD147" s="64"/>
      <x:c r="AE147" s="64"/>
      <x:c r="AF147" s="64"/>
      <x:c r="AG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  <x:c r="AA148" s="64"/>
      <x:c r="AB148" s="64"/>
      <x:c r="AC148" s="64"/>
      <x:c r="AD148" s="64"/>
      <x:c r="AE148" s="64"/>
      <x:c r="AF148" s="64"/>
      <x:c r="AG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  <x:c r="AA149" s="64"/>
      <x:c r="AB149" s="64"/>
      <x:c r="AC149" s="64"/>
      <x:c r="AD149" s="64"/>
      <x:c r="AE149" s="64"/>
      <x:c r="AF149" s="64"/>
      <x:c r="AG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  <x:c r="AA150" s="64"/>
      <x:c r="AB150" s="64"/>
      <x:c r="AC150" s="64"/>
      <x:c r="AD150" s="64"/>
      <x:c r="AE150" s="64"/>
      <x:c r="AF150" s="64"/>
      <x:c r="AG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  <x:c r="AA151" s="64"/>
      <x:c r="AB151" s="64"/>
      <x:c r="AC151" s="64"/>
      <x:c r="AD151" s="64"/>
      <x:c r="AE151" s="64"/>
      <x:c r="AF151" s="64"/>
      <x:c r="AG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  <x:c r="AA152" s="64"/>
      <x:c r="AB152" s="64"/>
      <x:c r="AC152" s="64"/>
      <x:c r="AD152" s="64"/>
      <x:c r="AE152" s="64"/>
      <x:c r="AF152" s="64"/>
      <x:c r="AG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  <x:c r="AA153" s="64"/>
      <x:c r="AB153" s="64"/>
      <x:c r="AC153" s="64"/>
      <x:c r="AD153" s="64"/>
      <x:c r="AE153" s="64"/>
      <x:c r="AF153" s="64"/>
      <x:c r="AG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  <x:c r="AA154" s="64"/>
      <x:c r="AB154" s="64"/>
      <x:c r="AC154" s="64"/>
      <x:c r="AD154" s="64"/>
      <x:c r="AE154" s="64"/>
      <x:c r="AF154" s="64"/>
      <x:c r="AG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  <x:c r="AA155" s="64"/>
      <x:c r="AB155" s="64"/>
      <x:c r="AC155" s="64"/>
      <x:c r="AD155" s="64"/>
      <x:c r="AE155" s="64"/>
      <x:c r="AF155" s="64"/>
      <x:c r="AG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  <x:c r="AA156" s="64"/>
      <x:c r="AB156" s="64"/>
      <x:c r="AC156" s="64"/>
      <x:c r="AD156" s="64"/>
      <x:c r="AE156" s="64"/>
      <x:c r="AF156" s="64"/>
      <x:c r="AG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  <x:c r="AA157" s="64"/>
      <x:c r="AB157" s="64"/>
      <x:c r="AC157" s="64"/>
      <x:c r="AD157" s="64"/>
      <x:c r="AE157" s="64"/>
      <x:c r="AF157" s="64"/>
      <x:c r="AG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  <x:c r="AA158" s="64"/>
      <x:c r="AB158" s="64"/>
      <x:c r="AC158" s="64"/>
      <x:c r="AD158" s="64"/>
      <x:c r="AE158" s="64"/>
      <x:c r="AF158" s="64"/>
      <x:c r="AG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  <x:c r="AA159" s="64"/>
      <x:c r="AB159" s="64"/>
      <x:c r="AC159" s="64"/>
      <x:c r="AD159" s="64"/>
      <x:c r="AE159" s="64"/>
      <x:c r="AF159" s="64"/>
      <x:c r="AG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  <x:c r="AA160" s="64"/>
      <x:c r="AB160" s="64"/>
      <x:c r="AC160" s="64"/>
      <x:c r="AD160" s="64"/>
      <x:c r="AE160" s="64"/>
      <x:c r="AF160" s="64"/>
      <x:c r="AG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  <x:c r="AA161" s="64"/>
      <x:c r="AB161" s="64"/>
      <x:c r="AC161" s="64"/>
      <x:c r="AD161" s="64"/>
      <x:c r="AE161" s="64"/>
      <x:c r="AF161" s="64"/>
      <x:c r="AG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  <x:c r="AA162" s="64"/>
      <x:c r="AB162" s="64"/>
      <x:c r="AC162" s="64"/>
      <x:c r="AD162" s="64"/>
      <x:c r="AE162" s="64"/>
      <x:c r="AF162" s="64"/>
      <x:c r="AG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  <x:c r="AA163" s="64"/>
      <x:c r="AB163" s="64"/>
      <x:c r="AC163" s="64"/>
      <x:c r="AD163" s="64"/>
      <x:c r="AE163" s="64"/>
      <x:c r="AF163" s="64"/>
      <x:c r="AG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  <x:c r="AA164" s="64"/>
      <x:c r="AB164" s="64"/>
      <x:c r="AC164" s="64"/>
      <x:c r="AD164" s="64"/>
      <x:c r="AE164" s="64"/>
      <x:c r="AF164" s="64"/>
      <x:c r="AG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  <x:c r="AA165" s="64"/>
      <x:c r="AB165" s="64"/>
      <x:c r="AC165" s="64"/>
      <x:c r="AD165" s="64"/>
      <x:c r="AE165" s="64"/>
      <x:c r="AF165" s="64"/>
      <x:c r="AG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  <x:c r="AA166" s="64"/>
      <x:c r="AB166" s="64"/>
      <x:c r="AC166" s="64"/>
      <x:c r="AD166" s="64"/>
      <x:c r="AE166" s="64"/>
      <x:c r="AF166" s="64"/>
      <x:c r="AG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  <x:c r="AA167" s="64"/>
      <x:c r="AB167" s="64"/>
      <x:c r="AC167" s="64"/>
      <x:c r="AD167" s="64"/>
      <x:c r="AE167" s="64"/>
      <x:c r="AF167" s="64"/>
      <x:c r="AG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  <x:c r="AA168" s="64"/>
      <x:c r="AB168" s="64"/>
      <x:c r="AC168" s="64"/>
      <x:c r="AD168" s="64"/>
      <x:c r="AE168" s="64"/>
      <x:c r="AF168" s="64"/>
      <x:c r="AG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  <x:c r="AA169" s="64"/>
      <x:c r="AB169" s="64"/>
      <x:c r="AC169" s="64"/>
      <x:c r="AD169" s="64"/>
      <x:c r="AE169" s="64"/>
      <x:c r="AF169" s="64"/>
      <x:c r="AG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  <x:c r="AA170" s="64"/>
      <x:c r="AB170" s="64"/>
      <x:c r="AC170" s="64"/>
      <x:c r="AD170" s="64"/>
      <x:c r="AE170" s="64"/>
      <x:c r="AF170" s="64"/>
      <x:c r="AG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  <x:c r="AA171" s="64"/>
      <x:c r="AB171" s="64"/>
      <x:c r="AC171" s="64"/>
      <x:c r="AD171" s="64"/>
      <x:c r="AE171" s="64"/>
      <x:c r="AF171" s="64"/>
      <x:c r="AG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  <x:c r="AA172" s="64"/>
      <x:c r="AB172" s="64"/>
      <x:c r="AC172" s="64"/>
      <x:c r="AD172" s="64"/>
      <x:c r="AE172" s="64"/>
      <x:c r="AF172" s="64"/>
      <x:c r="AG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  <x:c r="AA173" s="64"/>
      <x:c r="AB173" s="64"/>
      <x:c r="AC173" s="64"/>
      <x:c r="AD173" s="64"/>
      <x:c r="AE173" s="64"/>
      <x:c r="AF173" s="64"/>
      <x:c r="AG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  <x:c r="AA174" s="64"/>
      <x:c r="AB174" s="64"/>
      <x:c r="AC174" s="64"/>
      <x:c r="AD174" s="64"/>
      <x:c r="AE174" s="64"/>
      <x:c r="AF174" s="64"/>
      <x:c r="AG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  <x:c r="AA175" s="64"/>
      <x:c r="AB175" s="64"/>
      <x:c r="AC175" s="64"/>
      <x:c r="AD175" s="64"/>
      <x:c r="AE175" s="64"/>
      <x:c r="AF175" s="64"/>
      <x:c r="AG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  <x:c r="AA176" s="64"/>
      <x:c r="AB176" s="64"/>
      <x:c r="AC176" s="64"/>
      <x:c r="AD176" s="64"/>
      <x:c r="AE176" s="64"/>
      <x:c r="AF176" s="64"/>
      <x:c r="AG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  <x:c r="AA177" s="64"/>
      <x:c r="AB177" s="64"/>
      <x:c r="AC177" s="64"/>
      <x:c r="AD177" s="64"/>
      <x:c r="AE177" s="64"/>
      <x:c r="AF177" s="64"/>
      <x:c r="AG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  <x:c r="AA178" s="64"/>
      <x:c r="AB178" s="64"/>
      <x:c r="AC178" s="64"/>
      <x:c r="AD178" s="64"/>
      <x:c r="AE178" s="64"/>
      <x:c r="AF178" s="64"/>
      <x:c r="AG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  <x:c r="AA179" s="64"/>
      <x:c r="AB179" s="64"/>
      <x:c r="AC179" s="64"/>
      <x:c r="AD179" s="64"/>
      <x:c r="AE179" s="64"/>
      <x:c r="AF179" s="64"/>
      <x:c r="AG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  <x:c r="AA180" s="64"/>
      <x:c r="AB180" s="64"/>
      <x:c r="AC180" s="64"/>
      <x:c r="AD180" s="64"/>
      <x:c r="AE180" s="64"/>
      <x:c r="AF180" s="64"/>
      <x:c r="AG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  <x:c r="AA181" s="64"/>
      <x:c r="AB181" s="64"/>
      <x:c r="AC181" s="64"/>
      <x:c r="AD181" s="64"/>
      <x:c r="AE181" s="64"/>
      <x:c r="AF181" s="64"/>
      <x:c r="AG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  <x:c r="AA182" s="64"/>
      <x:c r="AB182" s="64"/>
      <x:c r="AC182" s="64"/>
      <x:c r="AD182" s="64"/>
      <x:c r="AE182" s="64"/>
      <x:c r="AF182" s="64"/>
      <x:c r="AG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  <x:c r="AA183" s="64"/>
      <x:c r="AB183" s="64"/>
      <x:c r="AC183" s="64"/>
      <x:c r="AD183" s="64"/>
      <x:c r="AE183" s="64"/>
      <x:c r="AF183" s="64"/>
      <x:c r="AG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  <x:c r="AA184" s="64"/>
      <x:c r="AB184" s="64"/>
      <x:c r="AC184" s="64"/>
      <x:c r="AD184" s="64"/>
      <x:c r="AE184" s="64"/>
      <x:c r="AF184" s="64"/>
      <x:c r="AG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  <x:c r="AA185" s="64"/>
      <x:c r="AB185" s="64"/>
      <x:c r="AC185" s="64"/>
      <x:c r="AD185" s="64"/>
      <x:c r="AE185" s="64"/>
      <x:c r="AF185" s="64"/>
      <x:c r="AG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  <x:c r="AA186" s="64"/>
      <x:c r="AB186" s="64"/>
      <x:c r="AC186" s="64"/>
      <x:c r="AD186" s="64"/>
      <x:c r="AE186" s="64"/>
      <x:c r="AF186" s="64"/>
      <x:c r="AG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  <x:c r="AA187" s="64"/>
      <x:c r="AB187" s="64"/>
      <x:c r="AC187" s="64"/>
      <x:c r="AD187" s="64"/>
      <x:c r="AE187" s="64"/>
      <x:c r="AF187" s="64"/>
      <x:c r="AG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  <x:c r="AA188" s="64"/>
      <x:c r="AB188" s="64"/>
      <x:c r="AC188" s="64"/>
      <x:c r="AD188" s="64"/>
      <x:c r="AE188" s="64"/>
      <x:c r="AF188" s="64"/>
      <x:c r="AG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  <x:c r="AA189" s="64"/>
      <x:c r="AB189" s="64"/>
      <x:c r="AC189" s="64"/>
      <x:c r="AD189" s="64"/>
      <x:c r="AE189" s="64"/>
      <x:c r="AF189" s="64"/>
      <x:c r="AG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  <x:c r="AA190" s="64"/>
      <x:c r="AB190" s="64"/>
      <x:c r="AC190" s="64"/>
      <x:c r="AD190" s="64"/>
      <x:c r="AE190" s="64"/>
      <x:c r="AF190" s="64"/>
      <x:c r="AG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  <x:c r="AA191" s="64"/>
      <x:c r="AB191" s="64"/>
      <x:c r="AC191" s="64"/>
      <x:c r="AD191" s="64"/>
      <x:c r="AE191" s="64"/>
      <x:c r="AF191" s="64"/>
      <x:c r="AG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  <x:c r="AA192" s="64"/>
      <x:c r="AB192" s="64"/>
      <x:c r="AC192" s="64"/>
      <x:c r="AD192" s="64"/>
      <x:c r="AE192" s="64"/>
      <x:c r="AF192" s="64"/>
      <x:c r="AG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  <x:c r="AA193" s="64"/>
      <x:c r="AB193" s="64"/>
      <x:c r="AC193" s="64"/>
      <x:c r="AD193" s="64"/>
      <x:c r="AE193" s="64"/>
      <x:c r="AF193" s="64"/>
      <x:c r="AG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  <x:c r="AA194" s="64"/>
      <x:c r="AB194" s="64"/>
      <x:c r="AC194" s="64"/>
      <x:c r="AD194" s="64"/>
      <x:c r="AE194" s="64"/>
      <x:c r="AF194" s="64"/>
      <x:c r="AG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  <x:c r="AA195" s="64"/>
      <x:c r="AB195" s="64"/>
      <x:c r="AC195" s="64"/>
      <x:c r="AD195" s="64"/>
      <x:c r="AE195" s="64"/>
      <x:c r="AF195" s="64"/>
      <x:c r="AG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  <x:c r="AA196" s="64"/>
      <x:c r="AB196" s="64"/>
      <x:c r="AC196" s="64"/>
      <x:c r="AD196" s="64"/>
      <x:c r="AE196" s="64"/>
      <x:c r="AF196" s="64"/>
      <x:c r="AG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  <x:c r="AA197" s="64"/>
      <x:c r="AB197" s="64"/>
      <x:c r="AC197" s="64"/>
      <x:c r="AD197" s="64"/>
      <x:c r="AE197" s="64"/>
      <x:c r="AF197" s="64"/>
      <x:c r="AG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  <x:c r="AA198" s="64"/>
      <x:c r="AB198" s="64"/>
      <x:c r="AC198" s="64"/>
      <x:c r="AD198" s="64"/>
      <x:c r="AE198" s="64"/>
      <x:c r="AF198" s="64"/>
      <x:c r="AG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  <x:c r="AA199" s="64"/>
      <x:c r="AB199" s="64"/>
      <x:c r="AC199" s="64"/>
      <x:c r="AD199" s="64"/>
      <x:c r="AE199" s="64"/>
      <x:c r="AF199" s="64"/>
      <x:c r="AG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  <x:c r="AA200" s="64"/>
      <x:c r="AB200" s="64"/>
      <x:c r="AC200" s="64"/>
      <x:c r="AD200" s="64"/>
      <x:c r="AE200" s="64"/>
      <x:c r="AF200" s="64"/>
      <x:c r="AG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  <x:c r="R201" s="64"/>
      <x:c r="S201" s="64"/>
      <x:c r="T201" s="64"/>
      <x:c r="U201" s="64"/>
      <x:c r="V201" s="64"/>
      <x:c r="W201" s="64"/>
      <x:c r="X201" s="64"/>
      <x:c r="Y201" s="64"/>
      <x:c r="Z201" s="64"/>
      <x:c r="AA201" s="64"/>
      <x:c r="AB201" s="64"/>
      <x:c r="AC201" s="64"/>
      <x:c r="AD201" s="64"/>
      <x:c r="AE201" s="64"/>
      <x:c r="AF201" s="64"/>
      <x:c r="AG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  <x:c r="R202" s="64"/>
      <x:c r="S202" s="64"/>
      <x:c r="T202" s="64"/>
      <x:c r="U202" s="64"/>
      <x:c r="V202" s="64"/>
      <x:c r="W202" s="64"/>
      <x:c r="X202" s="64"/>
      <x:c r="Y202" s="64"/>
      <x:c r="Z202" s="64"/>
      <x:c r="AA202" s="64"/>
      <x:c r="AB202" s="64"/>
      <x:c r="AC202" s="64"/>
      <x:c r="AD202" s="64"/>
      <x:c r="AE202" s="64"/>
      <x:c r="AF202" s="64"/>
      <x:c r="AG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  <x:c r="R203" s="64"/>
      <x:c r="S203" s="64"/>
      <x:c r="T203" s="64"/>
      <x:c r="U203" s="64"/>
      <x:c r="V203" s="64"/>
      <x:c r="W203" s="64"/>
      <x:c r="X203" s="64"/>
      <x:c r="Y203" s="64"/>
      <x:c r="Z203" s="64"/>
      <x:c r="AA203" s="64"/>
      <x:c r="AB203" s="64"/>
      <x:c r="AC203" s="64"/>
      <x:c r="AD203" s="64"/>
      <x:c r="AE203" s="64"/>
      <x:c r="AF203" s="64"/>
      <x:c r="AG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  <x:c r="R204" s="64"/>
      <x:c r="S204" s="64"/>
      <x:c r="T204" s="64"/>
      <x:c r="U204" s="64"/>
      <x:c r="V204" s="64"/>
      <x:c r="W204" s="64"/>
      <x:c r="X204" s="64"/>
      <x:c r="Y204" s="64"/>
      <x:c r="Z204" s="64"/>
      <x:c r="AA204" s="64"/>
      <x:c r="AB204" s="64"/>
      <x:c r="AC204" s="64"/>
      <x:c r="AD204" s="64"/>
      <x:c r="AE204" s="64"/>
      <x:c r="AF204" s="64"/>
      <x:c r="AG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  <x:c r="R205" s="64"/>
      <x:c r="S205" s="64"/>
      <x:c r="T205" s="64"/>
      <x:c r="U205" s="64"/>
      <x:c r="V205" s="64"/>
      <x:c r="W205" s="64"/>
      <x:c r="X205" s="64"/>
      <x:c r="Y205" s="64"/>
      <x:c r="Z205" s="64"/>
      <x:c r="AA205" s="64"/>
      <x:c r="AB205" s="64"/>
      <x:c r="AC205" s="64"/>
      <x:c r="AD205" s="64"/>
      <x:c r="AE205" s="64"/>
      <x:c r="AF205" s="64"/>
      <x:c r="AG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  <x:c r="R206" s="64"/>
      <x:c r="S206" s="64"/>
      <x:c r="T206" s="64"/>
      <x:c r="U206" s="64"/>
      <x:c r="V206" s="64"/>
      <x:c r="W206" s="64"/>
      <x:c r="X206" s="64"/>
      <x:c r="Y206" s="64"/>
      <x:c r="Z206" s="64"/>
      <x:c r="AA206" s="64"/>
      <x:c r="AB206" s="64"/>
      <x:c r="AC206" s="64"/>
      <x:c r="AD206" s="64"/>
      <x:c r="AE206" s="64"/>
      <x:c r="AF206" s="64"/>
      <x:c r="AG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  <x:c r="R207" s="64"/>
      <x:c r="S207" s="64"/>
      <x:c r="T207" s="64"/>
      <x:c r="U207" s="64"/>
      <x:c r="V207" s="64"/>
      <x:c r="W207" s="64"/>
      <x:c r="X207" s="64"/>
      <x:c r="Y207" s="64"/>
      <x:c r="Z207" s="64"/>
      <x:c r="AA207" s="64"/>
      <x:c r="AB207" s="64"/>
      <x:c r="AC207" s="64"/>
      <x:c r="AD207" s="64"/>
      <x:c r="AE207" s="64"/>
      <x:c r="AF207" s="64"/>
      <x:c r="AG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  <x:c r="R208" s="64"/>
      <x:c r="S208" s="64"/>
      <x:c r="T208" s="64"/>
      <x:c r="U208" s="64"/>
      <x:c r="V208" s="64"/>
      <x:c r="W208" s="64"/>
      <x:c r="X208" s="64"/>
      <x:c r="Y208" s="64"/>
      <x:c r="Z208" s="64"/>
      <x:c r="AA208" s="64"/>
      <x:c r="AB208" s="64"/>
      <x:c r="AC208" s="64"/>
      <x:c r="AD208" s="64"/>
      <x:c r="AE208" s="64"/>
      <x:c r="AF208" s="64"/>
      <x:c r="AG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  <x:c r="R209" s="64"/>
      <x:c r="S209" s="64"/>
      <x:c r="T209" s="64"/>
      <x:c r="U209" s="64"/>
      <x:c r="V209" s="64"/>
      <x:c r="W209" s="64"/>
      <x:c r="X209" s="64"/>
      <x:c r="Y209" s="64"/>
      <x:c r="Z209" s="64"/>
      <x:c r="AA209" s="64"/>
      <x:c r="AB209" s="64"/>
      <x:c r="AC209" s="64"/>
      <x:c r="AD209" s="64"/>
      <x:c r="AE209" s="64"/>
      <x:c r="AF209" s="64"/>
      <x:c r="AG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  <x:c r="R210" s="64"/>
      <x:c r="S210" s="64"/>
      <x:c r="T210" s="64"/>
      <x:c r="U210" s="64"/>
      <x:c r="V210" s="64"/>
      <x:c r="W210" s="64"/>
      <x:c r="X210" s="64"/>
      <x:c r="Y210" s="64"/>
      <x:c r="Z210" s="64"/>
      <x:c r="AA210" s="64"/>
      <x:c r="AB210" s="64"/>
      <x:c r="AC210" s="64"/>
      <x:c r="AD210" s="64"/>
      <x:c r="AE210" s="64"/>
      <x:c r="AF210" s="64"/>
      <x:c r="AG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  <x:c r="R211" s="64"/>
      <x:c r="S211" s="64"/>
      <x:c r="T211" s="64"/>
      <x:c r="U211" s="64"/>
      <x:c r="V211" s="64"/>
      <x:c r="W211" s="64"/>
      <x:c r="X211" s="64"/>
      <x:c r="Y211" s="64"/>
      <x:c r="Z211" s="64"/>
      <x:c r="AA211" s="64"/>
      <x:c r="AB211" s="64"/>
      <x:c r="AC211" s="64"/>
      <x:c r="AD211" s="64"/>
      <x:c r="AE211" s="64"/>
      <x:c r="AF211" s="64"/>
      <x:c r="AG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  <x:c r="R212" s="64"/>
      <x:c r="S212" s="64"/>
      <x:c r="T212" s="64"/>
      <x:c r="U212" s="64"/>
      <x:c r="V212" s="64"/>
      <x:c r="W212" s="64"/>
      <x:c r="X212" s="64"/>
      <x:c r="Y212" s="64"/>
      <x:c r="Z212" s="64"/>
      <x:c r="AA212" s="64"/>
      <x:c r="AB212" s="64"/>
      <x:c r="AC212" s="64"/>
      <x:c r="AD212" s="64"/>
      <x:c r="AE212" s="64"/>
      <x:c r="AF212" s="64"/>
      <x:c r="AG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  <x:c r="R213" s="64"/>
      <x:c r="S213" s="64"/>
      <x:c r="T213" s="64"/>
      <x:c r="U213" s="64"/>
      <x:c r="V213" s="64"/>
      <x:c r="W213" s="64"/>
      <x:c r="X213" s="64"/>
      <x:c r="Y213" s="64"/>
      <x:c r="Z213" s="64"/>
      <x:c r="AA213" s="64"/>
      <x:c r="AB213" s="64"/>
      <x:c r="AC213" s="64"/>
      <x:c r="AD213" s="64"/>
      <x:c r="AE213" s="64"/>
      <x:c r="AF213" s="64"/>
      <x:c r="AG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  <x:c r="R214" s="64"/>
      <x:c r="S214" s="64"/>
      <x:c r="T214" s="64"/>
      <x:c r="U214" s="64"/>
      <x:c r="V214" s="64"/>
      <x:c r="W214" s="64"/>
      <x:c r="X214" s="64"/>
      <x:c r="Y214" s="64"/>
      <x:c r="Z214" s="64"/>
      <x:c r="AA214" s="64"/>
      <x:c r="AB214" s="64"/>
      <x:c r="AC214" s="64"/>
      <x:c r="AD214" s="64"/>
      <x:c r="AE214" s="64"/>
      <x:c r="AF214" s="64"/>
      <x:c r="AG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  <x:c r="R215" s="64"/>
      <x:c r="S215" s="64"/>
      <x:c r="T215" s="64"/>
      <x:c r="U215" s="64"/>
      <x:c r="V215" s="64"/>
      <x:c r="W215" s="64"/>
      <x:c r="X215" s="64"/>
      <x:c r="Y215" s="64"/>
      <x:c r="Z215" s="64"/>
      <x:c r="AA215" s="64"/>
      <x:c r="AB215" s="64"/>
      <x:c r="AC215" s="64"/>
      <x:c r="AD215" s="64"/>
      <x:c r="AE215" s="64"/>
      <x:c r="AF215" s="64"/>
      <x:c r="AG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  <x:c r="R216" s="64"/>
      <x:c r="S216" s="64"/>
      <x:c r="T216" s="64"/>
      <x:c r="U216" s="64"/>
      <x:c r="V216" s="64"/>
      <x:c r="W216" s="64"/>
      <x:c r="X216" s="64"/>
      <x:c r="Y216" s="64"/>
      <x:c r="Z216" s="64"/>
      <x:c r="AA216" s="64"/>
      <x:c r="AB216" s="64"/>
      <x:c r="AC216" s="64"/>
      <x:c r="AD216" s="64"/>
      <x:c r="AE216" s="64"/>
      <x:c r="AF216" s="64"/>
      <x:c r="AG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  <x:c r="R217" s="64"/>
      <x:c r="S217" s="64"/>
      <x:c r="T217" s="64"/>
      <x:c r="U217" s="64"/>
      <x:c r="V217" s="64"/>
      <x:c r="W217" s="64"/>
      <x:c r="X217" s="64"/>
      <x:c r="Y217" s="64"/>
      <x:c r="Z217" s="64"/>
      <x:c r="AA217" s="64"/>
      <x:c r="AB217" s="64"/>
      <x:c r="AC217" s="64"/>
      <x:c r="AD217" s="64"/>
      <x:c r="AE217" s="64"/>
      <x:c r="AF217" s="64"/>
      <x:c r="AG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  <x:c r="R218" s="64"/>
      <x:c r="S218" s="64"/>
      <x:c r="T218" s="64"/>
      <x:c r="U218" s="64"/>
      <x:c r="V218" s="64"/>
      <x:c r="W218" s="64"/>
      <x:c r="X218" s="64"/>
      <x:c r="Y218" s="64"/>
      <x:c r="Z218" s="64"/>
      <x:c r="AA218" s="64"/>
      <x:c r="AB218" s="64"/>
      <x:c r="AC218" s="64"/>
      <x:c r="AD218" s="64"/>
      <x:c r="AE218" s="64"/>
      <x:c r="AF218" s="64"/>
      <x:c r="AG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  <x:c r="R219" s="64"/>
      <x:c r="S219" s="64"/>
      <x:c r="T219" s="64"/>
      <x:c r="U219" s="64"/>
      <x:c r="V219" s="64"/>
      <x:c r="W219" s="64"/>
      <x:c r="X219" s="64"/>
      <x:c r="Y219" s="64"/>
      <x:c r="Z219" s="64"/>
      <x:c r="AA219" s="64"/>
      <x:c r="AB219" s="64"/>
      <x:c r="AC219" s="64"/>
      <x:c r="AD219" s="64"/>
      <x:c r="AE219" s="64"/>
      <x:c r="AF219" s="64"/>
      <x:c r="AG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  <x:c r="R220" s="64"/>
      <x:c r="S220" s="64"/>
      <x:c r="T220" s="64"/>
      <x:c r="U220" s="64"/>
      <x:c r="V220" s="64"/>
      <x:c r="W220" s="64"/>
      <x:c r="X220" s="64"/>
      <x:c r="Y220" s="64"/>
      <x:c r="Z220" s="64"/>
      <x:c r="AA220" s="64"/>
      <x:c r="AB220" s="64"/>
      <x:c r="AC220" s="64"/>
      <x:c r="AD220" s="64"/>
      <x:c r="AE220" s="64"/>
      <x:c r="AF220" s="64"/>
      <x:c r="AG220" s="64"/>
    </x:row>
    <x:row r="221">
      <x:c r="A221" s="64"/>
      <x:c r="B221" s="64"/>
      <x:c r="C221" s="64"/>
      <x:c r="D221" s="64"/>
      <x:c r="E221" s="64"/>
      <x:c r="F221" s="64"/>
      <x:c r="G221" s="64"/>
      <x:c r="H221" s="64"/>
      <x:c r="I221" s="64"/>
      <x:c r="J221" s="64"/>
      <x:c r="K221" s="64"/>
      <x:c r="L221" s="64"/>
      <x:c r="M221" s="64"/>
      <x:c r="N221" s="64"/>
      <x:c r="O221" s="64"/>
      <x:c r="P221" s="64"/>
      <x:c r="Q221" s="64"/>
      <x:c r="R221" s="64"/>
      <x:c r="S221" s="64"/>
      <x:c r="T221" s="64"/>
      <x:c r="U221" s="64"/>
      <x:c r="V221" s="64"/>
      <x:c r="W221" s="64"/>
      <x:c r="X221" s="64"/>
      <x:c r="Y221" s="64"/>
      <x:c r="Z221" s="64"/>
      <x:c r="AA221" s="64"/>
      <x:c r="AB221" s="64"/>
      <x:c r="AC221" s="64"/>
      <x:c r="AD221" s="64"/>
      <x:c r="AE221" s="64"/>
      <x:c r="AF221" s="64"/>
      <x:c r="AG221" s="64"/>
    </x:row>
    <x:row r="222">
      <x:c r="A222" s="64"/>
      <x:c r="B222" s="64"/>
      <x:c r="C222" s="64"/>
      <x:c r="D222" s="64"/>
      <x:c r="E222" s="64"/>
      <x:c r="F222" s="64"/>
      <x:c r="G222" s="64"/>
      <x:c r="H222" s="64"/>
      <x:c r="I222" s="64"/>
      <x:c r="J222" s="64"/>
      <x:c r="K222" s="64"/>
      <x:c r="L222" s="64"/>
      <x:c r="M222" s="64"/>
      <x:c r="N222" s="64"/>
      <x:c r="O222" s="64"/>
      <x:c r="P222" s="64"/>
      <x:c r="Q222" s="64"/>
      <x:c r="R222" s="64"/>
      <x:c r="S222" s="64"/>
      <x:c r="T222" s="64"/>
      <x:c r="U222" s="64"/>
      <x:c r="V222" s="64"/>
      <x:c r="W222" s="64"/>
      <x:c r="X222" s="64"/>
      <x:c r="Y222" s="64"/>
      <x:c r="Z222" s="64"/>
      <x:c r="AA222" s="64"/>
      <x:c r="AB222" s="64"/>
      <x:c r="AC222" s="64"/>
      <x:c r="AD222" s="64"/>
      <x:c r="AE222" s="64"/>
      <x:c r="AF222" s="64"/>
      <x:c r="AG222" s="64"/>
    </x:row>
    <x:row r="223">
      <x:c r="A223" s="64"/>
      <x:c r="B223" s="64"/>
      <x:c r="C223" s="64"/>
      <x:c r="D223" s="64"/>
      <x:c r="E223" s="64"/>
      <x:c r="F223" s="64"/>
      <x:c r="G223" s="64"/>
      <x:c r="H223" s="64"/>
      <x:c r="I223" s="64"/>
      <x:c r="J223" s="64"/>
      <x:c r="K223" s="64"/>
      <x:c r="L223" s="64"/>
      <x:c r="M223" s="64"/>
      <x:c r="N223" s="64"/>
      <x:c r="O223" s="64"/>
      <x:c r="P223" s="64"/>
      <x:c r="Q223" s="64"/>
      <x:c r="R223" s="64"/>
      <x:c r="S223" s="64"/>
      <x:c r="T223" s="64"/>
      <x:c r="U223" s="64"/>
      <x:c r="V223" s="64"/>
      <x:c r="W223" s="64"/>
      <x:c r="X223" s="64"/>
      <x:c r="Y223" s="64"/>
      <x:c r="Z223" s="64"/>
      <x:c r="AA223" s="64"/>
      <x:c r="AB223" s="64"/>
      <x:c r="AC223" s="64"/>
      <x:c r="AD223" s="64"/>
      <x:c r="AE223" s="64"/>
      <x:c r="AF223" s="64"/>
      <x:c r="AG223" s="64"/>
    </x:row>
    <x:row r="224">
      <x:c r="A224" s="64"/>
      <x:c r="B224" s="64"/>
      <x:c r="C224" s="64"/>
      <x:c r="D224" s="64"/>
      <x:c r="E224" s="64"/>
      <x:c r="F224" s="64"/>
      <x:c r="G224" s="64"/>
      <x:c r="H224" s="64"/>
      <x:c r="I224" s="64"/>
      <x:c r="J224" s="64"/>
      <x:c r="K224" s="64"/>
      <x:c r="L224" s="64"/>
      <x:c r="M224" s="64"/>
      <x:c r="N224" s="64"/>
      <x:c r="O224" s="64"/>
      <x:c r="P224" s="64"/>
      <x:c r="Q224" s="64"/>
      <x:c r="R224" s="64"/>
      <x:c r="S224" s="64"/>
      <x:c r="T224" s="64"/>
      <x:c r="U224" s="64"/>
      <x:c r="V224" s="64"/>
      <x:c r="W224" s="64"/>
      <x:c r="X224" s="64"/>
      <x:c r="Y224" s="64"/>
      <x:c r="Z224" s="64"/>
      <x:c r="AA224" s="64"/>
      <x:c r="AB224" s="64"/>
      <x:c r="AC224" s="64"/>
      <x:c r="AD224" s="64"/>
      <x:c r="AE224" s="64"/>
      <x:c r="AF224" s="64"/>
      <x:c r="AG224" s="64"/>
    </x:row>
    <x:row r="225">
      <x:c r="A225" s="64"/>
      <x:c r="B225" s="64"/>
      <x:c r="C225" s="64"/>
      <x:c r="D225" s="64"/>
      <x:c r="E225" s="64"/>
      <x:c r="F225" s="64"/>
      <x:c r="G225" s="64"/>
      <x:c r="H225" s="64"/>
      <x:c r="I225" s="64"/>
      <x:c r="J225" s="64"/>
      <x:c r="K225" s="64"/>
      <x:c r="L225" s="64"/>
      <x:c r="M225" s="64"/>
      <x:c r="N225" s="64"/>
      <x:c r="O225" s="64"/>
      <x:c r="P225" s="64"/>
      <x:c r="Q225" s="64"/>
      <x:c r="R225" s="64"/>
      <x:c r="S225" s="64"/>
      <x:c r="T225" s="64"/>
      <x:c r="U225" s="64"/>
      <x:c r="V225" s="64"/>
      <x:c r="W225" s="64"/>
      <x:c r="X225" s="64"/>
      <x:c r="Y225" s="64"/>
      <x:c r="Z225" s="64"/>
      <x:c r="AA225" s="64"/>
      <x:c r="AB225" s="64"/>
      <x:c r="AC225" s="64"/>
      <x:c r="AD225" s="64"/>
      <x:c r="AE225" s="64"/>
      <x:c r="AF225" s="64"/>
      <x:c r="AG225" s="64"/>
    </x:row>
    <x:row r="226">
      <x:c r="A226" s="64"/>
      <x:c r="B226" s="64"/>
      <x:c r="C226" s="64"/>
      <x:c r="D226" s="64"/>
      <x:c r="E226" s="64"/>
      <x:c r="F226" s="64"/>
      <x:c r="G226" s="64"/>
      <x:c r="H226" s="64"/>
      <x:c r="I226" s="64"/>
      <x:c r="J226" s="64"/>
      <x:c r="K226" s="64"/>
      <x:c r="L226" s="64"/>
      <x:c r="M226" s="64"/>
      <x:c r="N226" s="64"/>
      <x:c r="O226" s="64"/>
      <x:c r="P226" s="64"/>
      <x:c r="Q226" s="64"/>
      <x:c r="R226" s="64"/>
      <x:c r="S226" s="64"/>
      <x:c r="T226" s="64"/>
      <x:c r="U226" s="64"/>
      <x:c r="V226" s="64"/>
      <x:c r="W226" s="64"/>
      <x:c r="X226" s="64"/>
      <x:c r="Y226" s="64"/>
      <x:c r="Z226" s="64"/>
      <x:c r="AA226" s="64"/>
      <x:c r="AB226" s="64"/>
      <x:c r="AC226" s="64"/>
      <x:c r="AD226" s="64"/>
      <x:c r="AE226" s="64"/>
      <x:c r="AF226" s="64"/>
      <x:c r="AG226" s="64"/>
    </x:row>
    <x:row r="227">
      <x:c r="A227" s="64"/>
      <x:c r="B227" s="64"/>
      <x:c r="C227" s="64"/>
      <x:c r="D227" s="64"/>
      <x:c r="E227" s="64"/>
      <x:c r="F227" s="64"/>
      <x:c r="G227" s="64"/>
      <x:c r="H227" s="64"/>
      <x:c r="I227" s="64"/>
      <x:c r="J227" s="64"/>
      <x:c r="K227" s="64"/>
      <x:c r="L227" s="64"/>
      <x:c r="M227" s="64"/>
      <x:c r="N227" s="64"/>
      <x:c r="O227" s="64"/>
      <x:c r="P227" s="64"/>
      <x:c r="Q227" s="64"/>
      <x:c r="R227" s="64"/>
      <x:c r="S227" s="64"/>
      <x:c r="T227" s="64"/>
      <x:c r="U227" s="64"/>
      <x:c r="V227" s="64"/>
      <x:c r="W227" s="64"/>
      <x:c r="X227" s="64"/>
      <x:c r="Y227" s="64"/>
      <x:c r="Z227" s="64"/>
      <x:c r="AA227" s="64"/>
      <x:c r="AB227" s="64"/>
      <x:c r="AC227" s="64"/>
      <x:c r="AD227" s="64"/>
      <x:c r="AE227" s="64"/>
      <x:c r="AF227" s="64"/>
      <x:c r="AG227" s="64"/>
    </x:row>
    <x:row r="228">
      <x:c r="A228" s="64"/>
      <x:c r="B228" s="64"/>
      <x:c r="C228" s="64"/>
      <x:c r="D228" s="64"/>
      <x:c r="E228" s="64"/>
      <x:c r="F228" s="64"/>
      <x:c r="G228" s="64"/>
      <x:c r="H228" s="64"/>
      <x:c r="I228" s="64"/>
      <x:c r="J228" s="64"/>
      <x:c r="K228" s="64"/>
      <x:c r="L228" s="64"/>
      <x:c r="M228" s="64"/>
      <x:c r="N228" s="64"/>
      <x:c r="O228" s="64"/>
      <x:c r="P228" s="64"/>
      <x:c r="Q228" s="64"/>
      <x:c r="R228" s="64"/>
      <x:c r="S228" s="64"/>
      <x:c r="T228" s="64"/>
      <x:c r="U228" s="64"/>
      <x:c r="V228" s="64"/>
      <x:c r="W228" s="64"/>
      <x:c r="X228" s="64"/>
      <x:c r="Y228" s="64"/>
      <x:c r="Z228" s="64"/>
      <x:c r="AA228" s="64"/>
      <x:c r="AB228" s="64"/>
      <x:c r="AC228" s="64"/>
      <x:c r="AD228" s="64"/>
      <x:c r="AE228" s="64"/>
      <x:c r="AF228" s="64"/>
      <x:c r="AG228" s="64"/>
    </x:row>
    <x:row r="229">
      <x:c r="A229" s="64"/>
      <x:c r="B229" s="64"/>
      <x:c r="C229" s="64"/>
      <x:c r="D229" s="64"/>
      <x:c r="E229" s="64"/>
      <x:c r="F229" s="64"/>
      <x:c r="G229" s="64"/>
      <x:c r="H229" s="64"/>
      <x:c r="I229" s="64"/>
      <x:c r="J229" s="64"/>
      <x:c r="K229" s="64"/>
      <x:c r="L229" s="64"/>
      <x:c r="M229" s="64"/>
      <x:c r="N229" s="64"/>
      <x:c r="O229" s="64"/>
      <x:c r="P229" s="64"/>
      <x:c r="Q229" s="64"/>
      <x:c r="R229" s="64"/>
      <x:c r="S229" s="64"/>
      <x:c r="T229" s="64"/>
      <x:c r="U229" s="64"/>
      <x:c r="V229" s="64"/>
      <x:c r="W229" s="64"/>
      <x:c r="X229" s="64"/>
      <x:c r="Y229" s="64"/>
      <x:c r="Z229" s="64"/>
      <x:c r="AA229" s="64"/>
      <x:c r="AB229" s="64"/>
      <x:c r="AC229" s="64"/>
      <x:c r="AD229" s="64"/>
      <x:c r="AE229" s="64"/>
      <x:c r="AF229" s="64"/>
      <x:c r="AG229" s="64"/>
    </x:row>
    <x:row r="230">
      <x:c r="A230" s="64"/>
      <x:c r="B230" s="64"/>
      <x:c r="C230" s="64"/>
      <x:c r="D230" s="64"/>
      <x:c r="E230" s="64"/>
      <x:c r="F230" s="64"/>
      <x:c r="G230" s="64"/>
      <x:c r="H230" s="64"/>
      <x:c r="I230" s="64"/>
      <x:c r="J230" s="64"/>
      <x:c r="K230" s="64"/>
      <x:c r="L230" s="64"/>
      <x:c r="M230" s="64"/>
      <x:c r="N230" s="64"/>
      <x:c r="O230" s="64"/>
      <x:c r="P230" s="64"/>
      <x:c r="Q230" s="64"/>
      <x:c r="R230" s="64"/>
      <x:c r="S230" s="64"/>
      <x:c r="T230" s="64"/>
      <x:c r="U230" s="64"/>
      <x:c r="V230" s="64"/>
      <x:c r="W230" s="64"/>
      <x:c r="X230" s="64"/>
      <x:c r="Y230" s="64"/>
      <x:c r="Z230" s="64"/>
      <x:c r="AA230" s="64"/>
      <x:c r="AB230" s="64"/>
      <x:c r="AC230" s="64"/>
      <x:c r="AD230" s="64"/>
      <x:c r="AE230" s="64"/>
      <x:c r="AF230" s="64"/>
      <x:c r="AG230" s="64"/>
    </x:row>
    <x:row r="231">
      <x:c r="A231" s="64"/>
      <x:c r="B231" s="64"/>
      <x:c r="C231" s="64"/>
      <x:c r="D231" s="64"/>
      <x:c r="E231" s="64"/>
      <x:c r="F231" s="64"/>
      <x:c r="G231" s="64"/>
      <x:c r="H231" s="64"/>
      <x:c r="I231" s="64"/>
      <x:c r="J231" s="64"/>
      <x:c r="K231" s="64"/>
      <x:c r="L231" s="64"/>
      <x:c r="M231" s="64"/>
      <x:c r="N231" s="64"/>
      <x:c r="O231" s="64"/>
      <x:c r="P231" s="64"/>
      <x:c r="Q231" s="64"/>
      <x:c r="R231" s="64"/>
      <x:c r="S231" s="64"/>
      <x:c r="T231" s="64"/>
      <x:c r="U231" s="64"/>
      <x:c r="V231" s="64"/>
      <x:c r="W231" s="64"/>
      <x:c r="X231" s="64"/>
      <x:c r="Y231" s="64"/>
      <x:c r="Z231" s="64"/>
      <x:c r="AA231" s="64"/>
      <x:c r="AB231" s="64"/>
      <x:c r="AC231" s="64"/>
      <x:c r="AD231" s="64"/>
      <x:c r="AE231" s="64"/>
      <x:c r="AF231" s="64"/>
      <x:c r="AG231" s="64"/>
    </x:row>
    <x:row r="232">
      <x:c r="A232" s="64"/>
      <x:c r="B232" s="64"/>
      <x:c r="C232" s="64"/>
      <x:c r="D232" s="64"/>
      <x:c r="E232" s="64"/>
      <x:c r="F232" s="64"/>
      <x:c r="G232" s="64"/>
      <x:c r="H232" s="64"/>
      <x:c r="I232" s="64"/>
      <x:c r="J232" s="64"/>
      <x:c r="K232" s="64"/>
      <x:c r="L232" s="64"/>
      <x:c r="M232" s="64"/>
      <x:c r="N232" s="64"/>
      <x:c r="O232" s="64"/>
      <x:c r="P232" s="64"/>
      <x:c r="Q232" s="64"/>
      <x:c r="R232" s="64"/>
      <x:c r="S232" s="64"/>
      <x:c r="T232" s="64"/>
      <x:c r="U232" s="64"/>
      <x:c r="V232" s="64"/>
      <x:c r="W232" s="64"/>
      <x:c r="X232" s="64"/>
      <x:c r="Y232" s="64"/>
      <x:c r="Z232" s="64"/>
      <x:c r="AA232" s="64"/>
      <x:c r="AB232" s="64"/>
      <x:c r="AC232" s="64"/>
      <x:c r="AD232" s="64"/>
      <x:c r="AE232" s="64"/>
      <x:c r="AF232" s="64"/>
      <x:c r="AG232" s="64"/>
    </x:row>
    <x:row r="233">
      <x:c r="A233" s="64"/>
      <x:c r="B233" s="64"/>
      <x:c r="C233" s="64"/>
      <x:c r="D233" s="64"/>
      <x:c r="E233" s="64"/>
      <x:c r="F233" s="64"/>
      <x:c r="G233" s="64"/>
      <x:c r="H233" s="64"/>
      <x:c r="I233" s="64"/>
      <x:c r="J233" s="64"/>
      <x:c r="K233" s="64"/>
      <x:c r="L233" s="64"/>
      <x:c r="M233" s="64"/>
      <x:c r="N233" s="64"/>
      <x:c r="O233" s="64"/>
      <x:c r="P233" s="64"/>
      <x:c r="Q233" s="64"/>
      <x:c r="R233" s="64"/>
      <x:c r="S233" s="64"/>
      <x:c r="T233" s="64"/>
      <x:c r="U233" s="64"/>
      <x:c r="V233" s="64"/>
      <x:c r="W233" s="64"/>
      <x:c r="X233" s="64"/>
      <x:c r="Y233" s="64"/>
      <x:c r="Z233" s="64"/>
      <x:c r="AA233" s="64"/>
      <x:c r="AB233" s="64"/>
      <x:c r="AC233" s="64"/>
      <x:c r="AD233" s="64"/>
      <x:c r="AE233" s="64"/>
      <x:c r="AF233" s="64"/>
      <x:c r="AG233" s="64"/>
    </x:row>
    <x:row r="234">
      <x:c r="A234" s="64"/>
      <x:c r="B234" s="64"/>
      <x:c r="C234" s="64"/>
      <x:c r="D234" s="64"/>
      <x:c r="E234" s="64"/>
      <x:c r="F234" s="64"/>
      <x:c r="G234" s="64"/>
      <x:c r="H234" s="64"/>
      <x:c r="I234" s="64"/>
      <x:c r="J234" s="64"/>
      <x:c r="K234" s="64"/>
      <x:c r="L234" s="64"/>
      <x:c r="M234" s="64"/>
      <x:c r="N234" s="64"/>
      <x:c r="O234" s="64"/>
      <x:c r="P234" s="64"/>
      <x:c r="Q234" s="64"/>
      <x:c r="R234" s="64"/>
      <x:c r="S234" s="64"/>
      <x:c r="T234" s="64"/>
      <x:c r="U234" s="64"/>
      <x:c r="V234" s="64"/>
      <x:c r="W234" s="64"/>
      <x:c r="X234" s="64"/>
      <x:c r="Y234" s="64"/>
      <x:c r="Z234" s="64"/>
      <x:c r="AA234" s="64"/>
      <x:c r="AB234" s="64"/>
      <x:c r="AC234" s="64"/>
      <x:c r="AD234" s="64"/>
      <x:c r="AE234" s="64"/>
      <x:c r="AF234" s="64"/>
      <x:c r="AG234" s="64"/>
    </x:row>
    <x:row r="235">
      <x:c r="A235" s="64"/>
      <x:c r="B235" s="64"/>
      <x:c r="C235" s="64"/>
      <x:c r="D235" s="64"/>
      <x:c r="E235" s="64"/>
      <x:c r="F235" s="64"/>
      <x:c r="G235" s="64"/>
      <x:c r="H235" s="64"/>
      <x:c r="I235" s="64"/>
      <x:c r="J235" s="64"/>
      <x:c r="K235" s="64"/>
      <x:c r="L235" s="64"/>
      <x:c r="M235" s="64"/>
      <x:c r="N235" s="64"/>
      <x:c r="O235" s="64"/>
      <x:c r="P235" s="64"/>
      <x:c r="Q235" s="64"/>
      <x:c r="R235" s="64"/>
      <x:c r="S235" s="64"/>
      <x:c r="T235" s="64"/>
      <x:c r="U235" s="64"/>
      <x:c r="V235" s="64"/>
      <x:c r="W235" s="64"/>
      <x:c r="X235" s="64"/>
      <x:c r="Y235" s="64"/>
      <x:c r="Z235" s="64"/>
      <x:c r="AA235" s="64"/>
      <x:c r="AB235" s="64"/>
      <x:c r="AC235" s="64"/>
      <x:c r="AD235" s="64"/>
      <x:c r="AE235" s="64"/>
      <x:c r="AF235" s="64"/>
      <x:c r="AG235" s="64"/>
    </x:row>
    <x:row r="236">
      <x:c r="A236" s="64"/>
      <x:c r="B236" s="64"/>
      <x:c r="C236" s="64"/>
      <x:c r="D236" s="64"/>
      <x:c r="E236" s="64"/>
      <x:c r="F236" s="64"/>
      <x:c r="G236" s="64"/>
      <x:c r="H236" s="64"/>
      <x:c r="I236" s="64"/>
      <x:c r="J236" s="64"/>
      <x:c r="K236" s="64"/>
      <x:c r="L236" s="64"/>
      <x:c r="M236" s="64"/>
      <x:c r="N236" s="64"/>
      <x:c r="O236" s="64"/>
      <x:c r="P236" s="64"/>
      <x:c r="Q236" s="64"/>
      <x:c r="R236" s="64"/>
      <x:c r="S236" s="64"/>
      <x:c r="T236" s="64"/>
      <x:c r="U236" s="64"/>
      <x:c r="V236" s="64"/>
      <x:c r="W236" s="64"/>
      <x:c r="X236" s="64"/>
      <x:c r="Y236" s="64"/>
      <x:c r="Z236" s="64"/>
      <x:c r="AA236" s="64"/>
      <x:c r="AB236" s="64"/>
      <x:c r="AC236" s="64"/>
      <x:c r="AD236" s="64"/>
      <x:c r="AE236" s="64"/>
      <x:c r="AF236" s="64"/>
      <x:c r="AG236" s="64"/>
    </x:row>
    <x:row r="237">
      <x:c r="A237" s="64"/>
      <x:c r="B237" s="64"/>
      <x:c r="C237" s="64"/>
      <x:c r="D237" s="64"/>
      <x:c r="E237" s="64"/>
      <x:c r="F237" s="64"/>
      <x:c r="G237" s="64"/>
      <x:c r="H237" s="64"/>
      <x:c r="I237" s="64"/>
      <x:c r="J237" s="64"/>
      <x:c r="K237" s="64"/>
      <x:c r="L237" s="64"/>
      <x:c r="M237" s="64"/>
      <x:c r="N237" s="64"/>
      <x:c r="O237" s="64"/>
      <x:c r="P237" s="64"/>
      <x:c r="Q237" s="64"/>
      <x:c r="R237" s="64"/>
      <x:c r="S237" s="64"/>
      <x:c r="T237" s="64"/>
      <x:c r="U237" s="64"/>
      <x:c r="V237" s="64"/>
      <x:c r="W237" s="64"/>
      <x:c r="X237" s="64"/>
      <x:c r="Y237" s="64"/>
      <x:c r="Z237" s="64"/>
      <x:c r="AA237" s="64"/>
      <x:c r="AB237" s="64"/>
      <x:c r="AC237" s="64"/>
      <x:c r="AD237" s="64"/>
      <x:c r="AE237" s="64"/>
      <x:c r="AF237" s="64"/>
      <x:c r="AG237" s="64"/>
    </x:row>
    <x:row r="238">
      <x:c r="A238" s="64"/>
      <x:c r="B238" s="64"/>
      <x:c r="C238" s="64"/>
      <x:c r="D238" s="64"/>
      <x:c r="E238" s="64"/>
      <x:c r="F238" s="64"/>
      <x:c r="G238" s="64"/>
      <x:c r="H238" s="64"/>
      <x:c r="I238" s="64"/>
      <x:c r="J238" s="64"/>
      <x:c r="K238" s="64"/>
      <x:c r="L238" s="64"/>
      <x:c r="M238" s="64"/>
      <x:c r="N238" s="64"/>
      <x:c r="O238" s="64"/>
      <x:c r="P238" s="64"/>
      <x:c r="Q238" s="64"/>
      <x:c r="R238" s="64"/>
      <x:c r="S238" s="64"/>
      <x:c r="T238" s="64"/>
      <x:c r="U238" s="64"/>
      <x:c r="V238" s="64"/>
      <x:c r="W238" s="64"/>
      <x:c r="X238" s="64"/>
      <x:c r="Y238" s="64"/>
      <x:c r="Z238" s="64"/>
      <x:c r="AA238" s="64"/>
      <x:c r="AB238" s="64"/>
      <x:c r="AC238" s="64"/>
      <x:c r="AD238" s="64"/>
      <x:c r="AE238" s="64"/>
      <x:c r="AF238" s="64"/>
      <x:c r="AG238" s="64"/>
    </x:row>
    <x:row r="239">
      <x:c r="A239" s="64"/>
      <x:c r="B239" s="64"/>
      <x:c r="C239" s="64"/>
      <x:c r="D239" s="64"/>
      <x:c r="E239" s="64"/>
      <x:c r="F239" s="64"/>
      <x:c r="G239" s="64"/>
      <x:c r="H239" s="64"/>
      <x:c r="I239" s="64"/>
      <x:c r="J239" s="64"/>
      <x:c r="K239" s="64"/>
      <x:c r="L239" s="64"/>
      <x:c r="M239" s="64"/>
      <x:c r="N239" s="64"/>
      <x:c r="O239" s="64"/>
      <x:c r="P239" s="64"/>
      <x:c r="Q239" s="64"/>
      <x:c r="R239" s="64"/>
      <x:c r="S239" s="64"/>
      <x:c r="T239" s="64"/>
      <x:c r="U239" s="64"/>
      <x:c r="V239" s="64"/>
      <x:c r="W239" s="64"/>
      <x:c r="X239" s="64"/>
      <x:c r="Y239" s="64"/>
      <x:c r="Z239" s="64"/>
      <x:c r="AA239" s="64"/>
      <x:c r="AB239" s="64"/>
      <x:c r="AC239" s="64"/>
      <x:c r="AD239" s="64"/>
      <x:c r="AE239" s="64"/>
      <x:c r="AF239" s="64"/>
      <x:c r="AG239" s="64"/>
    </x:row>
    <x:row r="240">
      <x:c r="A240" s="64"/>
      <x:c r="B240" s="64"/>
      <x:c r="C240" s="64"/>
      <x:c r="D240" s="64"/>
      <x:c r="E240" s="64"/>
      <x:c r="F240" s="64"/>
      <x:c r="G240" s="64"/>
      <x:c r="H240" s="64"/>
      <x:c r="I240" s="64"/>
      <x:c r="J240" s="64"/>
      <x:c r="K240" s="64"/>
      <x:c r="L240" s="64"/>
      <x:c r="M240" s="64"/>
      <x:c r="N240" s="64"/>
      <x:c r="O240" s="64"/>
      <x:c r="P240" s="64"/>
      <x:c r="Q240" s="64"/>
      <x:c r="R240" s="64"/>
      <x:c r="S240" s="64"/>
      <x:c r="T240" s="64"/>
      <x:c r="U240" s="64"/>
      <x:c r="V240" s="64"/>
      <x:c r="W240" s="64"/>
      <x:c r="X240" s="64"/>
      <x:c r="Y240" s="64"/>
      <x:c r="Z240" s="64"/>
      <x:c r="AA240" s="64"/>
      <x:c r="AB240" s="64"/>
      <x:c r="AC240" s="64"/>
      <x:c r="AD240" s="64"/>
      <x:c r="AE240" s="64"/>
      <x:c r="AF240" s="64"/>
      <x:c r="AG240" s="64"/>
    </x:row>
    <x:row r="241">
      <x:c r="A241" s="64"/>
      <x:c r="B241" s="64"/>
      <x:c r="C241" s="64"/>
      <x:c r="D241" s="64"/>
      <x:c r="E241" s="64"/>
      <x:c r="F241" s="64"/>
      <x:c r="G241" s="64"/>
      <x:c r="H241" s="64"/>
      <x:c r="I241" s="64"/>
      <x:c r="J241" s="64"/>
      <x:c r="K241" s="64"/>
      <x:c r="L241" s="64"/>
      <x:c r="M241" s="64"/>
      <x:c r="N241" s="64"/>
      <x:c r="O241" s="64"/>
      <x:c r="P241" s="64"/>
      <x:c r="Q241" s="64"/>
      <x:c r="R241" s="64"/>
      <x:c r="S241" s="64"/>
      <x:c r="T241" s="64"/>
      <x:c r="U241" s="64"/>
      <x:c r="V241" s="64"/>
      <x:c r="W241" s="64"/>
      <x:c r="X241" s="64"/>
      <x:c r="Y241" s="64"/>
      <x:c r="Z241" s="64"/>
      <x:c r="AA241" s="64"/>
      <x:c r="AB241" s="64"/>
      <x:c r="AC241" s="64"/>
      <x:c r="AD241" s="64"/>
      <x:c r="AE241" s="64"/>
      <x:c r="AF241" s="64"/>
      <x:c r="AG241" s="64"/>
    </x:row>
    <x:row r="242">
      <x:c r="A242" s="64"/>
      <x:c r="B242" s="64"/>
      <x:c r="C242" s="64"/>
      <x:c r="D242" s="64"/>
      <x:c r="E242" s="64"/>
      <x:c r="F242" s="64"/>
      <x:c r="G242" s="64"/>
      <x:c r="H242" s="64"/>
      <x:c r="I242" s="64"/>
      <x:c r="J242" s="64"/>
      <x:c r="K242" s="64"/>
      <x:c r="L242" s="64"/>
      <x:c r="M242" s="64"/>
      <x:c r="N242" s="64"/>
      <x:c r="O242" s="64"/>
      <x:c r="P242" s="64"/>
      <x:c r="Q242" s="64"/>
      <x:c r="R242" s="64"/>
      <x:c r="S242" s="64"/>
      <x:c r="T242" s="64"/>
      <x:c r="U242" s="64"/>
      <x:c r="V242" s="64"/>
      <x:c r="W242" s="64"/>
      <x:c r="X242" s="64"/>
      <x:c r="Y242" s="64"/>
      <x:c r="Z242" s="64"/>
      <x:c r="AA242" s="64"/>
      <x:c r="AB242" s="64"/>
      <x:c r="AC242" s="64"/>
      <x:c r="AD242" s="64"/>
      <x:c r="AE242" s="64"/>
      <x:c r="AF242" s="64"/>
      <x:c r="AG242" s="64"/>
    </x:row>
    <x:row r="243">
      <x:c r="A243" s="64"/>
      <x:c r="B243" s="64"/>
      <x:c r="C243" s="64"/>
      <x:c r="D243" s="64"/>
      <x:c r="E243" s="64"/>
      <x:c r="F243" s="64"/>
      <x:c r="G243" s="64"/>
      <x:c r="H243" s="64"/>
      <x:c r="I243" s="64"/>
      <x:c r="J243" s="64"/>
      <x:c r="K243" s="64"/>
      <x:c r="L243" s="64"/>
      <x:c r="M243" s="64"/>
      <x:c r="N243" s="64"/>
      <x:c r="O243" s="64"/>
      <x:c r="P243" s="64"/>
      <x:c r="Q243" s="64"/>
      <x:c r="R243" s="64"/>
      <x:c r="S243" s="64"/>
      <x:c r="T243" s="64"/>
      <x:c r="U243" s="64"/>
      <x:c r="V243" s="64"/>
      <x:c r="W243" s="64"/>
      <x:c r="X243" s="64"/>
      <x:c r="Y243" s="64"/>
      <x:c r="Z243" s="64"/>
      <x:c r="AA243" s="64"/>
      <x:c r="AB243" s="64"/>
      <x:c r="AC243" s="64"/>
      <x:c r="AD243" s="64"/>
      <x:c r="AE243" s="64"/>
      <x:c r="AF243" s="64"/>
      <x:c r="AG243" s="64"/>
    </x:row>
    <x:row r="244">
      <x:c r="A244" s="64"/>
      <x:c r="B244" s="64"/>
      <x:c r="C244" s="64"/>
      <x:c r="D244" s="64"/>
      <x:c r="E244" s="64"/>
      <x:c r="F244" s="64"/>
      <x:c r="G244" s="64"/>
      <x:c r="H244" s="64"/>
      <x:c r="I244" s="64"/>
      <x:c r="J244" s="64"/>
      <x:c r="K244" s="64"/>
      <x:c r="L244" s="64"/>
      <x:c r="M244" s="64"/>
      <x:c r="N244" s="64"/>
      <x:c r="O244" s="64"/>
      <x:c r="P244" s="64"/>
      <x:c r="Q244" s="64"/>
      <x:c r="R244" s="64"/>
      <x:c r="S244" s="64"/>
      <x:c r="T244" s="64"/>
      <x:c r="U244" s="64"/>
      <x:c r="V244" s="64"/>
      <x:c r="W244" s="64"/>
      <x:c r="X244" s="64"/>
      <x:c r="Y244" s="64"/>
      <x:c r="Z244" s="64"/>
      <x:c r="AA244" s="64"/>
      <x:c r="AB244" s="64"/>
      <x:c r="AC244" s="64"/>
      <x:c r="AD244" s="64"/>
      <x:c r="AE244" s="64"/>
      <x:c r="AF244" s="64"/>
      <x:c r="AG244" s="64"/>
    </x:row>
    <x:row r="245">
      <x:c r="A245" s="64"/>
      <x:c r="B245" s="64"/>
      <x:c r="C245" s="64"/>
      <x:c r="D245" s="64"/>
      <x:c r="E245" s="64"/>
      <x:c r="F245" s="64"/>
      <x:c r="G245" s="64"/>
      <x:c r="H245" s="64"/>
      <x:c r="I245" s="64"/>
      <x:c r="J245" s="64"/>
      <x:c r="K245" s="64"/>
      <x:c r="L245" s="64"/>
      <x:c r="M245" s="64"/>
      <x:c r="N245" s="64"/>
      <x:c r="O245" s="64"/>
      <x:c r="P245" s="64"/>
      <x:c r="Q245" s="64"/>
      <x:c r="R245" s="64"/>
      <x:c r="S245" s="64"/>
      <x:c r="T245" s="64"/>
      <x:c r="U245" s="64"/>
      <x:c r="V245" s="64"/>
      <x:c r="W245" s="64"/>
      <x:c r="X245" s="64"/>
      <x:c r="Y245" s="64"/>
      <x:c r="Z245" s="64"/>
      <x:c r="AA245" s="64"/>
      <x:c r="AB245" s="64"/>
      <x:c r="AC245" s="64"/>
      <x:c r="AD245" s="64"/>
      <x:c r="AE245" s="64"/>
      <x:c r="AF245" s="64"/>
      <x:c r="AG245" s="64"/>
    </x:row>
    <x:row r="246">
      <x:c r="A246" s="64"/>
      <x:c r="B246" s="64"/>
      <x:c r="C246" s="64"/>
      <x:c r="D246" s="64"/>
      <x:c r="E246" s="64"/>
      <x:c r="F246" s="64"/>
      <x:c r="G246" s="64"/>
      <x:c r="H246" s="64"/>
      <x:c r="I246" s="64"/>
      <x:c r="J246" s="64"/>
      <x:c r="K246" s="64"/>
      <x:c r="L246" s="64"/>
      <x:c r="M246" s="64"/>
      <x:c r="N246" s="64"/>
      <x:c r="O246" s="64"/>
      <x:c r="P246" s="64"/>
      <x:c r="Q246" s="64"/>
      <x:c r="R246" s="64"/>
      <x:c r="S246" s="64"/>
      <x:c r="T246" s="64"/>
      <x:c r="U246" s="64"/>
      <x:c r="V246" s="64"/>
      <x:c r="W246" s="64"/>
      <x:c r="X246" s="64"/>
      <x:c r="Y246" s="64"/>
      <x:c r="Z246" s="64"/>
      <x:c r="AA246" s="64"/>
      <x:c r="AB246" s="64"/>
      <x:c r="AC246" s="64"/>
      <x:c r="AD246" s="64"/>
      <x:c r="AE246" s="64"/>
      <x:c r="AF246" s="64"/>
      <x:c r="AG246" s="64"/>
    </x:row>
    <x:row r="247">
      <x:c r="A247" s="64"/>
      <x:c r="B247" s="64"/>
      <x:c r="C247" s="64"/>
      <x:c r="D247" s="64"/>
      <x:c r="E247" s="64"/>
      <x:c r="F247" s="64"/>
      <x:c r="G247" s="64"/>
      <x:c r="H247" s="64"/>
      <x:c r="I247" s="64"/>
      <x:c r="J247" s="64"/>
      <x:c r="K247" s="64"/>
      <x:c r="L247" s="64"/>
      <x:c r="M247" s="64"/>
      <x:c r="N247" s="64"/>
      <x:c r="O247" s="64"/>
      <x:c r="P247" s="64"/>
      <x:c r="Q247" s="64"/>
      <x:c r="R247" s="64"/>
      <x:c r="S247" s="64"/>
      <x:c r="T247" s="64"/>
      <x:c r="U247" s="64"/>
      <x:c r="V247" s="64"/>
      <x:c r="W247" s="64"/>
      <x:c r="X247" s="64"/>
      <x:c r="Y247" s="64"/>
      <x:c r="Z247" s="64"/>
      <x:c r="AA247" s="64"/>
      <x:c r="AB247" s="64"/>
      <x:c r="AC247" s="64"/>
      <x:c r="AD247" s="64"/>
      <x:c r="AE247" s="64"/>
      <x:c r="AF247" s="64"/>
      <x:c r="AG247" s="64"/>
    </x:row>
    <x:row r="248">
      <x:c r="A248" s="64"/>
      <x:c r="B248" s="64"/>
      <x:c r="C248" s="64"/>
      <x:c r="D248" s="64"/>
      <x:c r="E248" s="64"/>
      <x:c r="F248" s="64"/>
      <x:c r="G248" s="64"/>
      <x:c r="H248" s="64"/>
      <x:c r="I248" s="64"/>
      <x:c r="J248" s="64"/>
      <x:c r="K248" s="64"/>
      <x:c r="L248" s="64"/>
      <x:c r="M248" s="64"/>
      <x:c r="N248" s="64"/>
      <x:c r="O248" s="64"/>
      <x:c r="P248" s="64"/>
      <x:c r="Q248" s="64"/>
      <x:c r="R248" s="64"/>
      <x:c r="S248" s="64"/>
      <x:c r="T248" s="64"/>
      <x:c r="U248" s="64"/>
      <x:c r="V248" s="64"/>
      <x:c r="W248" s="64"/>
      <x:c r="X248" s="64"/>
      <x:c r="Y248" s="64"/>
      <x:c r="Z248" s="64"/>
      <x:c r="AA248" s="64"/>
      <x:c r="AB248" s="64"/>
      <x:c r="AC248" s="64"/>
      <x:c r="AD248" s="64"/>
      <x:c r="AE248" s="64"/>
      <x:c r="AF248" s="64"/>
      <x:c r="AG248" s="64"/>
    </x:row>
    <x:row r="249">
      <x:c r="A249" s="64"/>
      <x:c r="B249" s="64"/>
      <x:c r="C249" s="64"/>
      <x:c r="D249" s="64"/>
      <x:c r="E249" s="64"/>
      <x:c r="F249" s="64"/>
      <x:c r="G249" s="64"/>
      <x:c r="H249" s="64"/>
      <x:c r="I249" s="64"/>
      <x:c r="J249" s="64"/>
      <x:c r="K249" s="64"/>
      <x:c r="L249" s="64"/>
      <x:c r="M249" s="64"/>
      <x:c r="N249" s="64"/>
      <x:c r="O249" s="64"/>
      <x:c r="P249" s="64"/>
      <x:c r="Q249" s="64"/>
      <x:c r="R249" s="64"/>
      <x:c r="S249" s="64"/>
      <x:c r="T249" s="64"/>
      <x:c r="U249" s="64"/>
      <x:c r="V249" s="64"/>
      <x:c r="W249" s="64"/>
      <x:c r="X249" s="64"/>
      <x:c r="Y249" s="64"/>
      <x:c r="Z249" s="64"/>
      <x:c r="AA249" s="64"/>
      <x:c r="AB249" s="64"/>
      <x:c r="AC249" s="64"/>
      <x:c r="AD249" s="64"/>
      <x:c r="AE249" s="64"/>
      <x:c r="AF249" s="64"/>
      <x:c r="AG249" s="64"/>
    </x:row>
    <x:row r="250">
      <x:c r="A250" s="64"/>
      <x:c r="B250" s="64"/>
      <x:c r="C250" s="64"/>
      <x:c r="D250" s="64"/>
      <x:c r="E250" s="64"/>
      <x:c r="F250" s="64"/>
      <x:c r="G250" s="64"/>
      <x:c r="H250" s="64"/>
      <x:c r="I250" s="64"/>
      <x:c r="J250" s="64"/>
      <x:c r="K250" s="64"/>
      <x:c r="L250" s="64"/>
      <x:c r="M250" s="64"/>
      <x:c r="N250" s="64"/>
      <x:c r="O250" s="64"/>
      <x:c r="P250" s="64"/>
      <x:c r="Q250" s="64"/>
      <x:c r="R250" s="64"/>
      <x:c r="S250" s="64"/>
      <x:c r="T250" s="64"/>
      <x:c r="U250" s="64"/>
      <x:c r="V250" s="64"/>
      <x:c r="W250" s="64"/>
      <x:c r="X250" s="64"/>
      <x:c r="Y250" s="64"/>
      <x:c r="Z250" s="64"/>
      <x:c r="AA250" s="64"/>
      <x:c r="AB250" s="64"/>
      <x:c r="AC250" s="64"/>
      <x:c r="AD250" s="64"/>
      <x:c r="AE250" s="64"/>
      <x:c r="AF250" s="64"/>
      <x:c r="AG250" s="64"/>
    </x:row>
    <x:row r="251">
      <x:c r="A251" s="64"/>
      <x:c r="B251" s="64"/>
      <x:c r="C251" s="64"/>
      <x:c r="D251" s="64"/>
      <x:c r="E251" s="64"/>
      <x:c r="F251" s="64"/>
      <x:c r="G251" s="64"/>
      <x:c r="H251" s="64"/>
      <x:c r="I251" s="64"/>
      <x:c r="J251" s="64"/>
      <x:c r="K251" s="64"/>
      <x:c r="L251" s="64"/>
      <x:c r="M251" s="64"/>
      <x:c r="N251" s="64"/>
      <x:c r="O251" s="64"/>
      <x:c r="P251" s="64"/>
      <x:c r="Q251" s="64"/>
      <x:c r="R251" s="64"/>
      <x:c r="S251" s="64"/>
      <x:c r="T251" s="64"/>
      <x:c r="U251" s="64"/>
      <x:c r="V251" s="64"/>
      <x:c r="W251" s="64"/>
      <x:c r="X251" s="64"/>
      <x:c r="Y251" s="64"/>
      <x:c r="Z251" s="64"/>
      <x:c r="AA251" s="64"/>
      <x:c r="AB251" s="64"/>
      <x:c r="AC251" s="64"/>
      <x:c r="AD251" s="64"/>
      <x:c r="AE251" s="64"/>
      <x:c r="AF251" s="64"/>
      <x:c r="AG251" s="64"/>
    </x:row>
    <x:row r="252">
      <x:c r="A252" s="64"/>
      <x:c r="B252" s="64"/>
      <x:c r="C252" s="64"/>
      <x:c r="D252" s="64"/>
      <x:c r="E252" s="64"/>
      <x:c r="F252" s="64"/>
      <x:c r="G252" s="64"/>
      <x:c r="H252" s="64"/>
      <x:c r="I252" s="64"/>
      <x:c r="J252" s="64"/>
      <x:c r="K252" s="64"/>
      <x:c r="L252" s="64"/>
      <x:c r="M252" s="64"/>
      <x:c r="N252" s="64"/>
      <x:c r="O252" s="64"/>
      <x:c r="P252" s="64"/>
      <x:c r="Q252" s="64"/>
      <x:c r="R252" s="64"/>
      <x:c r="S252" s="64"/>
      <x:c r="T252" s="64"/>
      <x:c r="U252" s="64"/>
      <x:c r="V252" s="64"/>
      <x:c r="W252" s="64"/>
      <x:c r="X252" s="64"/>
      <x:c r="Y252" s="64"/>
      <x:c r="Z252" s="64"/>
      <x:c r="AA252" s="64"/>
      <x:c r="AB252" s="64"/>
      <x:c r="AC252" s="64"/>
      <x:c r="AD252" s="64"/>
      <x:c r="AE252" s="64"/>
      <x:c r="AF252" s="64"/>
      <x:c r="AG252" s="64"/>
    </x:row>
    <x:row r="253">
      <x:c r="A253" s="64"/>
      <x:c r="B253" s="64"/>
      <x:c r="C253" s="64"/>
      <x:c r="D253" s="64"/>
      <x:c r="E253" s="64"/>
      <x:c r="F253" s="64"/>
      <x:c r="G253" s="64"/>
      <x:c r="H253" s="64"/>
      <x:c r="I253" s="64"/>
      <x:c r="J253" s="64"/>
      <x:c r="K253" s="64"/>
      <x:c r="L253" s="64"/>
      <x:c r="M253" s="64"/>
      <x:c r="N253" s="64"/>
      <x:c r="O253" s="64"/>
      <x:c r="P253" s="64"/>
      <x:c r="Q253" s="64"/>
      <x:c r="R253" s="64"/>
      <x:c r="S253" s="64"/>
      <x:c r="T253" s="64"/>
      <x:c r="U253" s="64"/>
      <x:c r="V253" s="64"/>
      <x:c r="W253" s="64"/>
      <x:c r="X253" s="64"/>
      <x:c r="Y253" s="64"/>
      <x:c r="Z253" s="64"/>
      <x:c r="AA253" s="64"/>
      <x:c r="AB253" s="64"/>
      <x:c r="AC253" s="64"/>
      <x:c r="AD253" s="64"/>
      <x:c r="AE253" s="64"/>
      <x:c r="AF253" s="64"/>
      <x:c r="AG253" s="64"/>
    </x:row>
    <x:row r="254">
      <x:c r="A254" s="64"/>
      <x:c r="B254" s="64"/>
      <x:c r="C254" s="64"/>
      <x:c r="D254" s="64"/>
      <x:c r="E254" s="64"/>
      <x:c r="F254" s="64"/>
      <x:c r="G254" s="64"/>
      <x:c r="H254" s="64"/>
      <x:c r="I254" s="64"/>
      <x:c r="J254" s="64"/>
      <x:c r="K254" s="64"/>
      <x:c r="L254" s="64"/>
      <x:c r="M254" s="64"/>
      <x:c r="N254" s="64"/>
      <x:c r="O254" s="64"/>
      <x:c r="P254" s="64"/>
      <x:c r="Q254" s="64"/>
      <x:c r="R254" s="64"/>
      <x:c r="S254" s="64"/>
      <x:c r="T254" s="64"/>
      <x:c r="U254" s="64"/>
      <x:c r="V254" s="64"/>
      <x:c r="W254" s="64"/>
      <x:c r="X254" s="64"/>
      <x:c r="Y254" s="64"/>
      <x:c r="Z254" s="64"/>
      <x:c r="AA254" s="64"/>
      <x:c r="AB254" s="64"/>
      <x:c r="AC254" s="64"/>
      <x:c r="AD254" s="64"/>
      <x:c r="AE254" s="64"/>
      <x:c r="AF254" s="64"/>
      <x:c r="AG254" s="64"/>
    </x:row>
    <x:row r="255">
      <x:c r="A255" s="64"/>
      <x:c r="B255" s="64"/>
      <x:c r="C255" s="64"/>
      <x:c r="D255" s="64"/>
      <x:c r="E255" s="64"/>
      <x:c r="F255" s="64"/>
      <x:c r="G255" s="64"/>
      <x:c r="H255" s="64"/>
      <x:c r="I255" s="64"/>
      <x:c r="J255" s="64"/>
      <x:c r="K255" s="64"/>
      <x:c r="L255" s="64"/>
      <x:c r="M255" s="64"/>
      <x:c r="N255" s="64"/>
      <x:c r="O255" s="64"/>
      <x:c r="P255" s="64"/>
      <x:c r="Q255" s="64"/>
      <x:c r="R255" s="64"/>
      <x:c r="S255" s="64"/>
      <x:c r="T255" s="64"/>
      <x:c r="U255" s="64"/>
      <x:c r="V255" s="64"/>
      <x:c r="W255" s="64"/>
      <x:c r="X255" s="64"/>
      <x:c r="Y255" s="64"/>
      <x:c r="Z255" s="64"/>
      <x:c r="AA255" s="64"/>
      <x:c r="AB255" s="64"/>
      <x:c r="AC255" s="64"/>
      <x:c r="AD255" s="64"/>
      <x:c r="AE255" s="64"/>
      <x:c r="AF255" s="64"/>
      <x:c r="AG255" s="64"/>
    </x:row>
    <x:row r="256">
      <x:c r="A256" s="64"/>
      <x:c r="B256" s="64"/>
      <x:c r="C256" s="64"/>
      <x:c r="D256" s="64"/>
      <x:c r="E256" s="64"/>
      <x:c r="F256" s="64"/>
      <x:c r="G256" s="64"/>
      <x:c r="H256" s="64"/>
      <x:c r="I256" s="64"/>
      <x:c r="J256" s="64"/>
      <x:c r="K256" s="64"/>
      <x:c r="L256" s="64"/>
      <x:c r="M256" s="64"/>
      <x:c r="N256" s="64"/>
      <x:c r="O256" s="64"/>
      <x:c r="P256" s="64"/>
      <x:c r="Q256" s="64"/>
      <x:c r="R256" s="64"/>
      <x:c r="S256" s="64"/>
      <x:c r="T256" s="64"/>
      <x:c r="U256" s="64"/>
      <x:c r="V256" s="64"/>
      <x:c r="W256" s="64"/>
      <x:c r="X256" s="64"/>
      <x:c r="Y256" s="64"/>
      <x:c r="Z256" s="64"/>
      <x:c r="AA256" s="64"/>
      <x:c r="AB256" s="64"/>
      <x:c r="AC256" s="64"/>
      <x:c r="AD256" s="64"/>
      <x:c r="AE256" s="64"/>
      <x:c r="AF256" s="64"/>
      <x:c r="AG256" s="64"/>
    </x:row>
    <x:row r="257">
      <x:c r="A257" s="64"/>
      <x:c r="B257" s="64"/>
      <x:c r="C257" s="64"/>
      <x:c r="D257" s="64"/>
      <x:c r="E257" s="64"/>
      <x:c r="F257" s="64"/>
      <x:c r="G257" s="64"/>
      <x:c r="H257" s="64"/>
      <x:c r="I257" s="64"/>
      <x:c r="J257" s="64"/>
      <x:c r="K257" s="64"/>
      <x:c r="L257" s="64"/>
      <x:c r="M257" s="64"/>
      <x:c r="N257" s="64"/>
      <x:c r="O257" s="64"/>
      <x:c r="P257" s="64"/>
      <x:c r="Q257" s="64"/>
      <x:c r="R257" s="64"/>
      <x:c r="S257" s="64"/>
      <x:c r="T257" s="64"/>
      <x:c r="U257" s="64"/>
      <x:c r="V257" s="64"/>
      <x:c r="W257" s="64"/>
      <x:c r="X257" s="64"/>
      <x:c r="Y257" s="64"/>
      <x:c r="Z257" s="64"/>
      <x:c r="AA257" s="64"/>
      <x:c r="AB257" s="64"/>
      <x:c r="AC257" s="64"/>
      <x:c r="AD257" s="64"/>
      <x:c r="AE257" s="64"/>
      <x:c r="AF257" s="64"/>
      <x:c r="AG257" s="64"/>
    </x:row>
    <x:row r="258">
      <x:c r="A258" s="64"/>
      <x:c r="B258" s="64"/>
      <x:c r="C258" s="64"/>
      <x:c r="D258" s="64"/>
      <x:c r="E258" s="64"/>
      <x:c r="F258" s="64"/>
      <x:c r="G258" s="64"/>
      <x:c r="H258" s="64"/>
      <x:c r="I258" s="64"/>
      <x:c r="J258" s="64"/>
      <x:c r="K258" s="64"/>
      <x:c r="L258" s="64"/>
      <x:c r="M258" s="64"/>
      <x:c r="N258" s="64"/>
      <x:c r="O258" s="64"/>
      <x:c r="P258" s="64"/>
      <x:c r="Q258" s="64"/>
      <x:c r="R258" s="64"/>
      <x:c r="S258" s="64"/>
      <x:c r="T258" s="64"/>
      <x:c r="U258" s="64"/>
      <x:c r="V258" s="64"/>
      <x:c r="W258" s="64"/>
      <x:c r="X258" s="64"/>
      <x:c r="Y258" s="64"/>
      <x:c r="Z258" s="64"/>
      <x:c r="AA258" s="64"/>
      <x:c r="AB258" s="64"/>
      <x:c r="AC258" s="64"/>
      <x:c r="AD258" s="64"/>
      <x:c r="AE258" s="64"/>
      <x:c r="AF258" s="64"/>
      <x:c r="AG258" s="64"/>
    </x:row>
    <x:row r="259">
      <x:c r="A259" s="64"/>
      <x:c r="B259" s="64"/>
      <x:c r="C259" s="64"/>
      <x:c r="D259" s="64"/>
      <x:c r="E259" s="64"/>
      <x:c r="F259" s="64"/>
      <x:c r="G259" s="64"/>
      <x:c r="H259" s="64"/>
      <x:c r="I259" s="64"/>
      <x:c r="J259" s="64"/>
      <x:c r="K259" s="64"/>
      <x:c r="L259" s="64"/>
      <x:c r="M259" s="64"/>
      <x:c r="N259" s="64"/>
      <x:c r="O259" s="64"/>
      <x:c r="P259" s="64"/>
      <x:c r="Q259" s="64"/>
      <x:c r="R259" s="64"/>
      <x:c r="S259" s="64"/>
      <x:c r="T259" s="64"/>
      <x:c r="U259" s="64"/>
      <x:c r="V259" s="64"/>
      <x:c r="W259" s="64"/>
      <x:c r="X259" s="64"/>
      <x:c r="Y259" s="64"/>
      <x:c r="Z259" s="64"/>
      <x:c r="AA259" s="64"/>
      <x:c r="AB259" s="64"/>
      <x:c r="AC259" s="64"/>
      <x:c r="AD259" s="64"/>
      <x:c r="AE259" s="64"/>
      <x:c r="AF259" s="64"/>
      <x:c r="AG259" s="64"/>
    </x:row>
    <x:row r="260">
      <x:c r="A260" s="64"/>
      <x:c r="B260" s="64"/>
      <x:c r="C260" s="64"/>
      <x:c r="D260" s="64"/>
      <x:c r="E260" s="64"/>
      <x:c r="F260" s="64"/>
      <x:c r="G260" s="64"/>
      <x:c r="H260" s="64"/>
      <x:c r="I260" s="64"/>
      <x:c r="J260" s="64"/>
      <x:c r="K260" s="64"/>
      <x:c r="L260" s="64"/>
      <x:c r="M260" s="64"/>
      <x:c r="N260" s="64"/>
      <x:c r="O260" s="64"/>
      <x:c r="P260" s="64"/>
      <x:c r="Q260" s="64"/>
      <x:c r="R260" s="64"/>
      <x:c r="S260" s="64"/>
      <x:c r="T260" s="64"/>
      <x:c r="U260" s="64"/>
      <x:c r="V260" s="64"/>
      <x:c r="W260" s="64"/>
      <x:c r="X260" s="64"/>
      <x:c r="Y260" s="64"/>
      <x:c r="Z260" s="64"/>
      <x:c r="AA260" s="64"/>
      <x:c r="AB260" s="64"/>
      <x:c r="AC260" s="64"/>
      <x:c r="AD260" s="64"/>
      <x:c r="AE260" s="64"/>
      <x:c r="AF260" s="64"/>
      <x:c r="AG260" s="64"/>
    </x:row>
    <x:row r="261">
      <x:c r="A261" s="64"/>
      <x:c r="B261" s="64"/>
      <x:c r="C261" s="64"/>
      <x:c r="D261" s="64"/>
      <x:c r="E261" s="64"/>
      <x:c r="F261" s="64"/>
      <x:c r="G261" s="64"/>
      <x:c r="H261" s="64"/>
      <x:c r="I261" s="64"/>
      <x:c r="J261" s="64"/>
      <x:c r="K261" s="64"/>
      <x:c r="L261" s="64"/>
      <x:c r="M261" s="64"/>
      <x:c r="N261" s="64"/>
      <x:c r="O261" s="64"/>
      <x:c r="P261" s="64"/>
      <x:c r="Q261" s="64"/>
      <x:c r="R261" s="64"/>
      <x:c r="S261" s="64"/>
      <x:c r="T261" s="64"/>
      <x:c r="U261" s="64"/>
      <x:c r="V261" s="64"/>
      <x:c r="W261" s="64"/>
      <x:c r="X261" s="64"/>
      <x:c r="Y261" s="64"/>
      <x:c r="Z261" s="64"/>
      <x:c r="AA261" s="64"/>
      <x:c r="AB261" s="64"/>
      <x:c r="AC261" s="64"/>
      <x:c r="AD261" s="64"/>
      <x:c r="AE261" s="64"/>
      <x:c r="AF261" s="64"/>
      <x:c r="AG261" s="64"/>
    </x:row>
    <x:row r="262">
      <x:c r="A262" s="64"/>
      <x:c r="B262" s="64"/>
      <x:c r="C262" s="64"/>
      <x:c r="D262" s="64"/>
      <x:c r="E262" s="64"/>
      <x:c r="F262" s="64"/>
      <x:c r="G262" s="64"/>
      <x:c r="H262" s="64"/>
      <x:c r="I262" s="64"/>
      <x:c r="J262" s="64"/>
      <x:c r="K262" s="64"/>
      <x:c r="L262" s="64"/>
      <x:c r="M262" s="64"/>
      <x:c r="N262" s="64"/>
      <x:c r="O262" s="64"/>
      <x:c r="P262" s="64"/>
      <x:c r="Q262" s="64"/>
      <x:c r="R262" s="64"/>
      <x:c r="S262" s="64"/>
      <x:c r="T262" s="64"/>
      <x:c r="U262" s="64"/>
      <x:c r="V262" s="64"/>
      <x:c r="W262" s="64"/>
      <x:c r="X262" s="64"/>
      <x:c r="Y262" s="64"/>
      <x:c r="Z262" s="64"/>
      <x:c r="AA262" s="64"/>
      <x:c r="AB262" s="64"/>
      <x:c r="AC262" s="64"/>
      <x:c r="AD262" s="64"/>
      <x:c r="AE262" s="64"/>
      <x:c r="AF262" s="64"/>
      <x:c r="AG262" s="64"/>
    </x:row>
    <x:row r="263">
      <x:c r="A263" s="64"/>
      <x:c r="B263" s="64"/>
      <x:c r="C263" s="64"/>
      <x:c r="D263" s="64"/>
      <x:c r="E263" s="64"/>
      <x:c r="F263" s="64"/>
      <x:c r="G263" s="64"/>
      <x:c r="H263" s="64"/>
      <x:c r="I263" s="64"/>
      <x:c r="J263" s="64"/>
      <x:c r="K263" s="64"/>
      <x:c r="L263" s="64"/>
      <x:c r="M263" s="64"/>
      <x:c r="N263" s="64"/>
      <x:c r="O263" s="64"/>
      <x:c r="P263" s="64"/>
      <x:c r="Q263" s="64"/>
      <x:c r="R263" s="64"/>
      <x:c r="S263" s="64"/>
      <x:c r="T263" s="64"/>
      <x:c r="U263" s="64"/>
      <x:c r="V263" s="64"/>
      <x:c r="W263" s="64"/>
      <x:c r="X263" s="64"/>
      <x:c r="Y263" s="64"/>
      <x:c r="Z263" s="64"/>
      <x:c r="AA263" s="64"/>
      <x:c r="AB263" s="64"/>
      <x:c r="AC263" s="64"/>
      <x:c r="AD263" s="64"/>
      <x:c r="AE263" s="64"/>
      <x:c r="AF263" s="64"/>
      <x:c r="AG263" s="64"/>
    </x:row>
    <x:row r="264">
      <x:c r="A264" s="64"/>
      <x:c r="B264" s="64"/>
      <x:c r="C264" s="64"/>
      <x:c r="D264" s="64"/>
      <x:c r="E264" s="64"/>
      <x:c r="F264" s="64"/>
      <x:c r="G264" s="64"/>
      <x:c r="H264" s="64"/>
      <x:c r="I264" s="64"/>
      <x:c r="J264" s="64"/>
      <x:c r="K264" s="64"/>
      <x:c r="L264" s="64"/>
      <x:c r="M264" s="64"/>
      <x:c r="N264" s="64"/>
      <x:c r="O264" s="64"/>
      <x:c r="P264" s="64"/>
      <x:c r="Q264" s="64"/>
      <x:c r="R264" s="64"/>
      <x:c r="S264" s="64"/>
      <x:c r="T264" s="64"/>
      <x:c r="U264" s="64"/>
      <x:c r="V264" s="64"/>
      <x:c r="W264" s="64"/>
      <x:c r="X264" s="64"/>
      <x:c r="Y264" s="64"/>
      <x:c r="Z264" s="64"/>
      <x:c r="AA264" s="64"/>
      <x:c r="AB264" s="64"/>
      <x:c r="AC264" s="64"/>
      <x:c r="AD264" s="64"/>
      <x:c r="AE264" s="64"/>
      <x:c r="AF264" s="64"/>
      <x:c r="AG264" s="64"/>
    </x:row>
    <x:row r="265">
      <x:c r="A265" s="64"/>
      <x:c r="B265" s="64"/>
      <x:c r="C265" s="64"/>
      <x:c r="D265" s="64"/>
      <x:c r="E265" s="64"/>
      <x:c r="F265" s="64"/>
      <x:c r="G265" s="64"/>
      <x:c r="H265" s="64"/>
      <x:c r="I265" s="64"/>
      <x:c r="J265" s="64"/>
      <x:c r="K265" s="64"/>
      <x:c r="L265" s="64"/>
      <x:c r="M265" s="64"/>
      <x:c r="N265" s="64"/>
      <x:c r="O265" s="64"/>
      <x:c r="P265" s="64"/>
      <x:c r="Q265" s="64"/>
      <x:c r="R265" s="64"/>
      <x:c r="S265" s="64"/>
      <x:c r="T265" s="64"/>
      <x:c r="U265" s="64"/>
      <x:c r="V265" s="64"/>
      <x:c r="W265" s="64"/>
      <x:c r="X265" s="64"/>
      <x:c r="Y265" s="64"/>
      <x:c r="Z265" s="64"/>
      <x:c r="AA265" s="64"/>
      <x:c r="AB265" s="64"/>
      <x:c r="AC265" s="64"/>
      <x:c r="AD265" s="64"/>
      <x:c r="AE265" s="64"/>
      <x:c r="AF265" s="64"/>
      <x:c r="AG265" s="64"/>
    </x:row>
    <x:row r="266">
      <x:c r="A266" s="64"/>
      <x:c r="B266" s="64"/>
      <x:c r="C266" s="64"/>
      <x:c r="D266" s="64"/>
      <x:c r="E266" s="64"/>
      <x:c r="F266" s="64"/>
      <x:c r="G266" s="64"/>
      <x:c r="H266" s="64"/>
      <x:c r="I266" s="64"/>
      <x:c r="J266" s="64"/>
      <x:c r="K266" s="64"/>
      <x:c r="L266" s="64"/>
      <x:c r="M266" s="64"/>
      <x:c r="N266" s="64"/>
      <x:c r="O266" s="64"/>
      <x:c r="P266" s="64"/>
      <x:c r="Q266" s="64"/>
      <x:c r="R266" s="64"/>
      <x:c r="S266" s="64"/>
      <x:c r="T266" s="64"/>
      <x:c r="U266" s="64"/>
      <x:c r="V266" s="64"/>
      <x:c r="W266" s="64"/>
      <x:c r="X266" s="64"/>
      <x:c r="Y266" s="64"/>
      <x:c r="Z266" s="64"/>
      <x:c r="AA266" s="64"/>
      <x:c r="AB266" s="64"/>
      <x:c r="AC266" s="64"/>
      <x:c r="AD266" s="64"/>
      <x:c r="AE266" s="64"/>
      <x:c r="AF266" s="64"/>
      <x:c r="AG266" s="64"/>
    </x:row>
    <x:row r="267">
      <x:c r="A267" s="64"/>
      <x:c r="B267" s="64"/>
      <x:c r="C267" s="64"/>
      <x:c r="D267" s="64"/>
      <x:c r="E267" s="64"/>
      <x:c r="F267" s="64"/>
      <x:c r="G267" s="64"/>
      <x:c r="H267" s="64"/>
      <x:c r="I267" s="64"/>
      <x:c r="J267" s="64"/>
      <x:c r="K267" s="64"/>
      <x:c r="L267" s="64"/>
      <x:c r="M267" s="64"/>
      <x:c r="N267" s="64"/>
      <x:c r="O267" s="64"/>
      <x:c r="P267" s="64"/>
      <x:c r="Q267" s="64"/>
      <x:c r="R267" s="64"/>
      <x:c r="S267" s="64"/>
      <x:c r="T267" s="64"/>
      <x:c r="U267" s="64"/>
      <x:c r="V267" s="64"/>
      <x:c r="W267" s="64"/>
      <x:c r="X267" s="64"/>
      <x:c r="Y267" s="64"/>
      <x:c r="Z267" s="64"/>
      <x:c r="AA267" s="64"/>
      <x:c r="AB267" s="64"/>
      <x:c r="AC267" s="64"/>
      <x:c r="AD267" s="64"/>
      <x:c r="AE267" s="64"/>
      <x:c r="AF267" s="64"/>
      <x:c r="AG267" s="64"/>
    </x:row>
    <x:row r="268">
      <x:c r="A268" s="64"/>
      <x:c r="B268" s="64"/>
      <x:c r="C268" s="64"/>
      <x:c r="D268" s="64"/>
      <x:c r="E268" s="64"/>
      <x:c r="F268" s="64"/>
      <x:c r="G268" s="64"/>
      <x:c r="H268" s="64"/>
      <x:c r="I268" s="64"/>
      <x:c r="J268" s="64"/>
      <x:c r="K268" s="64"/>
      <x:c r="L268" s="64"/>
      <x:c r="M268" s="64"/>
      <x:c r="N268" s="64"/>
      <x:c r="O268" s="64"/>
      <x:c r="P268" s="64"/>
      <x:c r="Q268" s="64"/>
      <x:c r="R268" s="64"/>
      <x:c r="S268" s="64"/>
      <x:c r="T268" s="64"/>
      <x:c r="U268" s="64"/>
      <x:c r="V268" s="64"/>
      <x:c r="W268" s="64"/>
      <x:c r="X268" s="64"/>
      <x:c r="Y268" s="64"/>
      <x:c r="Z268" s="64"/>
      <x:c r="AA268" s="64"/>
      <x:c r="AB268" s="64"/>
      <x:c r="AC268" s="64"/>
      <x:c r="AD268" s="64"/>
      <x:c r="AE268" s="64"/>
      <x:c r="AF268" s="64"/>
      <x:c r="AG268" s="64"/>
    </x:row>
    <x:row r="269">
      <x:c r="A269" s="64"/>
      <x:c r="B269" s="64"/>
      <x:c r="C269" s="64"/>
      <x:c r="D269" s="64"/>
      <x:c r="E269" s="64"/>
      <x:c r="F269" s="64"/>
      <x:c r="G269" s="64"/>
      <x:c r="H269" s="64"/>
      <x:c r="I269" s="64"/>
      <x:c r="J269" s="64"/>
      <x:c r="K269" s="64"/>
      <x:c r="L269" s="64"/>
      <x:c r="M269" s="64"/>
      <x:c r="N269" s="64"/>
      <x:c r="O269" s="64"/>
      <x:c r="P269" s="64"/>
      <x:c r="Q269" s="64"/>
      <x:c r="R269" s="64"/>
      <x:c r="S269" s="64"/>
      <x:c r="T269" s="64"/>
      <x:c r="U269" s="64"/>
      <x:c r="V269" s="64"/>
      <x:c r="W269" s="64"/>
      <x:c r="X269" s="64"/>
      <x:c r="Y269" s="64"/>
      <x:c r="Z269" s="64"/>
      <x:c r="AA269" s="64"/>
      <x:c r="AB269" s="64"/>
      <x:c r="AC269" s="64"/>
      <x:c r="AD269" s="64"/>
      <x:c r="AE269" s="64"/>
      <x:c r="AF269" s="64"/>
      <x:c r="AG269" s="64"/>
    </x:row>
    <x:row r="270">
      <x:c r="A270" s="64"/>
      <x:c r="B270" s="64"/>
      <x:c r="C270" s="64"/>
      <x:c r="D270" s="64"/>
      <x:c r="E270" s="64"/>
      <x:c r="F270" s="64"/>
      <x:c r="G270" s="64"/>
      <x:c r="H270" s="64"/>
      <x:c r="I270" s="64"/>
      <x:c r="J270" s="64"/>
      <x:c r="K270" s="64"/>
      <x:c r="L270" s="64"/>
      <x:c r="M270" s="64"/>
      <x:c r="N270" s="64"/>
      <x:c r="O270" s="64"/>
      <x:c r="P270" s="64"/>
      <x:c r="Q270" s="64"/>
      <x:c r="R270" s="64"/>
      <x:c r="S270" s="64"/>
      <x:c r="T270" s="64"/>
      <x:c r="U270" s="64"/>
      <x:c r="V270" s="64"/>
      <x:c r="W270" s="64"/>
      <x:c r="X270" s="64"/>
      <x:c r="Y270" s="64"/>
      <x:c r="Z270" s="64"/>
      <x:c r="AA270" s="64"/>
      <x:c r="AB270" s="64"/>
      <x:c r="AC270" s="64"/>
      <x:c r="AD270" s="64"/>
      <x:c r="AE270" s="64"/>
      <x:c r="AF270" s="64"/>
      <x:c r="AG270" s="64"/>
    </x:row>
    <x:row r="271">
      <x:c r="A271" s="64"/>
      <x:c r="B271" s="64"/>
      <x:c r="C271" s="64"/>
      <x:c r="D271" s="64"/>
      <x:c r="E271" s="64"/>
      <x:c r="F271" s="64"/>
      <x:c r="G271" s="64"/>
      <x:c r="H271" s="64"/>
      <x:c r="I271" s="64"/>
      <x:c r="J271" s="64"/>
      <x:c r="K271" s="64"/>
      <x:c r="L271" s="64"/>
      <x:c r="M271" s="64"/>
      <x:c r="N271" s="64"/>
      <x:c r="O271" s="64"/>
      <x:c r="P271" s="64"/>
      <x:c r="Q271" s="64"/>
      <x:c r="R271" s="64"/>
      <x:c r="S271" s="64"/>
      <x:c r="T271" s="64"/>
      <x:c r="U271" s="64"/>
      <x:c r="V271" s="64"/>
      <x:c r="W271" s="64"/>
      <x:c r="X271" s="64"/>
      <x:c r="Y271" s="64"/>
      <x:c r="Z271" s="64"/>
      <x:c r="AA271" s="64"/>
      <x:c r="AB271" s="64"/>
      <x:c r="AC271" s="64"/>
      <x:c r="AD271" s="64"/>
      <x:c r="AE271" s="64"/>
      <x:c r="AF271" s="64"/>
      <x:c r="AG271" s="64"/>
    </x:row>
    <x:row r="272">
      <x:c r="A272" s="64"/>
      <x:c r="B272" s="64"/>
      <x:c r="C272" s="64"/>
      <x:c r="D272" s="64"/>
      <x:c r="E272" s="64"/>
      <x:c r="F272" s="64"/>
      <x:c r="G272" s="64"/>
      <x:c r="H272" s="64"/>
      <x:c r="I272" s="64"/>
      <x:c r="J272" s="64"/>
      <x:c r="K272" s="64"/>
      <x:c r="L272" s="64"/>
      <x:c r="M272" s="64"/>
      <x:c r="N272" s="64"/>
      <x:c r="O272" s="64"/>
      <x:c r="P272" s="64"/>
      <x:c r="Q272" s="64"/>
      <x:c r="R272" s="64"/>
      <x:c r="S272" s="64"/>
      <x:c r="T272" s="64"/>
      <x:c r="U272" s="64"/>
      <x:c r="V272" s="64"/>
      <x:c r="W272" s="64"/>
      <x:c r="X272" s="64"/>
      <x:c r="Y272" s="64"/>
      <x:c r="Z272" s="64"/>
      <x:c r="AA272" s="64"/>
      <x:c r="AB272" s="64"/>
      <x:c r="AC272" s="64"/>
      <x:c r="AD272" s="64"/>
      <x:c r="AE272" s="64"/>
      <x:c r="AF272" s="64"/>
      <x:c r="AG272" s="64"/>
    </x:row>
    <x:row r="273">
      <x:c r="A273" s="64"/>
      <x:c r="B273" s="64"/>
      <x:c r="C273" s="64"/>
      <x:c r="D273" s="64"/>
      <x:c r="E273" s="64"/>
      <x:c r="F273" s="64"/>
      <x:c r="G273" s="64"/>
      <x:c r="H273" s="64"/>
      <x:c r="I273" s="64"/>
      <x:c r="J273" s="64"/>
      <x:c r="K273" s="64"/>
      <x:c r="L273" s="64"/>
      <x:c r="M273" s="64"/>
      <x:c r="N273" s="64"/>
      <x:c r="O273" s="64"/>
      <x:c r="P273" s="64"/>
      <x:c r="Q273" s="64"/>
      <x:c r="R273" s="64"/>
      <x:c r="S273" s="64"/>
      <x:c r="T273" s="64"/>
      <x:c r="U273" s="64"/>
      <x:c r="V273" s="64"/>
      <x:c r="W273" s="64"/>
      <x:c r="X273" s="64"/>
      <x:c r="Y273" s="64"/>
      <x:c r="Z273" s="64"/>
      <x:c r="AA273" s="64"/>
      <x:c r="AB273" s="64"/>
      <x:c r="AC273" s="64"/>
      <x:c r="AD273" s="64"/>
      <x:c r="AE273" s="64"/>
      <x:c r="AF273" s="64"/>
      <x:c r="AG273" s="64"/>
    </x:row>
    <x:row r="274">
      <x:c r="A274" s="64"/>
      <x:c r="B274" s="64"/>
      <x:c r="C274" s="64"/>
      <x:c r="D274" s="64"/>
      <x:c r="E274" s="64"/>
      <x:c r="F274" s="64"/>
      <x:c r="G274" s="64"/>
      <x:c r="H274" s="64"/>
      <x:c r="I274" s="64"/>
      <x:c r="J274" s="64"/>
      <x:c r="K274" s="64"/>
      <x:c r="L274" s="64"/>
      <x:c r="M274" s="64"/>
      <x:c r="N274" s="64"/>
      <x:c r="O274" s="64"/>
      <x:c r="P274" s="64"/>
      <x:c r="Q274" s="64"/>
      <x:c r="R274" s="64"/>
      <x:c r="S274" s="64"/>
      <x:c r="T274" s="64"/>
      <x:c r="U274" s="64"/>
      <x:c r="V274" s="64"/>
      <x:c r="W274" s="64"/>
      <x:c r="X274" s="64"/>
      <x:c r="Y274" s="64"/>
      <x:c r="Z274" s="64"/>
      <x:c r="AA274" s="64"/>
      <x:c r="AB274" s="64"/>
      <x:c r="AC274" s="64"/>
      <x:c r="AD274" s="64"/>
      <x:c r="AE274" s="64"/>
      <x:c r="AF274" s="64"/>
      <x:c r="AG274" s="64"/>
    </x:row>
    <x:row r="275">
      <x:c r="A275" s="64"/>
      <x:c r="B275" s="64"/>
      <x:c r="C275" s="64"/>
      <x:c r="D275" s="64"/>
      <x:c r="E275" s="64"/>
      <x:c r="F275" s="64"/>
      <x:c r="G275" s="64"/>
      <x:c r="H275" s="64"/>
      <x:c r="I275" s="64"/>
      <x:c r="J275" s="64"/>
      <x:c r="K275" s="64"/>
      <x:c r="L275" s="64"/>
      <x:c r="M275" s="64"/>
      <x:c r="N275" s="64"/>
      <x:c r="O275" s="64"/>
      <x:c r="P275" s="64"/>
      <x:c r="Q275" s="64"/>
      <x:c r="R275" s="64"/>
      <x:c r="S275" s="64"/>
      <x:c r="T275" s="64"/>
      <x:c r="U275" s="64"/>
      <x:c r="V275" s="64"/>
      <x:c r="W275" s="64"/>
      <x:c r="X275" s="64"/>
      <x:c r="Y275" s="64"/>
      <x:c r="Z275" s="64"/>
      <x:c r="AA275" s="64"/>
      <x:c r="AB275" s="64"/>
      <x:c r="AC275" s="64"/>
      <x:c r="AD275" s="64"/>
      <x:c r="AE275" s="64"/>
      <x:c r="AF275" s="64"/>
      <x:c r="AG275" s="64"/>
    </x:row>
    <x:row r="276">
      <x:c r="A276" s="64"/>
      <x:c r="B276" s="64"/>
      <x:c r="C276" s="64"/>
      <x:c r="D276" s="64"/>
      <x:c r="E276" s="64"/>
      <x:c r="F276" s="64"/>
      <x:c r="G276" s="64"/>
      <x:c r="H276" s="64"/>
      <x:c r="I276" s="64"/>
      <x:c r="J276" s="64"/>
      <x:c r="K276" s="64"/>
      <x:c r="L276" s="64"/>
      <x:c r="M276" s="64"/>
      <x:c r="N276" s="64"/>
      <x:c r="O276" s="64"/>
      <x:c r="P276" s="64"/>
      <x:c r="Q276" s="64"/>
      <x:c r="R276" s="64"/>
      <x:c r="S276" s="64"/>
      <x:c r="T276" s="64"/>
      <x:c r="U276" s="64"/>
      <x:c r="V276" s="64"/>
      <x:c r="W276" s="64"/>
      <x:c r="X276" s="64"/>
      <x:c r="Y276" s="64"/>
      <x:c r="Z276" s="64"/>
      <x:c r="AA276" s="64"/>
      <x:c r="AB276" s="64"/>
      <x:c r="AC276" s="64"/>
      <x:c r="AD276" s="64"/>
      <x:c r="AE276" s="64"/>
      <x:c r="AF276" s="64"/>
      <x:c r="AG276" s="64"/>
    </x:row>
    <x:row r="277">
      <x:c r="A277" s="64"/>
      <x:c r="B277" s="64"/>
      <x:c r="C277" s="64"/>
      <x:c r="D277" s="64"/>
      <x:c r="E277" s="64"/>
      <x:c r="F277" s="64"/>
      <x:c r="G277" s="64"/>
      <x:c r="H277" s="64"/>
      <x:c r="I277" s="64"/>
      <x:c r="J277" s="64"/>
      <x:c r="K277" s="64"/>
      <x:c r="L277" s="64"/>
      <x:c r="M277" s="64"/>
      <x:c r="N277" s="64"/>
      <x:c r="O277" s="64"/>
      <x:c r="P277" s="64"/>
      <x:c r="Q277" s="64"/>
      <x:c r="R277" s="64"/>
      <x:c r="S277" s="64"/>
      <x:c r="T277" s="64"/>
      <x:c r="U277" s="64"/>
      <x:c r="V277" s="64"/>
      <x:c r="W277" s="64"/>
      <x:c r="X277" s="64"/>
      <x:c r="Y277" s="64"/>
      <x:c r="Z277" s="64"/>
      <x:c r="AA277" s="64"/>
      <x:c r="AB277" s="64"/>
      <x:c r="AC277" s="64"/>
      <x:c r="AD277" s="64"/>
      <x:c r="AE277" s="64"/>
      <x:c r="AF277" s="64"/>
      <x:c r="AG277" s="64"/>
    </x:row>
    <x:row r="278">
      <x:c r="A278" s="64"/>
      <x:c r="B278" s="64"/>
      <x:c r="C278" s="64"/>
      <x:c r="D278" s="64"/>
      <x:c r="E278" s="64"/>
      <x:c r="F278" s="64"/>
      <x:c r="G278" s="64"/>
      <x:c r="H278" s="64"/>
      <x:c r="I278" s="64"/>
      <x:c r="J278" s="64"/>
      <x:c r="K278" s="64"/>
      <x:c r="L278" s="64"/>
      <x:c r="M278" s="64"/>
      <x:c r="N278" s="64"/>
      <x:c r="O278" s="64"/>
      <x:c r="P278" s="64"/>
      <x:c r="Q278" s="64"/>
      <x:c r="R278" s="64"/>
      <x:c r="S278" s="64"/>
      <x:c r="T278" s="64"/>
      <x:c r="U278" s="64"/>
      <x:c r="V278" s="64"/>
      <x:c r="W278" s="64"/>
      <x:c r="X278" s="64"/>
      <x:c r="Y278" s="64"/>
      <x:c r="Z278" s="64"/>
      <x:c r="AA278" s="64"/>
      <x:c r="AB278" s="64"/>
      <x:c r="AC278" s="64"/>
      <x:c r="AD278" s="64"/>
      <x:c r="AE278" s="64"/>
      <x:c r="AF278" s="64"/>
      <x:c r="AG278" s="64"/>
    </x:row>
    <x:row r="279">
      <x:c r="A279" s="64"/>
      <x:c r="B279" s="64"/>
      <x:c r="C279" s="64"/>
      <x:c r="D279" s="64"/>
      <x:c r="E279" s="64"/>
      <x:c r="F279" s="64"/>
      <x:c r="G279" s="64"/>
      <x:c r="H279" s="64"/>
      <x:c r="I279" s="64"/>
      <x:c r="J279" s="64"/>
      <x:c r="K279" s="64"/>
      <x:c r="L279" s="64"/>
      <x:c r="M279" s="64"/>
      <x:c r="N279" s="64"/>
      <x:c r="O279" s="64"/>
      <x:c r="P279" s="64"/>
      <x:c r="Q279" s="64"/>
      <x:c r="R279" s="64"/>
      <x:c r="S279" s="64"/>
      <x:c r="T279" s="64"/>
      <x:c r="U279" s="64"/>
      <x:c r="V279" s="64"/>
      <x:c r="W279" s="64"/>
      <x:c r="X279" s="64"/>
      <x:c r="Y279" s="64"/>
      <x:c r="Z279" s="64"/>
      <x:c r="AA279" s="64"/>
      <x:c r="AB279" s="64"/>
      <x:c r="AC279" s="64"/>
      <x:c r="AD279" s="64"/>
      <x:c r="AE279" s="64"/>
      <x:c r="AF279" s="64"/>
      <x:c r="AG279" s="64"/>
    </x:row>
    <x:row r="280">
      <x:c r="A280" s="64"/>
      <x:c r="B280" s="64"/>
      <x:c r="C280" s="64"/>
      <x:c r="D280" s="64"/>
      <x:c r="E280" s="64"/>
      <x:c r="F280" s="64"/>
      <x:c r="G280" s="64"/>
      <x:c r="H280" s="64"/>
      <x:c r="I280" s="64"/>
      <x:c r="J280" s="64"/>
      <x:c r="K280" s="64"/>
      <x:c r="L280" s="64"/>
      <x:c r="M280" s="64"/>
      <x:c r="N280" s="64"/>
      <x:c r="O280" s="64"/>
      <x:c r="P280" s="64"/>
      <x:c r="Q280" s="64"/>
      <x:c r="R280" s="64"/>
      <x:c r="S280" s="64"/>
      <x:c r="T280" s="64"/>
      <x:c r="U280" s="64"/>
      <x:c r="V280" s="64"/>
      <x:c r="W280" s="64"/>
      <x:c r="X280" s="64"/>
      <x:c r="Y280" s="64"/>
      <x:c r="Z280" s="64"/>
      <x:c r="AA280" s="64"/>
      <x:c r="AB280" s="64"/>
      <x:c r="AC280" s="64"/>
      <x:c r="AD280" s="64"/>
      <x:c r="AE280" s="64"/>
      <x:c r="AF280" s="64"/>
      <x:c r="AG280" s="64"/>
    </x:row>
    <x:row r="281">
      <x:c r="A281" s="64"/>
      <x:c r="B281" s="64"/>
      <x:c r="C281" s="64"/>
      <x:c r="D281" s="64"/>
      <x:c r="E281" s="64"/>
      <x:c r="F281" s="64"/>
      <x:c r="G281" s="64"/>
      <x:c r="H281" s="64"/>
      <x:c r="I281" s="64"/>
      <x:c r="J281" s="64"/>
      <x:c r="K281" s="64"/>
      <x:c r="L281" s="64"/>
      <x:c r="M281" s="64"/>
      <x:c r="N281" s="64"/>
      <x:c r="O281" s="64"/>
      <x:c r="P281" s="64"/>
      <x:c r="Q281" s="64"/>
      <x:c r="R281" s="64"/>
      <x:c r="S281" s="64"/>
      <x:c r="T281" s="64"/>
      <x:c r="U281" s="64"/>
      <x:c r="V281" s="64"/>
      <x:c r="W281" s="64"/>
      <x:c r="X281" s="64"/>
      <x:c r="Y281" s="64"/>
      <x:c r="Z281" s="64"/>
      <x:c r="AA281" s="64"/>
      <x:c r="AB281" s="64"/>
      <x:c r="AC281" s="64"/>
      <x:c r="AD281" s="64"/>
      <x:c r="AE281" s="64"/>
      <x:c r="AF281" s="64"/>
      <x:c r="AG281" s="64"/>
    </x:row>
    <x:row r="282">
      <x:c r="A282" s="64"/>
      <x:c r="B282" s="64"/>
      <x:c r="C282" s="64"/>
      <x:c r="D282" s="64"/>
      <x:c r="E282" s="64"/>
      <x:c r="F282" s="64"/>
      <x:c r="G282" s="64"/>
      <x:c r="H282" s="64"/>
      <x:c r="I282" s="64"/>
      <x:c r="J282" s="64"/>
      <x:c r="K282" s="64"/>
      <x:c r="L282" s="64"/>
      <x:c r="M282" s="64"/>
      <x:c r="N282" s="64"/>
      <x:c r="O282" s="64"/>
      <x:c r="P282" s="64"/>
      <x:c r="Q282" s="64"/>
      <x:c r="R282" s="64"/>
      <x:c r="S282" s="64"/>
      <x:c r="T282" s="64"/>
      <x:c r="U282" s="64"/>
      <x:c r="V282" s="64"/>
      <x:c r="W282" s="64"/>
      <x:c r="X282" s="64"/>
      <x:c r="Y282" s="64"/>
      <x:c r="Z282" s="64"/>
      <x:c r="AA282" s="64"/>
      <x:c r="AB282" s="64"/>
      <x:c r="AC282" s="64"/>
      <x:c r="AD282" s="64"/>
      <x:c r="AE282" s="64"/>
      <x:c r="AF282" s="64"/>
      <x:c r="AG282" s="64"/>
    </x:row>
    <x:row r="283">
      <x:c r="A283" s="64"/>
      <x:c r="B283" s="64"/>
      <x:c r="C283" s="64"/>
      <x:c r="D283" s="64"/>
      <x:c r="E283" s="64"/>
      <x:c r="F283" s="64"/>
      <x:c r="G283" s="64"/>
      <x:c r="H283" s="64"/>
      <x:c r="I283" s="64"/>
      <x:c r="J283" s="64"/>
      <x:c r="K283" s="64"/>
      <x:c r="L283" s="64"/>
      <x:c r="M283" s="64"/>
      <x:c r="N283" s="64"/>
      <x:c r="O283" s="64"/>
      <x:c r="P283" s="64"/>
      <x:c r="Q283" s="64"/>
      <x:c r="R283" s="64"/>
      <x:c r="S283" s="64"/>
      <x:c r="T283" s="64"/>
      <x:c r="U283" s="64"/>
      <x:c r="V283" s="64"/>
      <x:c r="W283" s="64"/>
      <x:c r="X283" s="64"/>
      <x:c r="Y283" s="64"/>
      <x:c r="Z283" s="64"/>
      <x:c r="AA283" s="64"/>
      <x:c r="AB283" s="64"/>
      <x:c r="AC283" s="64"/>
      <x:c r="AD283" s="64"/>
      <x:c r="AE283" s="64"/>
      <x:c r="AF283" s="64"/>
      <x:c r="AG283" s="64"/>
    </x:row>
    <x:row r="284">
      <x:c r="A284" s="64"/>
      <x:c r="B284" s="64"/>
      <x:c r="C284" s="64"/>
      <x:c r="D284" s="64"/>
      <x:c r="E284" s="64"/>
      <x:c r="F284" s="64"/>
      <x:c r="G284" s="64"/>
      <x:c r="H284" s="64"/>
      <x:c r="I284" s="64"/>
      <x:c r="J284" s="64"/>
      <x:c r="K284" s="64"/>
      <x:c r="L284" s="64"/>
      <x:c r="M284" s="64"/>
      <x:c r="N284" s="64"/>
      <x:c r="O284" s="64"/>
      <x:c r="P284" s="64"/>
      <x:c r="Q284" s="64"/>
      <x:c r="R284" s="64"/>
      <x:c r="S284" s="64"/>
      <x:c r="T284" s="64"/>
      <x:c r="U284" s="64"/>
      <x:c r="V284" s="64"/>
      <x:c r="W284" s="64"/>
      <x:c r="X284" s="64"/>
      <x:c r="Y284" s="64"/>
      <x:c r="Z284" s="64"/>
      <x:c r="AA284" s="64"/>
      <x:c r="AB284" s="64"/>
      <x:c r="AC284" s="64"/>
      <x:c r="AD284" s="64"/>
      <x:c r="AE284" s="64"/>
      <x:c r="AF284" s="64"/>
      <x:c r="AG284" s="64"/>
    </x:row>
    <x:row r="285">
      <x:c r="A285" s="64"/>
      <x:c r="B285" s="64"/>
      <x:c r="C285" s="64"/>
      <x:c r="D285" s="64"/>
      <x:c r="E285" s="64"/>
      <x:c r="F285" s="64"/>
      <x:c r="G285" s="64"/>
      <x:c r="H285" s="64"/>
      <x:c r="I285" s="64"/>
      <x:c r="J285" s="64"/>
      <x:c r="K285" s="64"/>
      <x:c r="L285" s="64"/>
      <x:c r="M285" s="64"/>
      <x:c r="N285" s="64"/>
      <x:c r="O285" s="64"/>
      <x:c r="P285" s="64"/>
      <x:c r="Q285" s="64"/>
      <x:c r="R285" s="64"/>
      <x:c r="S285" s="64"/>
      <x:c r="T285" s="64"/>
      <x:c r="U285" s="64"/>
      <x:c r="V285" s="64"/>
      <x:c r="W285" s="64"/>
      <x:c r="X285" s="64"/>
      <x:c r="Y285" s="64"/>
      <x:c r="Z285" s="64"/>
      <x:c r="AA285" s="64"/>
      <x:c r="AB285" s="64"/>
      <x:c r="AC285" s="64"/>
      <x:c r="AD285" s="64"/>
      <x:c r="AE285" s="64"/>
      <x:c r="AF285" s="64"/>
      <x:c r="AG285" s="64"/>
    </x:row>
    <x:row r="286">
      <x:c r="A286" s="64"/>
      <x:c r="B286" s="64"/>
      <x:c r="C286" s="64"/>
      <x:c r="D286" s="64"/>
      <x:c r="E286" s="64"/>
      <x:c r="F286" s="64"/>
      <x:c r="G286" s="64"/>
      <x:c r="H286" s="64"/>
      <x:c r="I286" s="64"/>
      <x:c r="J286" s="64"/>
      <x:c r="K286" s="64"/>
      <x:c r="L286" s="64"/>
      <x:c r="M286" s="64"/>
      <x:c r="N286" s="64"/>
      <x:c r="O286" s="64"/>
      <x:c r="P286" s="64"/>
      <x:c r="Q286" s="64"/>
      <x:c r="R286" s="64"/>
      <x:c r="S286" s="64"/>
      <x:c r="T286" s="64"/>
      <x:c r="U286" s="64"/>
      <x:c r="V286" s="64"/>
      <x:c r="W286" s="64"/>
      <x:c r="X286" s="64"/>
      <x:c r="Y286" s="64"/>
      <x:c r="Z286" s="64"/>
      <x:c r="AA286" s="64"/>
      <x:c r="AB286" s="64"/>
      <x:c r="AC286" s="64"/>
      <x:c r="AD286" s="64"/>
      <x:c r="AE286" s="64"/>
      <x:c r="AF286" s="64"/>
      <x:c r="AG286" s="64"/>
    </x:row>
    <x:row r="287">
      <x:c r="A287" s="64"/>
      <x:c r="B287" s="64"/>
      <x:c r="C287" s="64"/>
      <x:c r="D287" s="64"/>
      <x:c r="E287" s="64"/>
      <x:c r="F287" s="64"/>
      <x:c r="G287" s="64"/>
      <x:c r="H287" s="64"/>
      <x:c r="I287" s="64"/>
      <x:c r="J287" s="64"/>
      <x:c r="K287" s="64"/>
      <x:c r="L287" s="64"/>
      <x:c r="M287" s="64"/>
      <x:c r="N287" s="64"/>
      <x:c r="O287" s="64"/>
      <x:c r="P287" s="64"/>
      <x:c r="Q287" s="64"/>
      <x:c r="R287" s="64"/>
      <x:c r="S287" s="64"/>
      <x:c r="T287" s="64"/>
      <x:c r="U287" s="64"/>
      <x:c r="V287" s="64"/>
      <x:c r="W287" s="64"/>
      <x:c r="X287" s="64"/>
      <x:c r="Y287" s="64"/>
      <x:c r="Z287" s="64"/>
      <x:c r="AA287" s="64"/>
      <x:c r="AB287" s="64"/>
      <x:c r="AC287" s="64"/>
      <x:c r="AD287" s="64"/>
      <x:c r="AE287" s="64"/>
      <x:c r="AF287" s="64"/>
      <x:c r="AG287" s="64"/>
    </x:row>
    <x:row r="288">
      <x:c r="A288" s="64"/>
      <x:c r="B288" s="64"/>
      <x:c r="C288" s="64"/>
      <x:c r="D288" s="64"/>
      <x:c r="E288" s="64"/>
      <x:c r="F288" s="64"/>
      <x:c r="G288" s="64"/>
      <x:c r="H288" s="64"/>
      <x:c r="I288" s="64"/>
      <x:c r="J288" s="64"/>
      <x:c r="K288" s="64"/>
      <x:c r="L288" s="64"/>
      <x:c r="M288" s="64"/>
      <x:c r="N288" s="64"/>
      <x:c r="O288" s="64"/>
      <x:c r="P288" s="64"/>
      <x:c r="Q288" s="64"/>
      <x:c r="R288" s="64"/>
      <x:c r="S288" s="64"/>
      <x:c r="T288" s="64"/>
      <x:c r="U288" s="64"/>
      <x:c r="V288" s="64"/>
      <x:c r="W288" s="64"/>
      <x:c r="X288" s="64"/>
      <x:c r="Y288" s="64"/>
      <x:c r="Z288" s="64"/>
      <x:c r="AA288" s="64"/>
      <x:c r="AB288" s="64"/>
      <x:c r="AC288" s="64"/>
      <x:c r="AD288" s="64"/>
      <x:c r="AE288" s="64"/>
      <x:c r="AF288" s="64"/>
      <x:c r="AG288" s="64"/>
    </x:row>
    <x:row r="289">
      <x:c r="A289" s="64"/>
      <x:c r="B289" s="64"/>
      <x:c r="C289" s="64"/>
      <x:c r="D289" s="64"/>
      <x:c r="E289" s="64"/>
      <x:c r="F289" s="64"/>
      <x:c r="G289" s="64"/>
      <x:c r="H289" s="64"/>
      <x:c r="I289" s="64"/>
      <x:c r="J289" s="64"/>
      <x:c r="K289" s="64"/>
      <x:c r="L289" s="64"/>
      <x:c r="M289" s="64"/>
      <x:c r="N289" s="64"/>
      <x:c r="O289" s="64"/>
      <x:c r="P289" s="64"/>
      <x:c r="Q289" s="64"/>
      <x:c r="R289" s="64"/>
      <x:c r="S289" s="64"/>
      <x:c r="T289" s="64"/>
      <x:c r="U289" s="64"/>
      <x:c r="V289" s="64"/>
      <x:c r="W289" s="64"/>
      <x:c r="X289" s="64"/>
      <x:c r="Y289" s="64"/>
      <x:c r="Z289" s="64"/>
      <x:c r="AA289" s="64"/>
      <x:c r="AB289" s="64"/>
      <x:c r="AC289" s="64"/>
      <x:c r="AD289" s="64"/>
      <x:c r="AE289" s="64"/>
      <x:c r="AF289" s="64"/>
      <x:c r="AG289" s="64"/>
    </x:row>
    <x:row r="290">
      <x:c r="A290" s="64"/>
      <x:c r="B290" s="64"/>
      <x:c r="C290" s="64"/>
      <x:c r="D290" s="64"/>
      <x:c r="E290" s="64"/>
      <x:c r="F290" s="64"/>
      <x:c r="G290" s="64"/>
      <x:c r="H290" s="64"/>
      <x:c r="I290" s="64"/>
      <x:c r="J290" s="64"/>
      <x:c r="K290" s="64"/>
      <x:c r="L290" s="64"/>
      <x:c r="M290" s="64"/>
      <x:c r="N290" s="64"/>
      <x:c r="O290" s="64"/>
      <x:c r="P290" s="64"/>
      <x:c r="Q290" s="64"/>
      <x:c r="R290" s="64"/>
      <x:c r="S290" s="64"/>
      <x:c r="T290" s="64"/>
      <x:c r="U290" s="64"/>
      <x:c r="V290" s="64"/>
      <x:c r="W290" s="64"/>
      <x:c r="X290" s="64"/>
      <x:c r="Y290" s="64"/>
      <x:c r="Z290" s="64"/>
      <x:c r="AA290" s="64"/>
      <x:c r="AB290" s="64"/>
      <x:c r="AC290" s="64"/>
      <x:c r="AD290" s="64"/>
      <x:c r="AE290" s="64"/>
      <x:c r="AF290" s="64"/>
      <x:c r="AG290" s="64"/>
    </x:row>
    <x:row r="291">
      <x:c r="A291" s="64"/>
      <x:c r="B291" s="64"/>
      <x:c r="C291" s="64"/>
      <x:c r="D291" s="64"/>
      <x:c r="E291" s="64"/>
      <x:c r="F291" s="64"/>
      <x:c r="G291" s="64"/>
      <x:c r="H291" s="64"/>
      <x:c r="I291" s="64"/>
      <x:c r="J291" s="64"/>
      <x:c r="K291" s="64"/>
      <x:c r="L291" s="64"/>
      <x:c r="M291" s="64"/>
      <x:c r="N291" s="64"/>
      <x:c r="O291" s="64"/>
      <x:c r="P291" s="64"/>
      <x:c r="Q291" s="64"/>
      <x:c r="R291" s="64"/>
      <x:c r="S291" s="64"/>
      <x:c r="T291" s="64"/>
      <x:c r="U291" s="64"/>
      <x:c r="V291" s="64"/>
      <x:c r="W291" s="64"/>
      <x:c r="X291" s="64"/>
      <x:c r="Y291" s="64"/>
      <x:c r="Z291" s="64"/>
      <x:c r="AA291" s="64"/>
      <x:c r="AB291" s="64"/>
      <x:c r="AC291" s="64"/>
      <x:c r="AD291" s="64"/>
      <x:c r="AE291" s="64"/>
      <x:c r="AF291" s="64"/>
      <x:c r="AG291" s="64"/>
    </x:row>
    <x:row r="292">
      <x:c r="A292" s="64"/>
      <x:c r="B292" s="64"/>
      <x:c r="C292" s="64"/>
      <x:c r="D292" s="64"/>
      <x:c r="E292" s="64"/>
      <x:c r="F292" s="64"/>
      <x:c r="G292" s="64"/>
      <x:c r="H292" s="64"/>
      <x:c r="I292" s="64"/>
      <x:c r="J292" s="64"/>
      <x:c r="K292" s="64"/>
      <x:c r="L292" s="64"/>
      <x:c r="M292" s="64"/>
      <x:c r="N292" s="64"/>
      <x:c r="O292" s="64"/>
      <x:c r="P292" s="64"/>
      <x:c r="Q292" s="64"/>
      <x:c r="R292" s="64"/>
      <x:c r="S292" s="64"/>
      <x:c r="T292" s="64"/>
      <x:c r="U292" s="64"/>
      <x:c r="V292" s="64"/>
      <x:c r="W292" s="64"/>
      <x:c r="X292" s="64"/>
      <x:c r="Y292" s="64"/>
      <x:c r="Z292" s="64"/>
      <x:c r="AA292" s="64"/>
      <x:c r="AB292" s="64"/>
      <x:c r="AC292" s="64"/>
      <x:c r="AD292" s="64"/>
      <x:c r="AE292" s="64"/>
      <x:c r="AF292" s="64"/>
      <x:c r="AG292" s="64"/>
    </x:row>
    <x:row r="293">
      <x:c r="A293" s="64"/>
      <x:c r="B293" s="64"/>
      <x:c r="C293" s="64"/>
      <x:c r="D293" s="64"/>
      <x:c r="E293" s="64"/>
      <x:c r="F293" s="64"/>
      <x:c r="G293" s="64"/>
      <x:c r="H293" s="64"/>
      <x:c r="I293" s="64"/>
      <x:c r="J293" s="64"/>
      <x:c r="K293" s="64"/>
      <x:c r="L293" s="64"/>
      <x:c r="M293" s="64"/>
      <x:c r="N293" s="64"/>
      <x:c r="O293" s="64"/>
      <x:c r="P293" s="64"/>
      <x:c r="Q293" s="64"/>
      <x:c r="R293" s="64"/>
      <x:c r="S293" s="64"/>
      <x:c r="T293" s="64"/>
      <x:c r="U293" s="64"/>
      <x:c r="V293" s="64"/>
      <x:c r="W293" s="64"/>
      <x:c r="X293" s="64"/>
      <x:c r="Y293" s="64"/>
      <x:c r="Z293" s="64"/>
      <x:c r="AA293" s="64"/>
      <x:c r="AB293" s="64"/>
      <x:c r="AC293" s="64"/>
      <x:c r="AD293" s="64"/>
      <x:c r="AE293" s="64"/>
      <x:c r="AF293" s="64"/>
      <x:c r="AG293" s="64"/>
    </x:row>
    <x:row r="294">
      <x:c r="A294" s="64"/>
      <x:c r="B294" s="64"/>
      <x:c r="C294" s="64"/>
      <x:c r="D294" s="64"/>
      <x:c r="E294" s="64"/>
      <x:c r="F294" s="64"/>
      <x:c r="G294" s="64"/>
      <x:c r="H294" s="64"/>
      <x:c r="I294" s="64"/>
      <x:c r="J294" s="64"/>
      <x:c r="K294" s="64"/>
      <x:c r="L294" s="64"/>
      <x:c r="M294" s="64"/>
      <x:c r="N294" s="64"/>
      <x:c r="O294" s="64"/>
      <x:c r="P294" s="64"/>
      <x:c r="Q294" s="64"/>
      <x:c r="R294" s="64"/>
      <x:c r="S294" s="64"/>
      <x:c r="T294" s="64"/>
      <x:c r="U294" s="64"/>
      <x:c r="V294" s="64"/>
      <x:c r="W294" s="64"/>
      <x:c r="X294" s="64"/>
      <x:c r="Y294" s="64"/>
      <x:c r="Z294" s="64"/>
      <x:c r="AA294" s="64"/>
      <x:c r="AB294" s="64"/>
      <x:c r="AC294" s="64"/>
      <x:c r="AD294" s="64"/>
      <x:c r="AE294" s="64"/>
      <x:c r="AF294" s="64"/>
      <x:c r="AG294" s="64"/>
    </x:row>
    <x:row r="295">
      <x:c r="A295" s="64"/>
      <x:c r="B295" s="64"/>
      <x:c r="C295" s="64"/>
      <x:c r="D295" s="64"/>
      <x:c r="E295" s="64"/>
      <x:c r="F295" s="64"/>
      <x:c r="G295" s="64"/>
      <x:c r="H295" s="64"/>
      <x:c r="I295" s="64"/>
      <x:c r="J295" s="64"/>
      <x:c r="K295" s="64"/>
      <x:c r="L295" s="64"/>
      <x:c r="M295" s="64"/>
      <x:c r="N295" s="64"/>
      <x:c r="O295" s="64"/>
      <x:c r="P295" s="64"/>
      <x:c r="Q295" s="64"/>
      <x:c r="R295" s="64"/>
      <x:c r="S295" s="64"/>
      <x:c r="T295" s="64"/>
      <x:c r="U295" s="64"/>
      <x:c r="V295" s="64"/>
      <x:c r="W295" s="64"/>
      <x:c r="X295" s="64"/>
      <x:c r="Y295" s="64"/>
      <x:c r="Z295" s="64"/>
      <x:c r="AA295" s="64"/>
      <x:c r="AB295" s="64"/>
      <x:c r="AC295" s="64"/>
      <x:c r="AD295" s="64"/>
      <x:c r="AE295" s="64"/>
      <x:c r="AF295" s="64"/>
      <x:c r="AG295" s="64"/>
    </x:row>
    <x:row r="296">
      <x:c r="A296" s="64"/>
      <x:c r="B296" s="64"/>
      <x:c r="C296" s="64"/>
      <x:c r="D296" s="64"/>
      <x:c r="E296" s="64"/>
      <x:c r="F296" s="64"/>
      <x:c r="G296" s="64"/>
      <x:c r="H296" s="64"/>
      <x:c r="I296" s="64"/>
      <x:c r="J296" s="64"/>
      <x:c r="K296" s="64"/>
      <x:c r="L296" s="64"/>
      <x:c r="M296" s="64"/>
      <x:c r="N296" s="64"/>
      <x:c r="O296" s="64"/>
      <x:c r="P296" s="64"/>
      <x:c r="Q296" s="64"/>
      <x:c r="R296" s="64"/>
      <x:c r="S296" s="64"/>
      <x:c r="T296" s="64"/>
      <x:c r="U296" s="64"/>
      <x:c r="V296" s="64"/>
      <x:c r="W296" s="64"/>
      <x:c r="X296" s="64"/>
      <x:c r="Y296" s="64"/>
      <x:c r="Z296" s="64"/>
      <x:c r="AA296" s="64"/>
      <x:c r="AB296" s="64"/>
      <x:c r="AC296" s="64"/>
      <x:c r="AD296" s="64"/>
      <x:c r="AE296" s="64"/>
      <x:c r="AF296" s="64"/>
      <x:c r="AG296" s="64"/>
    </x:row>
    <x:row r="297">
      <x:c r="A297" s="64"/>
      <x:c r="B297" s="64"/>
      <x:c r="C297" s="64"/>
      <x:c r="D297" s="64"/>
      <x:c r="E297" s="64"/>
      <x:c r="F297" s="64"/>
      <x:c r="G297" s="64"/>
      <x:c r="H297" s="64"/>
      <x:c r="I297" s="64"/>
      <x:c r="J297" s="64"/>
      <x:c r="K297" s="64"/>
      <x:c r="L297" s="64"/>
      <x:c r="M297" s="64"/>
      <x:c r="N297" s="64"/>
      <x:c r="O297" s="64"/>
      <x:c r="P297" s="64"/>
      <x:c r="Q297" s="64"/>
      <x:c r="R297" s="64"/>
      <x:c r="S297" s="64"/>
      <x:c r="T297" s="64"/>
      <x:c r="U297" s="64"/>
      <x:c r="V297" s="64"/>
      <x:c r="W297" s="64"/>
      <x:c r="X297" s="64"/>
      <x:c r="Y297" s="64"/>
      <x:c r="Z297" s="64"/>
      <x:c r="AA297" s="64"/>
      <x:c r="AB297" s="64"/>
      <x:c r="AC297" s="64"/>
      <x:c r="AD297" s="64"/>
      <x:c r="AE297" s="64"/>
      <x:c r="AF297" s="64"/>
      <x:c r="AG297" s="64"/>
    </x:row>
    <x:row r="298">
      <x:c r="A298" s="64"/>
      <x:c r="B298" s="64"/>
      <x:c r="C298" s="64"/>
      <x:c r="D298" s="64"/>
      <x:c r="E298" s="64"/>
      <x:c r="F298" s="64"/>
      <x:c r="G298" s="64"/>
      <x:c r="H298" s="64"/>
      <x:c r="I298" s="64"/>
      <x:c r="J298" s="64"/>
      <x:c r="K298" s="64"/>
      <x:c r="L298" s="64"/>
      <x:c r="M298" s="64"/>
      <x:c r="N298" s="64"/>
      <x:c r="O298" s="64"/>
      <x:c r="P298" s="64"/>
      <x:c r="Q298" s="64"/>
      <x:c r="R298" s="64"/>
      <x:c r="S298" s="64"/>
      <x:c r="T298" s="64"/>
      <x:c r="U298" s="64"/>
      <x:c r="V298" s="64"/>
      <x:c r="W298" s="64"/>
      <x:c r="X298" s="64"/>
      <x:c r="Y298" s="64"/>
      <x:c r="Z298" s="64"/>
      <x:c r="AA298" s="64"/>
      <x:c r="AB298" s="64"/>
      <x:c r="AC298" s="64"/>
      <x:c r="AD298" s="64"/>
      <x:c r="AE298" s="64"/>
      <x:c r="AF298" s="64"/>
      <x:c r="AG298" s="64"/>
    </x:row>
    <x:row r="299">
      <x:c r="A299" s="64"/>
      <x:c r="B299" s="64"/>
      <x:c r="C299" s="64"/>
      <x:c r="D299" s="64"/>
      <x:c r="E299" s="64"/>
      <x:c r="F299" s="64"/>
      <x:c r="G299" s="64"/>
      <x:c r="H299" s="64"/>
      <x:c r="I299" s="64"/>
      <x:c r="J299" s="64"/>
      <x:c r="K299" s="64"/>
      <x:c r="L299" s="64"/>
      <x:c r="M299" s="64"/>
      <x:c r="N299" s="64"/>
      <x:c r="O299" s="64"/>
      <x:c r="P299" s="64"/>
      <x:c r="Q299" s="64"/>
      <x:c r="R299" s="64"/>
      <x:c r="S299" s="64"/>
      <x:c r="T299" s="64"/>
      <x:c r="U299" s="64"/>
      <x:c r="V299" s="64"/>
      <x:c r="W299" s="64"/>
      <x:c r="X299" s="64"/>
      <x:c r="Y299" s="64"/>
      <x:c r="Z299" s="64"/>
      <x:c r="AA299" s="64"/>
      <x:c r="AB299" s="64"/>
      <x:c r="AC299" s="64"/>
      <x:c r="AD299" s="64"/>
      <x:c r="AE299" s="64"/>
      <x:c r="AF299" s="64"/>
      <x:c r="AG299" s="64"/>
    </x:row>
    <x:row r="300">
      <x:c r="A300" s="64"/>
      <x:c r="B300" s="64"/>
      <x:c r="C300" s="64"/>
      <x:c r="D300" s="64"/>
      <x:c r="E300" s="64"/>
      <x:c r="F300" s="64"/>
      <x:c r="G300" s="64"/>
      <x:c r="H300" s="64"/>
      <x:c r="I300" s="64"/>
      <x:c r="J300" s="64"/>
      <x:c r="K300" s="64"/>
      <x:c r="L300" s="64"/>
      <x:c r="M300" s="64"/>
      <x:c r="N300" s="64"/>
      <x:c r="O300" s="64"/>
      <x:c r="P300" s="64"/>
      <x:c r="Q300" s="64"/>
      <x:c r="R300" s="64"/>
      <x:c r="S300" s="64"/>
      <x:c r="T300" s="64"/>
      <x:c r="U300" s="64"/>
      <x:c r="V300" s="64"/>
      <x:c r="W300" s="64"/>
      <x:c r="X300" s="64"/>
      <x:c r="Y300" s="64"/>
      <x:c r="Z300" s="64"/>
      <x:c r="AA300" s="64"/>
      <x:c r="AB300" s="64"/>
      <x:c r="AC300" s="64"/>
      <x:c r="AD300" s="64"/>
      <x:c r="AE300" s="64"/>
      <x:c r="AF300" s="64"/>
      <x:c r="AG300" s="64"/>
    </x:row>
    <x:row r="301">
      <x:c r="A301" s="64"/>
      <x:c r="B301" s="64"/>
      <x:c r="C301" s="64"/>
      <x:c r="D301" s="64"/>
      <x:c r="E301" s="64"/>
      <x:c r="F301" s="64"/>
      <x:c r="G301" s="64"/>
      <x:c r="H301" s="64"/>
      <x:c r="I301" s="64"/>
      <x:c r="J301" s="64"/>
      <x:c r="K301" s="64"/>
      <x:c r="L301" s="64"/>
      <x:c r="M301" s="64"/>
      <x:c r="N301" s="64"/>
      <x:c r="O301" s="64"/>
      <x:c r="P301" s="64"/>
      <x:c r="Q301" s="64"/>
      <x:c r="R301" s="64"/>
      <x:c r="S301" s="64"/>
      <x:c r="T301" s="64"/>
      <x:c r="U301" s="64"/>
      <x:c r="V301" s="64"/>
      <x:c r="W301" s="64"/>
      <x:c r="X301" s="64"/>
      <x:c r="Y301" s="64"/>
      <x:c r="Z301" s="64"/>
      <x:c r="AA301" s="64"/>
      <x:c r="AB301" s="64"/>
      <x:c r="AC301" s="64"/>
      <x:c r="AD301" s="64"/>
      <x:c r="AE301" s="64"/>
      <x:c r="AF301" s="64"/>
      <x:c r="AG301" s="64"/>
    </x:row>
    <x:row r="302">
      <x:c r="A302" s="64"/>
      <x:c r="B302" s="64"/>
      <x:c r="C302" s="64"/>
      <x:c r="D302" s="64"/>
      <x:c r="E302" s="64"/>
      <x:c r="F302" s="64"/>
      <x:c r="G302" s="64"/>
      <x:c r="H302" s="64"/>
      <x:c r="I302" s="64"/>
      <x:c r="J302" s="64"/>
      <x:c r="K302" s="64"/>
      <x:c r="L302" s="64"/>
      <x:c r="M302" s="64"/>
      <x:c r="N302" s="64"/>
      <x:c r="O302" s="64"/>
      <x:c r="P302" s="64"/>
      <x:c r="Q302" s="64"/>
      <x:c r="R302" s="64"/>
      <x:c r="S302" s="64"/>
      <x:c r="T302" s="64"/>
      <x:c r="U302" s="64"/>
      <x:c r="V302" s="64"/>
      <x:c r="W302" s="64"/>
      <x:c r="X302" s="64"/>
      <x:c r="Y302" s="64"/>
      <x:c r="Z302" s="64"/>
      <x:c r="AA302" s="64"/>
      <x:c r="AB302" s="64"/>
      <x:c r="AC302" s="64"/>
      <x:c r="AD302" s="64"/>
      <x:c r="AE302" s="64"/>
      <x:c r="AF302" s="64"/>
      <x:c r="AG302" s="64"/>
    </x:row>
    <x:row r="303">
      <x:c r="A303" s="64"/>
      <x:c r="B303" s="64"/>
      <x:c r="C303" s="64"/>
      <x:c r="D303" s="64"/>
      <x:c r="E303" s="64"/>
      <x:c r="F303" s="64"/>
      <x:c r="G303" s="64"/>
      <x:c r="H303" s="64"/>
      <x:c r="I303" s="64"/>
      <x:c r="J303" s="64"/>
      <x:c r="K303" s="64"/>
      <x:c r="L303" s="64"/>
      <x:c r="M303" s="64"/>
      <x:c r="N303" s="64"/>
      <x:c r="O303" s="64"/>
      <x:c r="P303" s="64"/>
      <x:c r="Q303" s="64"/>
      <x:c r="R303" s="64"/>
      <x:c r="S303" s="64"/>
      <x:c r="T303" s="64"/>
      <x:c r="U303" s="64"/>
      <x:c r="V303" s="64"/>
      <x:c r="W303" s="64"/>
      <x:c r="X303" s="64"/>
      <x:c r="Y303" s="64"/>
      <x:c r="Z303" s="64"/>
      <x:c r="AA303" s="64"/>
      <x:c r="AB303" s="64"/>
      <x:c r="AC303" s="64"/>
      <x:c r="AD303" s="64"/>
      <x:c r="AE303" s="64"/>
      <x:c r="AF303" s="64"/>
      <x:c r="AG303" s="64"/>
    </x:row>
    <x:row r="304">
      <x:c r="A304" s="64"/>
      <x:c r="B304" s="64"/>
      <x:c r="C304" s="64"/>
      <x:c r="D304" s="64"/>
      <x:c r="E304" s="64"/>
      <x:c r="F304" s="64"/>
      <x:c r="G304" s="64"/>
      <x:c r="H304" s="64"/>
      <x:c r="I304" s="64"/>
      <x:c r="J304" s="64"/>
      <x:c r="K304" s="64"/>
      <x:c r="L304" s="64"/>
      <x:c r="M304" s="64"/>
      <x:c r="N304" s="64"/>
      <x:c r="O304" s="64"/>
      <x:c r="P304" s="64"/>
      <x:c r="Q304" s="64"/>
      <x:c r="R304" s="64"/>
      <x:c r="S304" s="64"/>
      <x:c r="T304" s="64"/>
      <x:c r="U304" s="64"/>
      <x:c r="V304" s="64"/>
      <x:c r="W304" s="64"/>
      <x:c r="X304" s="64"/>
      <x:c r="Y304" s="64"/>
      <x:c r="Z304" s="64"/>
      <x:c r="AA304" s="64"/>
      <x:c r="AB304" s="64"/>
      <x:c r="AC304" s="64"/>
      <x:c r="AD304" s="64"/>
      <x:c r="AE304" s="64"/>
      <x:c r="AF304" s="64"/>
      <x:c r="AG304" s="64"/>
    </x:row>
    <x:row r="305">
      <x:c r="A305" s="64"/>
      <x:c r="B305" s="64"/>
      <x:c r="C305" s="64"/>
      <x:c r="D305" s="64"/>
      <x:c r="E305" s="64"/>
      <x:c r="F305" s="64"/>
      <x:c r="G305" s="64"/>
      <x:c r="H305" s="64"/>
      <x:c r="I305" s="64"/>
      <x:c r="J305" s="64"/>
      <x:c r="K305" s="64"/>
      <x:c r="L305" s="64"/>
      <x:c r="M305" s="64"/>
      <x:c r="N305" s="64"/>
      <x:c r="O305" s="64"/>
      <x:c r="P305" s="64"/>
      <x:c r="Q305" s="64"/>
      <x:c r="R305" s="64"/>
      <x:c r="S305" s="64"/>
      <x:c r="T305" s="64"/>
      <x:c r="U305" s="64"/>
      <x:c r="V305" s="64"/>
      <x:c r="W305" s="64"/>
      <x:c r="X305" s="64"/>
      <x:c r="Y305" s="64"/>
      <x:c r="Z305" s="64"/>
      <x:c r="AA305" s="64"/>
      <x:c r="AB305" s="64"/>
      <x:c r="AC305" s="64"/>
      <x:c r="AD305" s="64"/>
      <x:c r="AE305" s="64"/>
      <x:c r="AF305" s="64"/>
      <x:c r="AG305" s="64"/>
    </x:row>
    <x:row r="306">
      <x:c r="A306" s="64"/>
      <x:c r="B306" s="64"/>
      <x:c r="C306" s="64"/>
      <x:c r="D306" s="64"/>
      <x:c r="E306" s="64"/>
      <x:c r="F306" s="64"/>
      <x:c r="G306" s="64"/>
      <x:c r="H306" s="64"/>
      <x:c r="I306" s="64"/>
      <x:c r="J306" s="64"/>
      <x:c r="K306" s="64"/>
      <x:c r="L306" s="64"/>
      <x:c r="M306" s="64"/>
      <x:c r="N306" s="64"/>
      <x:c r="O306" s="64"/>
      <x:c r="P306" s="64"/>
      <x:c r="Q306" s="64"/>
      <x:c r="R306" s="64"/>
      <x:c r="S306" s="64"/>
      <x:c r="T306" s="64"/>
      <x:c r="U306" s="64"/>
      <x:c r="V306" s="64"/>
      <x:c r="W306" s="64"/>
      <x:c r="X306" s="64"/>
      <x:c r="Y306" s="64"/>
      <x:c r="Z306" s="64"/>
      <x:c r="AA306" s="64"/>
      <x:c r="AB306" s="64"/>
      <x:c r="AC306" s="64"/>
      <x:c r="AD306" s="64"/>
      <x:c r="AE306" s="64"/>
      <x:c r="AF306" s="64"/>
      <x:c r="AG306" s="64"/>
    </x:row>
    <x:row r="307">
      <x:c r="A307" s="64"/>
      <x:c r="B307" s="64"/>
      <x:c r="C307" s="64"/>
      <x:c r="D307" s="64"/>
      <x:c r="E307" s="64"/>
      <x:c r="F307" s="64"/>
      <x:c r="G307" s="64"/>
      <x:c r="H307" s="64"/>
      <x:c r="I307" s="64"/>
      <x:c r="J307" s="64"/>
      <x:c r="K307" s="64"/>
      <x:c r="L307" s="64"/>
      <x:c r="M307" s="64"/>
      <x:c r="N307" s="64"/>
      <x:c r="O307" s="64"/>
      <x:c r="P307" s="64"/>
      <x:c r="Q307" s="64"/>
      <x:c r="R307" s="64"/>
      <x:c r="S307" s="64"/>
      <x:c r="T307" s="64"/>
      <x:c r="U307" s="64"/>
      <x:c r="V307" s="64"/>
      <x:c r="W307" s="64"/>
      <x:c r="X307" s="64"/>
      <x:c r="Y307" s="64"/>
      <x:c r="Z307" s="64"/>
      <x:c r="AA307" s="64"/>
      <x:c r="AB307" s="64"/>
      <x:c r="AC307" s="64"/>
      <x:c r="AD307" s="64"/>
      <x:c r="AE307" s="64"/>
      <x:c r="AF307" s="64"/>
      <x:c r="AG307" s="64"/>
    </x:row>
    <x:row r="308">
      <x:c r="A308" s="64"/>
      <x:c r="B308" s="64"/>
      <x:c r="C308" s="64"/>
      <x:c r="D308" s="64"/>
      <x:c r="E308" s="64"/>
      <x:c r="F308" s="64"/>
      <x:c r="G308" s="64"/>
      <x:c r="H308" s="64"/>
      <x:c r="I308" s="64"/>
      <x:c r="J308" s="64"/>
      <x:c r="K308" s="64"/>
      <x:c r="L308" s="64"/>
      <x:c r="M308" s="64"/>
      <x:c r="N308" s="64"/>
      <x:c r="O308" s="64"/>
      <x:c r="P308" s="64"/>
      <x:c r="Q308" s="64"/>
      <x:c r="R308" s="64"/>
      <x:c r="S308" s="64"/>
      <x:c r="T308" s="64"/>
      <x:c r="U308" s="64"/>
      <x:c r="V308" s="64"/>
      <x:c r="W308" s="64"/>
      <x:c r="X308" s="64"/>
      <x:c r="Y308" s="64"/>
      <x:c r="Z308" s="64"/>
      <x:c r="AA308" s="64"/>
      <x:c r="AB308" s="64"/>
      <x:c r="AC308" s="64"/>
      <x:c r="AD308" s="64"/>
      <x:c r="AE308" s="64"/>
      <x:c r="AF308" s="64"/>
      <x:c r="AG308" s="64"/>
    </x:row>
    <x:row r="309">
      <x:c r="A309" s="64"/>
      <x:c r="B309" s="64"/>
      <x:c r="C309" s="64"/>
      <x:c r="D309" s="64"/>
      <x:c r="E309" s="64"/>
      <x:c r="F309" s="64"/>
      <x:c r="G309" s="64"/>
      <x:c r="H309" s="64"/>
      <x:c r="I309" s="64"/>
      <x:c r="J309" s="64"/>
      <x:c r="K309" s="64"/>
      <x:c r="L309" s="64"/>
      <x:c r="M309" s="64"/>
      <x:c r="N309" s="64"/>
      <x:c r="O309" s="64"/>
      <x:c r="P309" s="64"/>
      <x:c r="Q309" s="64"/>
      <x:c r="R309" s="64"/>
      <x:c r="S309" s="64"/>
      <x:c r="T309" s="64"/>
      <x:c r="U309" s="64"/>
      <x:c r="V309" s="64"/>
      <x:c r="W309" s="64"/>
      <x:c r="X309" s="64"/>
      <x:c r="Y309" s="64"/>
      <x:c r="Z309" s="64"/>
      <x:c r="AA309" s="64"/>
      <x:c r="AB309" s="64"/>
      <x:c r="AC309" s="64"/>
      <x:c r="AD309" s="64"/>
      <x:c r="AE309" s="64"/>
      <x:c r="AF309" s="64"/>
      <x:c r="AG309" s="64"/>
    </x:row>
    <x:row r="310">
      <x:c r="A310" s="64"/>
      <x:c r="B310" s="64"/>
      <x:c r="C310" s="64"/>
      <x:c r="D310" s="64"/>
      <x:c r="E310" s="64"/>
      <x:c r="F310" s="64"/>
      <x:c r="G310" s="64"/>
      <x:c r="H310" s="64"/>
      <x:c r="I310" s="64"/>
      <x:c r="J310" s="64"/>
      <x:c r="K310" s="64"/>
      <x:c r="L310" s="64"/>
      <x:c r="M310" s="64"/>
      <x:c r="N310" s="64"/>
      <x:c r="O310" s="64"/>
      <x:c r="P310" s="64"/>
      <x:c r="Q310" s="64"/>
      <x:c r="R310" s="64"/>
      <x:c r="S310" s="64"/>
      <x:c r="T310" s="64"/>
      <x:c r="U310" s="64"/>
      <x:c r="V310" s="64"/>
      <x:c r="W310" s="64"/>
      <x:c r="X310" s="64"/>
      <x:c r="Y310" s="64"/>
      <x:c r="Z310" s="64"/>
      <x:c r="AA310" s="64"/>
      <x:c r="AB310" s="64"/>
      <x:c r="AC310" s="64"/>
      <x:c r="AD310" s="64"/>
      <x:c r="AE310" s="64"/>
      <x:c r="AF310" s="64"/>
      <x:c r="AG310" s="64"/>
    </x:row>
    <x:row r="311">
      <x:c r="A311" s="64"/>
      <x:c r="B311" s="64"/>
      <x:c r="C311" s="64"/>
      <x:c r="D311" s="64"/>
      <x:c r="E311" s="64"/>
      <x:c r="F311" s="64"/>
      <x:c r="G311" s="64"/>
      <x:c r="H311" s="64"/>
      <x:c r="I311" s="64"/>
      <x:c r="J311" s="64"/>
      <x:c r="K311" s="64"/>
      <x:c r="L311" s="64"/>
      <x:c r="M311" s="64"/>
      <x:c r="N311" s="64"/>
      <x:c r="O311" s="64"/>
      <x:c r="P311" s="64"/>
      <x:c r="Q311" s="64"/>
      <x:c r="R311" s="64"/>
      <x:c r="S311" s="64"/>
      <x:c r="T311" s="64"/>
      <x:c r="U311" s="64"/>
      <x:c r="V311" s="64"/>
      <x:c r="W311" s="64"/>
      <x:c r="X311" s="64"/>
      <x:c r="Y311" s="64"/>
      <x:c r="Z311" s="64"/>
      <x:c r="AA311" s="64"/>
      <x:c r="AB311" s="64"/>
      <x:c r="AC311" s="64"/>
      <x:c r="AD311" s="64"/>
      <x:c r="AE311" s="64"/>
      <x:c r="AF311" s="64"/>
      <x:c r="AG311" s="64"/>
    </x:row>
    <x:row r="312">
      <x:c r="A312" s="64"/>
      <x:c r="B312" s="64"/>
      <x:c r="C312" s="64"/>
      <x:c r="D312" s="64"/>
      <x:c r="E312" s="64"/>
      <x:c r="F312" s="64"/>
      <x:c r="G312" s="64"/>
      <x:c r="H312" s="64"/>
      <x:c r="I312" s="64"/>
      <x:c r="J312" s="64"/>
      <x:c r="K312" s="64"/>
      <x:c r="L312" s="64"/>
      <x:c r="M312" s="64"/>
      <x:c r="N312" s="64"/>
      <x:c r="O312" s="64"/>
      <x:c r="P312" s="64"/>
      <x:c r="Q312" s="64"/>
      <x:c r="R312" s="64"/>
      <x:c r="S312" s="64"/>
      <x:c r="T312" s="64"/>
      <x:c r="U312" s="64"/>
      <x:c r="V312" s="64"/>
      <x:c r="W312" s="64"/>
      <x:c r="X312" s="64"/>
      <x:c r="Y312" s="64"/>
      <x:c r="Z312" s="64"/>
      <x:c r="AA312" s="64"/>
      <x:c r="AB312" s="64"/>
      <x:c r="AC312" s="64"/>
      <x:c r="AD312" s="64"/>
      <x:c r="AE312" s="64"/>
      <x:c r="AF312" s="64"/>
      <x:c r="AG312" s="64"/>
    </x:row>
    <x:row r="313">
      <x:c r="A313" s="64"/>
      <x:c r="B313" s="64"/>
      <x:c r="C313" s="64"/>
      <x:c r="D313" s="64"/>
      <x:c r="E313" s="64"/>
      <x:c r="F313" s="64"/>
      <x:c r="G313" s="64"/>
      <x:c r="H313" s="64"/>
      <x:c r="I313" s="64"/>
      <x:c r="J313" s="64"/>
      <x:c r="K313" s="64"/>
      <x:c r="L313" s="64"/>
      <x:c r="M313" s="64"/>
      <x:c r="N313" s="64"/>
      <x:c r="O313" s="64"/>
      <x:c r="P313" s="64"/>
      <x:c r="Q313" s="64"/>
      <x:c r="R313" s="64"/>
      <x:c r="S313" s="64"/>
      <x:c r="T313" s="64"/>
      <x:c r="U313" s="64"/>
      <x:c r="V313" s="64"/>
      <x:c r="W313" s="64"/>
      <x:c r="X313" s="64"/>
      <x:c r="Y313" s="64"/>
      <x:c r="Z313" s="64"/>
      <x:c r="AA313" s="64"/>
      <x:c r="AB313" s="64"/>
      <x:c r="AC313" s="64"/>
      <x:c r="AD313" s="64"/>
      <x:c r="AE313" s="64"/>
      <x:c r="AF313" s="64"/>
      <x:c r="AG313" s="64"/>
    </x:row>
    <x:row r="314">
      <x:c r="A314" s="64"/>
      <x:c r="B314" s="64"/>
      <x:c r="C314" s="64"/>
      <x:c r="D314" s="64"/>
      <x:c r="E314" s="64"/>
      <x:c r="F314" s="64"/>
      <x:c r="G314" s="64"/>
      <x:c r="H314" s="64"/>
      <x:c r="I314" s="64"/>
      <x:c r="J314" s="64"/>
      <x:c r="K314" s="64"/>
      <x:c r="L314" s="64"/>
      <x:c r="M314" s="64"/>
      <x:c r="N314" s="64"/>
      <x:c r="O314" s="64"/>
      <x:c r="P314" s="64"/>
      <x:c r="Q314" s="64"/>
      <x:c r="R314" s="64"/>
      <x:c r="S314" s="64"/>
      <x:c r="T314" s="64"/>
      <x:c r="U314" s="64"/>
      <x:c r="V314" s="64"/>
      <x:c r="W314" s="64"/>
      <x:c r="X314" s="64"/>
      <x:c r="Y314" s="64"/>
      <x:c r="Z314" s="64"/>
      <x:c r="AA314" s="64"/>
      <x:c r="AB314" s="64"/>
      <x:c r="AC314" s="64"/>
      <x:c r="AD314" s="64"/>
      <x:c r="AE314" s="64"/>
      <x:c r="AF314" s="64"/>
      <x:c r="AG314" s="64"/>
    </x:row>
    <x:row r="315">
      <x:c r="A315" s="64"/>
      <x:c r="B315" s="64"/>
      <x:c r="C315" s="64"/>
      <x:c r="D315" s="64"/>
      <x:c r="E315" s="64"/>
      <x:c r="F315" s="64"/>
      <x:c r="G315" s="64"/>
      <x:c r="H315" s="64"/>
      <x:c r="I315" s="64"/>
      <x:c r="J315" s="64"/>
      <x:c r="K315" s="64"/>
      <x:c r="L315" s="64"/>
      <x:c r="M315" s="64"/>
      <x:c r="N315" s="64"/>
      <x:c r="O315" s="64"/>
      <x:c r="P315" s="64"/>
      <x:c r="Q315" s="64"/>
      <x:c r="R315" s="64"/>
      <x:c r="S315" s="64"/>
      <x:c r="T315" s="64"/>
      <x:c r="U315" s="64"/>
      <x:c r="V315" s="64"/>
      <x:c r="W315" s="64"/>
      <x:c r="X315" s="64"/>
      <x:c r="Y315" s="64"/>
      <x:c r="Z315" s="64"/>
      <x:c r="AA315" s="64"/>
      <x:c r="AB315" s="64"/>
      <x:c r="AC315" s="64"/>
      <x:c r="AD315" s="64"/>
      <x:c r="AE315" s="64"/>
      <x:c r="AF315" s="64"/>
      <x:c r="AG315" s="64"/>
    </x:row>
    <x:row r="316">
      <x:c r="A316" s="64"/>
      <x:c r="B316" s="64"/>
      <x:c r="C316" s="64"/>
      <x:c r="D316" s="64"/>
      <x:c r="E316" s="64"/>
      <x:c r="F316" s="64"/>
      <x:c r="G316" s="64"/>
      <x:c r="H316" s="64"/>
      <x:c r="I316" s="64"/>
      <x:c r="J316" s="64"/>
      <x:c r="K316" s="64"/>
      <x:c r="L316" s="64"/>
      <x:c r="M316" s="64"/>
      <x:c r="N316" s="64"/>
      <x:c r="O316" s="64"/>
      <x:c r="P316" s="64"/>
      <x:c r="Q316" s="64"/>
      <x:c r="R316" s="64"/>
      <x:c r="S316" s="64"/>
      <x:c r="T316" s="64"/>
      <x:c r="U316" s="64"/>
      <x:c r="V316" s="64"/>
      <x:c r="W316" s="64"/>
      <x:c r="X316" s="64"/>
      <x:c r="Y316" s="64"/>
      <x:c r="Z316" s="64"/>
      <x:c r="AA316" s="64"/>
      <x:c r="AB316" s="64"/>
      <x:c r="AC316" s="64"/>
      <x:c r="AD316" s="64"/>
      <x:c r="AE316" s="64"/>
      <x:c r="AF316" s="64"/>
      <x:c r="AG316" s="64"/>
    </x:row>
    <x:row r="317">
      <x:c r="A317" s="64"/>
      <x:c r="B317" s="64"/>
      <x:c r="C317" s="64"/>
      <x:c r="D317" s="64"/>
      <x:c r="E317" s="64"/>
      <x:c r="F317" s="64"/>
      <x:c r="G317" s="64"/>
      <x:c r="H317" s="64"/>
      <x:c r="I317" s="64"/>
      <x:c r="J317" s="64"/>
      <x:c r="K317" s="64"/>
      <x:c r="L317" s="64"/>
      <x:c r="M317" s="64"/>
      <x:c r="N317" s="64"/>
      <x:c r="O317" s="64"/>
      <x:c r="P317" s="64"/>
      <x:c r="Q317" s="64"/>
      <x:c r="R317" s="64"/>
      <x:c r="S317" s="64"/>
      <x:c r="T317" s="64"/>
      <x:c r="U317" s="64"/>
      <x:c r="V317" s="64"/>
      <x:c r="W317" s="64"/>
      <x:c r="X317" s="64"/>
      <x:c r="Y317" s="64"/>
      <x:c r="Z317" s="64"/>
      <x:c r="AA317" s="64"/>
      <x:c r="AB317" s="64"/>
      <x:c r="AC317" s="64"/>
      <x:c r="AD317" s="64"/>
      <x:c r="AE317" s="64"/>
      <x:c r="AF317" s="64"/>
      <x:c r="AG317" s="64"/>
    </x:row>
    <x:row r="318">
      <x:c r="A318" s="64"/>
      <x:c r="B318" s="64"/>
      <x:c r="C318" s="64"/>
      <x:c r="D318" s="64"/>
      <x:c r="E318" s="64"/>
      <x:c r="F318" s="64"/>
      <x:c r="G318" s="64"/>
      <x:c r="H318" s="64"/>
      <x:c r="I318" s="64"/>
      <x:c r="J318" s="64"/>
      <x:c r="K318" s="64"/>
      <x:c r="L318" s="64"/>
      <x:c r="M318" s="64"/>
      <x:c r="N318" s="64"/>
      <x:c r="O318" s="64"/>
      <x:c r="P318" s="64"/>
      <x:c r="Q318" s="64"/>
      <x:c r="R318" s="64"/>
      <x:c r="S318" s="64"/>
      <x:c r="T318" s="64"/>
      <x:c r="U318" s="64"/>
      <x:c r="V318" s="64"/>
      <x:c r="W318" s="64"/>
      <x:c r="X318" s="64"/>
      <x:c r="Y318" s="64"/>
      <x:c r="Z318" s="64"/>
      <x:c r="AA318" s="64"/>
      <x:c r="AB318" s="64"/>
      <x:c r="AC318" s="64"/>
      <x:c r="AD318" s="64"/>
      <x:c r="AE318" s="64"/>
      <x:c r="AF318" s="64"/>
      <x:c r="AG318" s="64"/>
    </x:row>
    <x:row r="319">
      <x:c r="A319" s="64"/>
      <x:c r="B319" s="64"/>
      <x:c r="C319" s="64"/>
      <x:c r="D319" s="64"/>
      <x:c r="E319" s="64"/>
      <x:c r="F319" s="64"/>
      <x:c r="G319" s="64"/>
      <x:c r="H319" s="64"/>
      <x:c r="I319" s="64"/>
      <x:c r="J319" s="64"/>
      <x:c r="K319" s="64"/>
      <x:c r="L319" s="64"/>
      <x:c r="M319" s="64"/>
      <x:c r="N319" s="64"/>
      <x:c r="O319" s="64"/>
      <x:c r="P319" s="64"/>
      <x:c r="Q319" s="64"/>
      <x:c r="R319" s="64"/>
      <x:c r="S319" s="64"/>
      <x:c r="T319" s="64"/>
      <x:c r="U319" s="64"/>
      <x:c r="V319" s="64"/>
      <x:c r="W319" s="64"/>
      <x:c r="X319" s="64"/>
      <x:c r="Y319" s="64"/>
      <x:c r="Z319" s="64"/>
      <x:c r="AA319" s="64"/>
      <x:c r="AB319" s="64"/>
      <x:c r="AC319" s="64"/>
      <x:c r="AD319" s="64"/>
      <x:c r="AE319" s="64"/>
      <x:c r="AF319" s="64"/>
      <x:c r="AG319" s="64"/>
    </x:row>
    <x:row r="320">
      <x:c r="A320" s="64"/>
      <x:c r="B320" s="64"/>
      <x:c r="C320" s="64"/>
      <x:c r="D320" s="64"/>
      <x:c r="E320" s="64"/>
      <x:c r="F320" s="64"/>
      <x:c r="G320" s="64"/>
      <x:c r="H320" s="64"/>
      <x:c r="I320" s="64"/>
      <x:c r="J320" s="64"/>
      <x:c r="K320" s="64"/>
      <x:c r="L320" s="64"/>
      <x:c r="M320" s="64"/>
      <x:c r="N320" s="64"/>
      <x:c r="O320" s="64"/>
      <x:c r="P320" s="64"/>
      <x:c r="Q320" s="64"/>
      <x:c r="R320" s="64"/>
      <x:c r="S320" s="64"/>
      <x:c r="T320" s="64"/>
      <x:c r="U320" s="64"/>
      <x:c r="V320" s="64"/>
      <x:c r="W320" s="64"/>
      <x:c r="X320" s="64"/>
      <x:c r="Y320" s="64"/>
      <x:c r="Z320" s="64"/>
      <x:c r="AA320" s="64"/>
      <x:c r="AB320" s="64"/>
      <x:c r="AC320" s="64"/>
      <x:c r="AD320" s="64"/>
      <x:c r="AE320" s="64"/>
      <x:c r="AF320" s="64"/>
      <x:c r="AG320" s="64"/>
    </x:row>
    <x:row r="321">
      <x:c r="A321" s="64"/>
      <x:c r="B321" s="64"/>
      <x:c r="C321" s="64"/>
      <x:c r="D321" s="64"/>
      <x:c r="E321" s="64"/>
      <x:c r="F321" s="64"/>
      <x:c r="G321" s="64"/>
      <x:c r="H321" s="64"/>
      <x:c r="I321" s="64"/>
      <x:c r="J321" s="64"/>
      <x:c r="K321" s="64"/>
      <x:c r="L321" s="64"/>
      <x:c r="M321" s="64"/>
      <x:c r="N321" s="64"/>
      <x:c r="O321" s="64"/>
      <x:c r="P321" s="64"/>
      <x:c r="Q321" s="64"/>
      <x:c r="R321" s="64"/>
      <x:c r="S321" s="64"/>
      <x:c r="T321" s="64"/>
      <x:c r="U321" s="64"/>
      <x:c r="V321" s="64"/>
      <x:c r="W321" s="64"/>
      <x:c r="X321" s="64"/>
      <x:c r="Y321" s="64"/>
      <x:c r="Z321" s="64"/>
      <x:c r="AA321" s="64"/>
      <x:c r="AB321" s="64"/>
      <x:c r="AC321" s="64"/>
      <x:c r="AD321" s="64"/>
      <x:c r="AE321" s="64"/>
      <x:c r="AF321" s="64"/>
      <x:c r="AG321" s="64"/>
    </x:row>
    <x:row r="322">
      <x:c r="A322" s="64"/>
      <x:c r="B322" s="64"/>
      <x:c r="C322" s="64"/>
      <x:c r="D322" s="64"/>
      <x:c r="E322" s="64"/>
      <x:c r="F322" s="64"/>
      <x:c r="G322" s="64"/>
      <x:c r="H322" s="64"/>
      <x:c r="I322" s="64"/>
      <x:c r="J322" s="64"/>
      <x:c r="K322" s="64"/>
      <x:c r="L322" s="64"/>
      <x:c r="M322" s="64"/>
      <x:c r="N322" s="64"/>
      <x:c r="O322" s="64"/>
      <x:c r="P322" s="64"/>
      <x:c r="Q322" s="64"/>
      <x:c r="R322" s="64"/>
      <x:c r="S322" s="64"/>
      <x:c r="T322" s="64"/>
      <x:c r="U322" s="64"/>
      <x:c r="V322" s="64"/>
      <x:c r="W322" s="64"/>
      <x:c r="X322" s="64"/>
      <x:c r="Y322" s="64"/>
      <x:c r="Z322" s="64"/>
      <x:c r="AA322" s="64"/>
      <x:c r="AB322" s="64"/>
      <x:c r="AC322" s="64"/>
      <x:c r="AD322" s="64"/>
      <x:c r="AE322" s="64"/>
      <x:c r="AF322" s="64"/>
      <x:c r="AG322" s="64"/>
    </x:row>
    <x:row r="323">
      <x:c r="A323" s="64"/>
      <x:c r="B323" s="64"/>
      <x:c r="C323" s="64"/>
      <x:c r="D323" s="64"/>
      <x:c r="E323" s="64"/>
      <x:c r="F323" s="64"/>
      <x:c r="G323" s="64"/>
      <x:c r="H323" s="64"/>
      <x:c r="I323" s="64"/>
      <x:c r="J323" s="64"/>
      <x:c r="K323" s="64"/>
      <x:c r="L323" s="64"/>
      <x:c r="M323" s="64"/>
      <x:c r="N323" s="64"/>
      <x:c r="O323" s="64"/>
      <x:c r="P323" s="64"/>
      <x:c r="Q323" s="64"/>
      <x:c r="R323" s="64"/>
      <x:c r="S323" s="64"/>
      <x:c r="T323" s="64"/>
      <x:c r="U323" s="64"/>
      <x:c r="V323" s="64"/>
      <x:c r="W323" s="64"/>
      <x:c r="X323" s="64"/>
      <x:c r="Y323" s="64"/>
      <x:c r="Z323" s="64"/>
      <x:c r="AA323" s="64"/>
      <x:c r="AB323" s="64"/>
      <x:c r="AC323" s="64"/>
      <x:c r="AD323" s="64"/>
      <x:c r="AE323" s="64"/>
      <x:c r="AF323" s="64"/>
      <x:c r="AG323" s="64"/>
    </x:row>
    <x:row r="324">
      <x:c r="A324" s="64"/>
      <x:c r="B324" s="64"/>
      <x:c r="C324" s="64"/>
      <x:c r="D324" s="64"/>
      <x:c r="E324" s="64"/>
      <x:c r="F324" s="64"/>
      <x:c r="G324" s="64"/>
      <x:c r="H324" s="64"/>
      <x:c r="I324" s="64"/>
      <x:c r="J324" s="64"/>
      <x:c r="K324" s="64"/>
      <x:c r="L324" s="64"/>
      <x:c r="M324" s="64"/>
      <x:c r="N324" s="64"/>
      <x:c r="O324" s="64"/>
      <x:c r="P324" s="64"/>
      <x:c r="Q324" s="64"/>
      <x:c r="R324" s="64"/>
      <x:c r="S324" s="64"/>
      <x:c r="T324" s="64"/>
      <x:c r="U324" s="64"/>
      <x:c r="V324" s="64"/>
      <x:c r="W324" s="64"/>
      <x:c r="X324" s="64"/>
      <x:c r="Y324" s="64"/>
      <x:c r="Z324" s="64"/>
      <x:c r="AA324" s="64"/>
      <x:c r="AB324" s="64"/>
      <x:c r="AC324" s="64"/>
      <x:c r="AD324" s="64"/>
      <x:c r="AE324" s="64"/>
      <x:c r="AF324" s="64"/>
      <x:c r="AG324" s="64"/>
    </x:row>
    <x:row r="325">
      <x:c r="A325" s="64"/>
      <x:c r="B325" s="64"/>
      <x:c r="C325" s="64"/>
      <x:c r="D325" s="64"/>
      <x:c r="E325" s="64"/>
      <x:c r="F325" s="64"/>
      <x:c r="G325" s="64"/>
      <x:c r="H325" s="64"/>
      <x:c r="I325" s="64"/>
      <x:c r="J325" s="64"/>
      <x:c r="K325" s="64"/>
      <x:c r="L325" s="64"/>
      <x:c r="M325" s="64"/>
      <x:c r="N325" s="64"/>
      <x:c r="O325" s="64"/>
      <x:c r="P325" s="64"/>
      <x:c r="Q325" s="64"/>
      <x:c r="R325" s="64"/>
      <x:c r="S325" s="64"/>
      <x:c r="T325" s="64"/>
      <x:c r="U325" s="64"/>
      <x:c r="V325" s="64"/>
      <x:c r="W325" s="64"/>
      <x:c r="X325" s="64"/>
      <x:c r="Y325" s="64"/>
      <x:c r="Z325" s="64"/>
      <x:c r="AA325" s="64"/>
      <x:c r="AB325" s="64"/>
      <x:c r="AC325" s="64"/>
      <x:c r="AD325" s="64"/>
      <x:c r="AE325" s="64"/>
      <x:c r="AF325" s="64"/>
      <x:c r="AG325" s="64"/>
    </x:row>
    <x:row r="326">
      <x:c r="A326" s="64"/>
      <x:c r="B326" s="64"/>
      <x:c r="C326" s="64"/>
      <x:c r="D326" s="64"/>
      <x:c r="E326" s="64"/>
      <x:c r="F326" s="64"/>
      <x:c r="G326" s="64"/>
      <x:c r="H326" s="64"/>
      <x:c r="I326" s="64"/>
      <x:c r="J326" s="64"/>
      <x:c r="K326" s="64"/>
      <x:c r="L326" s="64"/>
      <x:c r="M326" s="64"/>
      <x:c r="N326" s="64"/>
      <x:c r="O326" s="64"/>
      <x:c r="P326" s="64"/>
      <x:c r="Q326" s="64"/>
      <x:c r="R326" s="64"/>
      <x:c r="S326" s="64"/>
      <x:c r="T326" s="64"/>
      <x:c r="U326" s="64"/>
      <x:c r="V326" s="64"/>
      <x:c r="W326" s="64"/>
      <x:c r="X326" s="64"/>
      <x:c r="Y326" s="64"/>
      <x:c r="Z326" s="64"/>
      <x:c r="AA326" s="64"/>
      <x:c r="AB326" s="64"/>
      <x:c r="AC326" s="64"/>
      <x:c r="AD326" s="64"/>
      <x:c r="AE326" s="64"/>
      <x:c r="AF326" s="64"/>
      <x:c r="AG326" s="64"/>
    </x:row>
    <x:row r="327">
      <x:c r="A327" s="64"/>
      <x:c r="B327" s="64"/>
      <x:c r="C327" s="64"/>
      <x:c r="D327" s="64"/>
      <x:c r="E327" s="64"/>
      <x:c r="F327" s="64"/>
      <x:c r="G327" s="64"/>
      <x:c r="H327" s="64"/>
      <x:c r="I327" s="64"/>
      <x:c r="J327" s="64"/>
      <x:c r="K327" s="64"/>
      <x:c r="L327" s="64"/>
      <x:c r="M327" s="64"/>
      <x:c r="N327" s="64"/>
      <x:c r="O327" s="64"/>
      <x:c r="P327" s="64"/>
      <x:c r="Q327" s="64"/>
      <x:c r="R327" s="64"/>
      <x:c r="S327" s="64"/>
      <x:c r="T327" s="64"/>
      <x:c r="U327" s="64"/>
      <x:c r="V327" s="64"/>
      <x:c r="W327" s="64"/>
      <x:c r="X327" s="64"/>
      <x:c r="Y327" s="64"/>
      <x:c r="Z327" s="64"/>
      <x:c r="AA327" s="64"/>
      <x:c r="AB327" s="64"/>
      <x:c r="AC327" s="64"/>
      <x:c r="AD327" s="64"/>
      <x:c r="AE327" s="64"/>
      <x:c r="AF327" s="64"/>
      <x:c r="AG327" s="64"/>
    </x:row>
    <x:row r="328">
      <x:c r="A328" s="64"/>
      <x:c r="B328" s="64"/>
      <x:c r="C328" s="64"/>
      <x:c r="D328" s="64"/>
      <x:c r="E328" s="64"/>
      <x:c r="F328" s="64"/>
      <x:c r="G328" s="64"/>
      <x:c r="H328" s="64"/>
      <x:c r="I328" s="64"/>
      <x:c r="J328" s="64"/>
      <x:c r="K328" s="64"/>
      <x:c r="L328" s="64"/>
      <x:c r="M328" s="64"/>
      <x:c r="N328" s="64"/>
      <x:c r="O328" s="64"/>
      <x:c r="P328" s="64"/>
      <x:c r="Q328" s="64"/>
      <x:c r="R328" s="64"/>
      <x:c r="S328" s="64"/>
      <x:c r="T328" s="64"/>
      <x:c r="U328" s="64"/>
      <x:c r="V328" s="64"/>
      <x:c r="W328" s="64"/>
      <x:c r="X328" s="64"/>
      <x:c r="Y328" s="64"/>
      <x:c r="Z328" s="64"/>
      <x:c r="AA328" s="64"/>
      <x:c r="AB328" s="64"/>
      <x:c r="AC328" s="64"/>
      <x:c r="AD328" s="64"/>
      <x:c r="AE328" s="64"/>
      <x:c r="AF328" s="64"/>
      <x:c r="AG328" s="64"/>
    </x:row>
    <x:row r="329">
      <x:c r="A329" s="64"/>
      <x:c r="B329" s="64"/>
      <x:c r="C329" s="64"/>
      <x:c r="D329" s="64"/>
      <x:c r="E329" s="64"/>
      <x:c r="F329" s="64"/>
      <x:c r="G329" s="64"/>
      <x:c r="H329" s="64"/>
      <x:c r="I329" s="64"/>
      <x:c r="J329" s="64"/>
      <x:c r="K329" s="64"/>
      <x:c r="L329" s="64"/>
      <x:c r="M329" s="64"/>
      <x:c r="N329" s="64"/>
      <x:c r="O329" s="64"/>
      <x:c r="P329" s="64"/>
      <x:c r="Q329" s="64"/>
      <x:c r="R329" s="64"/>
      <x:c r="S329" s="64"/>
      <x:c r="T329" s="64"/>
      <x:c r="U329" s="64"/>
      <x:c r="V329" s="64"/>
      <x:c r="W329" s="64"/>
      <x:c r="X329" s="64"/>
      <x:c r="Y329" s="64"/>
      <x:c r="Z329" s="64"/>
      <x:c r="AA329" s="64"/>
      <x:c r="AB329" s="64"/>
      <x:c r="AC329" s="64"/>
      <x:c r="AD329" s="64"/>
      <x:c r="AE329" s="64"/>
      <x:c r="AF329" s="64"/>
      <x:c r="AG329" s="64"/>
    </x:row>
    <x:row r="330">
      <x:c r="A330" s="64"/>
      <x:c r="B330" s="64"/>
      <x:c r="C330" s="64"/>
      <x:c r="D330" s="64"/>
      <x:c r="E330" s="64"/>
      <x:c r="F330" s="64"/>
      <x:c r="G330" s="64"/>
      <x:c r="H330" s="64"/>
      <x:c r="I330" s="64"/>
      <x:c r="J330" s="64"/>
      <x:c r="K330" s="64"/>
      <x:c r="L330" s="64"/>
      <x:c r="M330" s="64"/>
      <x:c r="N330" s="64"/>
      <x:c r="O330" s="64"/>
      <x:c r="P330" s="64"/>
      <x:c r="Q330" s="64"/>
      <x:c r="R330" s="64"/>
      <x:c r="S330" s="64"/>
      <x:c r="T330" s="64"/>
      <x:c r="U330" s="64"/>
      <x:c r="V330" s="64"/>
      <x:c r="W330" s="64"/>
      <x:c r="X330" s="64"/>
      <x:c r="Y330" s="64"/>
      <x:c r="Z330" s="64"/>
      <x:c r="AA330" s="64"/>
      <x:c r="AB330" s="64"/>
      <x:c r="AC330" s="64"/>
      <x:c r="AD330" s="64"/>
      <x:c r="AE330" s="64"/>
      <x:c r="AF330" s="64"/>
      <x:c r="AG330" s="64"/>
    </x:row>
    <x:row r="331">
      <x:c r="A331" s="64"/>
      <x:c r="B331" s="64"/>
      <x:c r="C331" s="64"/>
      <x:c r="D331" s="64"/>
      <x:c r="E331" s="64"/>
      <x:c r="F331" s="64"/>
      <x:c r="G331" s="64"/>
      <x:c r="H331" s="64"/>
      <x:c r="I331" s="64"/>
      <x:c r="J331" s="64"/>
      <x:c r="K331" s="64"/>
      <x:c r="L331" s="64"/>
      <x:c r="M331" s="64"/>
      <x:c r="N331" s="64"/>
      <x:c r="O331" s="64"/>
      <x:c r="P331" s="64"/>
      <x:c r="Q331" s="64"/>
      <x:c r="R331" s="64"/>
      <x:c r="S331" s="64"/>
      <x:c r="T331" s="64"/>
      <x:c r="U331" s="64"/>
      <x:c r="V331" s="64"/>
      <x:c r="W331" s="64"/>
      <x:c r="X331" s="64"/>
      <x:c r="Y331" s="64"/>
      <x:c r="Z331" s="64"/>
      <x:c r="AA331" s="64"/>
      <x:c r="AB331" s="64"/>
      <x:c r="AC331" s="64"/>
      <x:c r="AD331" s="64"/>
      <x:c r="AE331" s="64"/>
      <x:c r="AF331" s="64"/>
      <x:c r="AG331" s="64"/>
    </x:row>
    <x:row r="332">
      <x:c r="A332" s="64"/>
      <x:c r="B332" s="64"/>
      <x:c r="C332" s="64"/>
      <x:c r="D332" s="64"/>
      <x:c r="E332" s="64"/>
      <x:c r="F332" s="64"/>
      <x:c r="G332" s="64"/>
      <x:c r="H332" s="64"/>
      <x:c r="I332" s="64"/>
      <x:c r="J332" s="64"/>
      <x:c r="K332" s="64"/>
      <x:c r="L332" s="64"/>
      <x:c r="M332" s="64"/>
      <x:c r="N332" s="64"/>
      <x:c r="O332" s="64"/>
      <x:c r="P332" s="64"/>
      <x:c r="Q332" s="64"/>
      <x:c r="R332" s="64"/>
      <x:c r="S332" s="64"/>
      <x:c r="T332" s="64"/>
      <x:c r="U332" s="64"/>
      <x:c r="V332" s="64"/>
      <x:c r="W332" s="64"/>
      <x:c r="X332" s="64"/>
      <x:c r="Y332" s="64"/>
      <x:c r="Z332" s="64"/>
      <x:c r="AA332" s="64"/>
      <x:c r="AB332" s="64"/>
      <x:c r="AC332" s="64"/>
      <x:c r="AD332" s="64"/>
      <x:c r="AE332" s="64"/>
      <x:c r="AF332" s="64"/>
      <x:c r="AG332" s="64"/>
    </x:row>
    <x:row r="333">
      <x:c r="A333" s="64"/>
      <x:c r="B333" s="64"/>
      <x:c r="C333" s="64"/>
      <x:c r="D333" s="64"/>
      <x:c r="E333" s="64"/>
      <x:c r="F333" s="64"/>
      <x:c r="G333" s="64"/>
      <x:c r="H333" s="64"/>
      <x:c r="I333" s="64"/>
      <x:c r="J333" s="64"/>
      <x:c r="K333" s="64"/>
      <x:c r="L333" s="64"/>
      <x:c r="M333" s="64"/>
      <x:c r="N333" s="64"/>
      <x:c r="O333" s="64"/>
      <x:c r="P333" s="64"/>
      <x:c r="Q333" s="64"/>
      <x:c r="R333" s="64"/>
      <x:c r="S333" s="64"/>
      <x:c r="T333" s="64"/>
      <x:c r="U333" s="64"/>
      <x:c r="V333" s="64"/>
      <x:c r="W333" s="64"/>
      <x:c r="X333" s="64"/>
      <x:c r="Y333" s="64"/>
      <x:c r="Z333" s="64"/>
      <x:c r="AA333" s="64"/>
      <x:c r="AB333" s="64"/>
      <x:c r="AC333" s="64"/>
      <x:c r="AD333" s="64"/>
      <x:c r="AE333" s="64"/>
      <x:c r="AF333" s="64"/>
      <x:c r="AG333" s="64"/>
    </x:row>
    <x:row r="334">
      <x:c r="A334" s="64"/>
      <x:c r="B334" s="64"/>
      <x:c r="C334" s="64"/>
      <x:c r="D334" s="64"/>
      <x:c r="E334" s="64"/>
      <x:c r="F334" s="64"/>
      <x:c r="G334" s="64"/>
      <x:c r="H334" s="64"/>
      <x:c r="I334" s="64"/>
      <x:c r="J334" s="64"/>
      <x:c r="K334" s="64"/>
      <x:c r="L334" s="64"/>
      <x:c r="M334" s="64"/>
      <x:c r="N334" s="64"/>
      <x:c r="O334" s="64"/>
      <x:c r="P334" s="64"/>
      <x:c r="Q334" s="64"/>
      <x:c r="R334" s="64"/>
      <x:c r="S334" s="64"/>
      <x:c r="T334" s="64"/>
      <x:c r="U334" s="64"/>
      <x:c r="V334" s="64"/>
      <x:c r="W334" s="64"/>
      <x:c r="X334" s="64"/>
      <x:c r="Y334" s="64"/>
      <x:c r="Z334" s="64"/>
      <x:c r="AA334" s="64"/>
      <x:c r="AB334" s="64"/>
      <x:c r="AC334" s="64"/>
      <x:c r="AD334" s="64"/>
      <x:c r="AE334" s="64"/>
      <x:c r="AF334" s="64"/>
      <x:c r="AG334" s="64"/>
    </x:row>
    <x:row r="335">
      <x:c r="A335" s="64"/>
      <x:c r="B335" s="64"/>
      <x:c r="C335" s="64"/>
      <x:c r="D335" s="64"/>
      <x:c r="E335" s="64"/>
      <x:c r="F335" s="64"/>
      <x:c r="G335" s="64"/>
      <x:c r="H335" s="64"/>
      <x:c r="I335" s="64"/>
      <x:c r="J335" s="64"/>
      <x:c r="K335" s="64"/>
      <x:c r="L335" s="64"/>
      <x:c r="M335" s="64"/>
      <x:c r="N335" s="64"/>
      <x:c r="O335" s="64"/>
      <x:c r="P335" s="64"/>
      <x:c r="Q335" s="64"/>
      <x:c r="R335" s="64"/>
      <x:c r="S335" s="64"/>
      <x:c r="T335" s="64"/>
      <x:c r="U335" s="64"/>
      <x:c r="V335" s="64"/>
      <x:c r="W335" s="64"/>
      <x:c r="X335" s="64"/>
      <x:c r="Y335" s="64"/>
      <x:c r="Z335" s="64"/>
      <x:c r="AA335" s="64"/>
      <x:c r="AB335" s="64"/>
      <x:c r="AC335" s="64"/>
      <x:c r="AD335" s="64"/>
      <x:c r="AE335" s="64"/>
      <x:c r="AF335" s="64"/>
      <x:c r="AG335" s="64"/>
    </x:row>
    <x:row r="336">
      <x:c r="A336" s="64"/>
      <x:c r="B336" s="64"/>
      <x:c r="C336" s="64"/>
      <x:c r="D336" s="64"/>
      <x:c r="E336" s="64"/>
      <x:c r="F336" s="64"/>
      <x:c r="G336" s="64"/>
      <x:c r="H336" s="64"/>
      <x:c r="I336" s="64"/>
      <x:c r="J336" s="64"/>
      <x:c r="K336" s="64"/>
      <x:c r="L336" s="64"/>
      <x:c r="M336" s="64"/>
      <x:c r="N336" s="64"/>
      <x:c r="O336" s="64"/>
      <x:c r="P336" s="64"/>
      <x:c r="Q336" s="64"/>
      <x:c r="R336" s="64"/>
      <x:c r="S336" s="64"/>
      <x:c r="T336" s="64"/>
      <x:c r="U336" s="64"/>
      <x:c r="V336" s="64"/>
      <x:c r="W336" s="64"/>
      <x:c r="X336" s="64"/>
      <x:c r="Y336" s="64"/>
      <x:c r="Z336" s="64"/>
      <x:c r="AA336" s="64"/>
      <x:c r="AB336" s="64"/>
      <x:c r="AC336" s="64"/>
      <x:c r="AD336" s="64"/>
      <x:c r="AE336" s="64"/>
      <x:c r="AF336" s="64"/>
      <x:c r="AG336" s="64"/>
    </x:row>
    <x:row r="337">
      <x:c r="A337" s="64"/>
      <x:c r="B337" s="64"/>
      <x:c r="C337" s="64"/>
      <x:c r="D337" s="64"/>
      <x:c r="E337" s="64"/>
      <x:c r="F337" s="64"/>
      <x:c r="G337" s="64"/>
      <x:c r="H337" s="64"/>
      <x:c r="I337" s="64"/>
      <x:c r="J337" s="64"/>
      <x:c r="K337" s="64"/>
      <x:c r="L337" s="64"/>
      <x:c r="M337" s="64"/>
      <x:c r="N337" s="64"/>
      <x:c r="O337" s="64"/>
      <x:c r="P337" s="64"/>
      <x:c r="Q337" s="64"/>
      <x:c r="R337" s="64"/>
      <x:c r="S337" s="64"/>
      <x:c r="T337" s="64"/>
      <x:c r="U337" s="64"/>
      <x:c r="V337" s="64"/>
      <x:c r="W337" s="64"/>
      <x:c r="X337" s="64"/>
      <x:c r="Y337" s="64"/>
      <x:c r="Z337" s="64"/>
      <x:c r="AA337" s="64"/>
      <x:c r="AB337" s="64"/>
      <x:c r="AC337" s="64"/>
      <x:c r="AD337" s="64"/>
      <x:c r="AE337" s="64"/>
      <x:c r="AF337" s="64"/>
      <x:c r="AG337" s="64"/>
    </x:row>
    <x:row r="338">
      <x:c r="A338" s="64"/>
      <x:c r="B338" s="64"/>
      <x:c r="C338" s="64"/>
      <x:c r="D338" s="64"/>
      <x:c r="E338" s="64"/>
      <x:c r="F338" s="64"/>
      <x:c r="G338" s="64"/>
      <x:c r="H338" s="64"/>
      <x:c r="I338" s="64"/>
      <x:c r="J338" s="64"/>
      <x:c r="K338" s="64"/>
      <x:c r="L338" s="64"/>
      <x:c r="M338" s="64"/>
      <x:c r="N338" s="64"/>
      <x:c r="O338" s="64"/>
      <x:c r="P338" s="64"/>
      <x:c r="Q338" s="64"/>
      <x:c r="R338" s="64"/>
      <x:c r="S338" s="64"/>
      <x:c r="T338" s="64"/>
      <x:c r="U338" s="64"/>
      <x:c r="V338" s="64"/>
      <x:c r="W338" s="64"/>
      <x:c r="X338" s="64"/>
      <x:c r="Y338" s="64"/>
      <x:c r="Z338" s="64"/>
      <x:c r="AA338" s="64"/>
      <x:c r="AB338" s="64"/>
      <x:c r="AC338" s="64"/>
      <x:c r="AD338" s="64"/>
      <x:c r="AE338" s="64"/>
      <x:c r="AF338" s="64"/>
      <x:c r="AG338" s="64"/>
    </x:row>
    <x:row r="339">
      <x:c r="A339" s="64"/>
      <x:c r="B339" s="64"/>
      <x:c r="C339" s="64"/>
      <x:c r="D339" s="64"/>
      <x:c r="E339" s="64"/>
      <x:c r="F339" s="64"/>
      <x:c r="G339" s="64"/>
      <x:c r="H339" s="64"/>
      <x:c r="I339" s="64"/>
      <x:c r="J339" s="64"/>
      <x:c r="K339" s="64"/>
      <x:c r="L339" s="64"/>
      <x:c r="M339" s="64"/>
      <x:c r="N339" s="64"/>
      <x:c r="O339" s="64"/>
      <x:c r="P339" s="64"/>
      <x:c r="Q339" s="64"/>
      <x:c r="R339" s="64"/>
      <x:c r="S339" s="64"/>
      <x:c r="T339" s="64"/>
      <x:c r="U339" s="64"/>
      <x:c r="V339" s="64"/>
      <x:c r="W339" s="64"/>
      <x:c r="X339" s="64"/>
      <x:c r="Y339" s="64"/>
      <x:c r="Z339" s="64"/>
      <x:c r="AA339" s="64"/>
      <x:c r="AB339" s="64"/>
      <x:c r="AC339" s="64"/>
      <x:c r="AD339" s="64"/>
      <x:c r="AE339" s="64"/>
      <x:c r="AF339" s="64"/>
      <x:c r="AG339" s="64"/>
    </x:row>
    <x:row r="340">
      <x:c r="A340" s="64"/>
      <x:c r="B340" s="64"/>
      <x:c r="C340" s="64"/>
      <x:c r="D340" s="64"/>
      <x:c r="E340" s="64"/>
      <x:c r="F340" s="64"/>
      <x:c r="G340" s="64"/>
      <x:c r="H340" s="64"/>
      <x:c r="I340" s="64"/>
      <x:c r="J340" s="64"/>
      <x:c r="K340" s="64"/>
      <x:c r="L340" s="64"/>
      <x:c r="M340" s="64"/>
      <x:c r="N340" s="64"/>
      <x:c r="O340" s="64"/>
      <x:c r="P340" s="64"/>
      <x:c r="Q340" s="64"/>
      <x:c r="R340" s="64"/>
      <x:c r="S340" s="64"/>
      <x:c r="T340" s="64"/>
      <x:c r="U340" s="64"/>
      <x:c r="V340" s="64"/>
      <x:c r="W340" s="64"/>
      <x:c r="X340" s="64"/>
      <x:c r="Y340" s="64"/>
      <x:c r="Z340" s="64"/>
      <x:c r="AA340" s="64"/>
      <x:c r="AB340" s="64"/>
      <x:c r="AC340" s="64"/>
      <x:c r="AD340" s="64"/>
      <x:c r="AE340" s="64"/>
      <x:c r="AF340" s="64"/>
      <x:c r="AG340" s="64"/>
    </x:row>
    <x:row r="341">
      <x:c r="A341" s="64"/>
      <x:c r="B341" s="64"/>
      <x:c r="C341" s="64"/>
      <x:c r="D341" s="64"/>
      <x:c r="E341" s="64"/>
      <x:c r="F341" s="64"/>
      <x:c r="G341" s="64"/>
      <x:c r="H341" s="64"/>
      <x:c r="I341" s="64"/>
      <x:c r="J341" s="64"/>
      <x:c r="K341" s="64"/>
      <x:c r="L341" s="64"/>
      <x:c r="M341" s="64"/>
      <x:c r="N341" s="64"/>
      <x:c r="O341" s="64"/>
      <x:c r="P341" s="64"/>
      <x:c r="Q341" s="64"/>
      <x:c r="R341" s="64"/>
      <x:c r="S341" s="64"/>
      <x:c r="T341" s="64"/>
      <x:c r="U341" s="64"/>
      <x:c r="V341" s="64"/>
      <x:c r="W341" s="64"/>
      <x:c r="X341" s="64"/>
      <x:c r="Y341" s="64"/>
      <x:c r="Z341" s="64"/>
      <x:c r="AA341" s="64"/>
      <x:c r="AB341" s="64"/>
      <x:c r="AC341" s="64"/>
      <x:c r="AD341" s="64"/>
      <x:c r="AE341" s="64"/>
      <x:c r="AF341" s="64"/>
      <x:c r="AG341" s="64"/>
    </x:row>
    <x:row r="342">
      <x:c r="A342" s="64"/>
      <x:c r="B342" s="64"/>
      <x:c r="C342" s="64"/>
      <x:c r="D342" s="64"/>
      <x:c r="E342" s="64"/>
      <x:c r="F342" s="64"/>
      <x:c r="G342" s="64"/>
      <x:c r="H342" s="64"/>
      <x:c r="I342" s="64"/>
      <x:c r="J342" s="64"/>
      <x:c r="K342" s="64"/>
      <x:c r="L342" s="64"/>
      <x:c r="M342" s="64"/>
      <x:c r="N342" s="64"/>
      <x:c r="O342" s="64"/>
      <x:c r="P342" s="64"/>
      <x:c r="Q342" s="64"/>
      <x:c r="R342" s="64"/>
      <x:c r="S342" s="64"/>
      <x:c r="T342" s="64"/>
      <x:c r="U342" s="64"/>
      <x:c r="V342" s="64"/>
      <x:c r="W342" s="64"/>
      <x:c r="X342" s="64"/>
      <x:c r="Y342" s="64"/>
      <x:c r="Z342" s="64"/>
      <x:c r="AA342" s="64"/>
      <x:c r="AB342" s="64"/>
      <x:c r="AC342" s="64"/>
      <x:c r="AD342" s="64"/>
      <x:c r="AE342" s="64"/>
      <x:c r="AF342" s="64"/>
      <x:c r="AG342" s="64"/>
    </x:row>
    <x:row r="343">
      <x:c r="A343" s="64"/>
      <x:c r="B343" s="64"/>
      <x:c r="C343" s="64"/>
      <x:c r="D343" s="64"/>
      <x:c r="E343" s="64"/>
      <x:c r="F343" s="64"/>
      <x:c r="G343" s="64"/>
      <x:c r="H343" s="64"/>
      <x:c r="I343" s="64"/>
      <x:c r="J343" s="64"/>
      <x:c r="K343" s="64"/>
      <x:c r="L343" s="64"/>
      <x:c r="M343" s="64"/>
      <x:c r="N343" s="64"/>
      <x:c r="O343" s="64"/>
      <x:c r="P343" s="64"/>
      <x:c r="Q343" s="64"/>
      <x:c r="R343" s="64"/>
      <x:c r="S343" s="64"/>
      <x:c r="T343" s="64"/>
      <x:c r="U343" s="64"/>
      <x:c r="V343" s="64"/>
      <x:c r="W343" s="64"/>
      <x:c r="X343" s="64"/>
      <x:c r="Y343" s="64"/>
      <x:c r="Z343" s="64"/>
      <x:c r="AA343" s="64"/>
      <x:c r="AB343" s="64"/>
      <x:c r="AC343" s="64"/>
      <x:c r="AD343" s="64"/>
      <x:c r="AE343" s="64"/>
      <x:c r="AF343" s="64"/>
      <x:c r="AG343" s="64"/>
    </x:row>
    <x:row r="344">
      <x:c r="A344" s="64"/>
      <x:c r="B344" s="64"/>
      <x:c r="C344" s="64"/>
      <x:c r="D344" s="64"/>
      <x:c r="E344" s="64"/>
      <x:c r="F344" s="64"/>
      <x:c r="G344" s="64"/>
      <x:c r="H344" s="64"/>
      <x:c r="I344" s="64"/>
      <x:c r="J344" s="64"/>
      <x:c r="K344" s="64"/>
      <x:c r="L344" s="64"/>
      <x:c r="M344" s="64"/>
      <x:c r="N344" s="64"/>
      <x:c r="O344" s="64"/>
      <x:c r="P344" s="64"/>
      <x:c r="Q344" s="64"/>
      <x:c r="R344" s="64"/>
      <x:c r="S344" s="64"/>
      <x:c r="T344" s="64"/>
      <x:c r="U344" s="64"/>
      <x:c r="V344" s="64"/>
      <x:c r="W344" s="64"/>
      <x:c r="X344" s="64"/>
      <x:c r="Y344" s="64"/>
      <x:c r="Z344" s="64"/>
      <x:c r="AA344" s="64"/>
      <x:c r="AB344" s="64"/>
      <x:c r="AC344" s="64"/>
      <x:c r="AD344" s="64"/>
      <x:c r="AE344" s="64"/>
      <x:c r="AF344" s="64"/>
      <x:c r="AG344" s="64"/>
    </x:row>
    <x:row r="345">
      <x:c r="A345" s="64"/>
      <x:c r="B345" s="64"/>
      <x:c r="C345" s="64"/>
      <x:c r="D345" s="64"/>
      <x:c r="E345" s="64"/>
      <x:c r="F345" s="64"/>
      <x:c r="G345" s="64"/>
      <x:c r="H345" s="64"/>
      <x:c r="I345" s="64"/>
      <x:c r="J345" s="64"/>
      <x:c r="K345" s="64"/>
      <x:c r="L345" s="64"/>
      <x:c r="M345" s="64"/>
      <x:c r="N345" s="64"/>
      <x:c r="O345" s="64"/>
      <x:c r="P345" s="64"/>
      <x:c r="Q345" s="64"/>
      <x:c r="R345" s="64"/>
      <x:c r="S345" s="64"/>
      <x:c r="T345" s="64"/>
      <x:c r="U345" s="64"/>
      <x:c r="V345" s="64"/>
      <x:c r="W345" s="64"/>
      <x:c r="X345" s="64"/>
      <x:c r="Y345" s="64"/>
      <x:c r="Z345" s="64"/>
      <x:c r="AA345" s="64"/>
      <x:c r="AB345" s="64"/>
      <x:c r="AC345" s="64"/>
      <x:c r="AD345" s="64"/>
      <x:c r="AE345" s="64"/>
      <x:c r="AF345" s="64"/>
      <x:c r="AG345" s="64"/>
    </x:row>
    <x:row r="346">
      <x:c r="A346" s="64"/>
      <x:c r="B346" s="64"/>
      <x:c r="C346" s="64"/>
      <x:c r="D346" s="64"/>
      <x:c r="E346" s="64"/>
      <x:c r="F346" s="64"/>
      <x:c r="G346" s="64"/>
      <x:c r="H346" s="64"/>
      <x:c r="I346" s="64"/>
      <x:c r="J346" s="64"/>
      <x:c r="K346" s="64"/>
      <x:c r="L346" s="64"/>
      <x:c r="M346" s="64"/>
      <x:c r="N346" s="64"/>
      <x:c r="O346" s="64"/>
      <x:c r="P346" s="64"/>
      <x:c r="Q346" s="64"/>
      <x:c r="R346" s="64"/>
      <x:c r="S346" s="64"/>
      <x:c r="T346" s="64"/>
      <x:c r="U346" s="64"/>
      <x:c r="V346" s="64"/>
      <x:c r="W346" s="64"/>
      <x:c r="X346" s="64"/>
      <x:c r="Y346" s="64"/>
      <x:c r="Z346" s="64"/>
      <x:c r="AA346" s="64"/>
      <x:c r="AB346" s="64"/>
      <x:c r="AC346" s="64"/>
      <x:c r="AD346" s="64"/>
      <x:c r="AE346" s="64"/>
      <x:c r="AF346" s="64"/>
      <x:c r="AG346" s="64"/>
    </x:row>
    <x:row r="347">
      <x:c r="A347" s="64"/>
      <x:c r="B347" s="64"/>
      <x:c r="C347" s="64"/>
      <x:c r="D347" s="64"/>
      <x:c r="E347" s="64"/>
      <x:c r="F347" s="64"/>
      <x:c r="G347" s="64"/>
      <x:c r="H347" s="64"/>
      <x:c r="I347" s="64"/>
      <x:c r="J347" s="64"/>
      <x:c r="K347" s="64"/>
      <x:c r="L347" s="64"/>
      <x:c r="M347" s="64"/>
      <x:c r="N347" s="64"/>
      <x:c r="O347" s="64"/>
      <x:c r="P347" s="64"/>
      <x:c r="Q347" s="64"/>
      <x:c r="R347" s="64"/>
      <x:c r="S347" s="64"/>
      <x:c r="T347" s="64"/>
      <x:c r="U347" s="64"/>
      <x:c r="V347" s="64"/>
      <x:c r="W347" s="64"/>
      <x:c r="X347" s="64"/>
      <x:c r="Y347" s="64"/>
      <x:c r="Z347" s="64"/>
      <x:c r="AA347" s="64"/>
      <x:c r="AB347" s="64"/>
      <x:c r="AC347" s="64"/>
      <x:c r="AD347" s="64"/>
      <x:c r="AE347" s="64"/>
      <x:c r="AF347" s="64"/>
      <x:c r="AG347" s="64"/>
    </x:row>
    <x:row r="348">
      <x:c r="A348" s="64"/>
      <x:c r="B348" s="64"/>
      <x:c r="C348" s="64"/>
      <x:c r="D348" s="64"/>
      <x:c r="E348" s="64"/>
      <x:c r="F348" s="64"/>
      <x:c r="G348" s="64"/>
      <x:c r="H348" s="64"/>
      <x:c r="I348" s="64"/>
      <x:c r="J348" s="64"/>
      <x:c r="K348" s="64"/>
      <x:c r="L348" s="64"/>
      <x:c r="M348" s="64"/>
      <x:c r="N348" s="64"/>
      <x:c r="O348" s="64"/>
      <x:c r="P348" s="64"/>
      <x:c r="Q348" s="64"/>
      <x:c r="R348" s="64"/>
      <x:c r="S348" s="64"/>
      <x:c r="T348" s="64"/>
      <x:c r="U348" s="64"/>
      <x:c r="V348" s="64"/>
      <x:c r="W348" s="64"/>
      <x:c r="X348" s="64"/>
      <x:c r="Y348" s="64"/>
      <x:c r="Z348" s="64"/>
      <x:c r="AA348" s="64"/>
      <x:c r="AB348" s="64"/>
      <x:c r="AC348" s="64"/>
      <x:c r="AD348" s="64"/>
      <x:c r="AE348" s="64"/>
      <x:c r="AF348" s="64"/>
      <x:c r="AG348" s="64"/>
    </x:row>
    <x:row r="349">
      <x:c r="A349" s="64"/>
      <x:c r="B349" s="64"/>
      <x:c r="C349" s="64"/>
      <x:c r="D349" s="64"/>
      <x:c r="E349" s="64"/>
      <x:c r="F349" s="64"/>
      <x:c r="G349" s="64"/>
      <x:c r="H349" s="64"/>
      <x:c r="I349" s="64"/>
      <x:c r="J349" s="64"/>
      <x:c r="K349" s="64"/>
      <x:c r="L349" s="64"/>
      <x:c r="M349" s="64"/>
      <x:c r="N349" s="64"/>
      <x:c r="O349" s="64"/>
      <x:c r="P349" s="64"/>
      <x:c r="Q349" s="64"/>
      <x:c r="R349" s="64"/>
      <x:c r="S349" s="64"/>
      <x:c r="T349" s="64"/>
      <x:c r="U349" s="64"/>
      <x:c r="V349" s="64"/>
      <x:c r="W349" s="64"/>
      <x:c r="X349" s="64"/>
      <x:c r="Y349" s="64"/>
      <x:c r="Z349" s="64"/>
      <x:c r="AA349" s="64"/>
      <x:c r="AB349" s="64"/>
      <x:c r="AC349" s="64"/>
      <x:c r="AD349" s="64"/>
      <x:c r="AE349" s="64"/>
      <x:c r="AF349" s="64"/>
      <x:c r="AG349" s="64"/>
    </x:row>
    <x:row r="350">
      <x:c r="A350" s="64"/>
      <x:c r="B350" s="64"/>
      <x:c r="C350" s="64"/>
      <x:c r="D350" s="64"/>
      <x:c r="E350" s="64"/>
      <x:c r="F350" s="64"/>
      <x:c r="G350" s="64"/>
      <x:c r="H350" s="64"/>
      <x:c r="I350" s="64"/>
      <x:c r="J350" s="64"/>
      <x:c r="K350" s="64"/>
      <x:c r="L350" s="64"/>
      <x:c r="M350" s="64"/>
      <x:c r="N350" s="64"/>
      <x:c r="O350" s="64"/>
      <x:c r="P350" s="64"/>
      <x:c r="Q350" s="64"/>
      <x:c r="R350" s="64"/>
      <x:c r="S350" s="64"/>
      <x:c r="T350" s="64"/>
      <x:c r="U350" s="64"/>
      <x:c r="V350" s="64"/>
      <x:c r="W350" s="64"/>
      <x:c r="X350" s="64"/>
      <x:c r="Y350" s="64"/>
      <x:c r="Z350" s="64"/>
      <x:c r="AA350" s="64"/>
      <x:c r="AB350" s="64"/>
      <x:c r="AC350" s="64"/>
      <x:c r="AD350" s="64"/>
      <x:c r="AE350" s="64"/>
      <x:c r="AF350" s="64"/>
      <x:c r="AG350" s="64"/>
    </x:row>
    <x:row r="351">
      <x:c r="A351" s="64"/>
      <x:c r="B351" s="64"/>
      <x:c r="C351" s="64"/>
      <x:c r="D351" s="64"/>
      <x:c r="E351" s="64"/>
      <x:c r="F351" s="64"/>
      <x:c r="G351" s="64"/>
      <x:c r="H351" s="64"/>
      <x:c r="I351" s="64"/>
      <x:c r="J351" s="64"/>
      <x:c r="K351" s="64"/>
      <x:c r="L351" s="64"/>
      <x:c r="M351" s="64"/>
      <x:c r="N351" s="64"/>
      <x:c r="O351" s="64"/>
      <x:c r="P351" s="64"/>
      <x:c r="Q351" s="64"/>
      <x:c r="R351" s="64"/>
      <x:c r="S351" s="64"/>
      <x:c r="T351" s="64"/>
      <x:c r="U351" s="64"/>
      <x:c r="V351" s="64"/>
      <x:c r="W351" s="64"/>
      <x:c r="X351" s="64"/>
      <x:c r="Y351" s="64"/>
      <x:c r="Z351" s="64"/>
      <x:c r="AA351" s="64"/>
      <x:c r="AB351" s="64"/>
      <x:c r="AC351" s="64"/>
      <x:c r="AD351" s="64"/>
      <x:c r="AE351" s="64"/>
      <x:c r="AF351" s="64"/>
      <x:c r="AG351" s="64"/>
    </x:row>
    <x:row r="352">
      <x:c r="A352" s="64"/>
      <x:c r="B352" s="64"/>
      <x:c r="C352" s="64"/>
      <x:c r="D352" s="64"/>
      <x:c r="E352" s="64"/>
      <x:c r="F352" s="64"/>
      <x:c r="G352" s="64"/>
      <x:c r="H352" s="64"/>
      <x:c r="I352" s="64"/>
      <x:c r="J352" s="64"/>
      <x:c r="K352" s="64"/>
      <x:c r="L352" s="64"/>
      <x:c r="M352" s="64"/>
      <x:c r="N352" s="64"/>
      <x:c r="O352" s="64"/>
      <x:c r="P352" s="64"/>
      <x:c r="Q352" s="64"/>
      <x:c r="R352" s="64"/>
      <x:c r="S352" s="64"/>
      <x:c r="T352" s="64"/>
      <x:c r="U352" s="64"/>
      <x:c r="V352" s="64"/>
      <x:c r="W352" s="64"/>
      <x:c r="X352" s="64"/>
      <x:c r="Y352" s="64"/>
      <x:c r="Z352" s="64"/>
      <x:c r="AA352" s="64"/>
      <x:c r="AB352" s="64"/>
      <x:c r="AC352" s="64"/>
      <x:c r="AD352" s="64"/>
      <x:c r="AE352" s="64"/>
      <x:c r="AF352" s="64"/>
      <x:c r="AG352" s="64"/>
    </x:row>
    <x:row r="353">
      <x:c r="A353" s="64"/>
      <x:c r="B353" s="64"/>
      <x:c r="C353" s="64"/>
      <x:c r="D353" s="64"/>
      <x:c r="E353" s="64"/>
      <x:c r="F353" s="64"/>
      <x:c r="G353" s="64"/>
      <x:c r="H353" s="64"/>
      <x:c r="I353" s="64"/>
      <x:c r="J353" s="64"/>
      <x:c r="K353" s="64"/>
      <x:c r="L353" s="64"/>
      <x:c r="M353" s="64"/>
      <x:c r="N353" s="64"/>
      <x:c r="O353" s="64"/>
      <x:c r="P353" s="64"/>
      <x:c r="Q353" s="64"/>
      <x:c r="R353" s="64"/>
      <x:c r="S353" s="64"/>
      <x:c r="T353" s="64"/>
      <x:c r="U353" s="64"/>
      <x:c r="V353" s="64"/>
      <x:c r="W353" s="64"/>
      <x:c r="X353" s="64"/>
      <x:c r="Y353" s="64"/>
      <x:c r="Z353" s="64"/>
      <x:c r="AA353" s="64"/>
      <x:c r="AB353" s="64"/>
      <x:c r="AC353" s="64"/>
      <x:c r="AD353" s="64"/>
      <x:c r="AE353" s="64"/>
      <x:c r="AF353" s="64"/>
      <x:c r="AG353" s="64"/>
    </x:row>
    <x:row r="354">
      <x:c r="A354" s="64"/>
      <x:c r="B354" s="64"/>
      <x:c r="C354" s="64"/>
      <x:c r="D354" s="64"/>
      <x:c r="E354" s="64"/>
      <x:c r="F354" s="64"/>
      <x:c r="G354" s="64"/>
      <x:c r="H354" s="64"/>
      <x:c r="I354" s="64"/>
      <x:c r="J354" s="64"/>
      <x:c r="K354" s="64"/>
      <x:c r="L354" s="64"/>
      <x:c r="M354" s="64"/>
      <x:c r="N354" s="64"/>
      <x:c r="O354" s="64"/>
      <x:c r="P354" s="64"/>
      <x:c r="Q354" s="64"/>
      <x:c r="R354" s="64"/>
      <x:c r="S354" s="64"/>
      <x:c r="T354" s="64"/>
      <x:c r="U354" s="64"/>
      <x:c r="V354" s="64"/>
      <x:c r="W354" s="64"/>
      <x:c r="X354" s="64"/>
      <x:c r="Y354" s="64"/>
      <x:c r="Z354" s="64"/>
      <x:c r="AA354" s="64"/>
      <x:c r="AB354" s="64"/>
      <x:c r="AC354" s="64"/>
      <x:c r="AD354" s="64"/>
      <x:c r="AE354" s="64"/>
      <x:c r="AF354" s="64"/>
      <x:c r="AG354" s="64"/>
    </x:row>
    <x:row r="355">
      <x:c r="A355" s="64"/>
      <x:c r="B355" s="64"/>
      <x:c r="C355" s="64"/>
      <x:c r="D355" s="64"/>
      <x:c r="E355" s="64"/>
      <x:c r="F355" s="64"/>
      <x:c r="G355" s="64"/>
      <x:c r="H355" s="64"/>
      <x:c r="I355" s="64"/>
      <x:c r="J355" s="64"/>
      <x:c r="K355" s="64"/>
      <x:c r="L355" s="64"/>
      <x:c r="M355" s="64"/>
      <x:c r="N355" s="64"/>
      <x:c r="O355" s="64"/>
      <x:c r="P355" s="64"/>
      <x:c r="Q355" s="64"/>
      <x:c r="R355" s="64"/>
      <x:c r="S355" s="64"/>
      <x:c r="T355" s="64"/>
      <x:c r="U355" s="64"/>
      <x:c r="V355" s="64"/>
      <x:c r="W355" s="64"/>
      <x:c r="X355" s="64"/>
      <x:c r="Y355" s="64"/>
      <x:c r="Z355" s="64"/>
      <x:c r="AA355" s="64"/>
      <x:c r="AB355" s="64"/>
      <x:c r="AC355" s="64"/>
      <x:c r="AD355" s="64"/>
      <x:c r="AE355" s="64"/>
      <x:c r="AF355" s="64"/>
      <x:c r="AG355" s="64"/>
    </x:row>
    <x:row r="356">
      <x:c r="A356" s="64"/>
      <x:c r="B356" s="64"/>
      <x:c r="C356" s="64"/>
      <x:c r="D356" s="64"/>
      <x:c r="E356" s="64"/>
      <x:c r="F356" s="64"/>
      <x:c r="G356" s="64"/>
      <x:c r="H356" s="64"/>
      <x:c r="I356" s="64"/>
      <x:c r="J356" s="64"/>
      <x:c r="K356" s="64"/>
      <x:c r="L356" s="64"/>
      <x:c r="M356" s="64"/>
      <x:c r="N356" s="64"/>
      <x:c r="O356" s="64"/>
      <x:c r="P356" s="64"/>
      <x:c r="Q356" s="64"/>
      <x:c r="R356" s="64"/>
      <x:c r="S356" s="64"/>
      <x:c r="T356" s="64"/>
      <x:c r="U356" s="64"/>
      <x:c r="V356" s="64"/>
      <x:c r="W356" s="64"/>
      <x:c r="X356" s="64"/>
      <x:c r="Y356" s="64"/>
      <x:c r="Z356" s="64"/>
      <x:c r="AA356" s="64"/>
      <x:c r="AB356" s="64"/>
      <x:c r="AC356" s="64"/>
      <x:c r="AD356" s="64"/>
      <x:c r="AE356" s="64"/>
      <x:c r="AF356" s="64"/>
      <x:c r="AG356" s="64"/>
    </x:row>
    <x:row r="357">
      <x:c r="A357" s="64"/>
      <x:c r="B357" s="64"/>
      <x:c r="C357" s="64"/>
      <x:c r="D357" s="64"/>
      <x:c r="E357" s="64"/>
      <x:c r="F357" s="64"/>
      <x:c r="G357" s="64"/>
      <x:c r="H357" s="64"/>
      <x:c r="I357" s="64"/>
      <x:c r="J357" s="64"/>
      <x:c r="K357" s="64"/>
      <x:c r="L357" s="64"/>
      <x:c r="M357" s="64"/>
      <x:c r="N357" s="64"/>
      <x:c r="O357" s="64"/>
      <x:c r="P357" s="64"/>
      <x:c r="Q357" s="64"/>
      <x:c r="R357" s="64"/>
      <x:c r="S357" s="64"/>
      <x:c r="T357" s="64"/>
      <x:c r="U357" s="64"/>
      <x:c r="V357" s="64"/>
      <x:c r="W357" s="64"/>
      <x:c r="X357" s="64"/>
      <x:c r="Y357" s="64"/>
      <x:c r="Z357" s="64"/>
      <x:c r="AA357" s="64"/>
      <x:c r="AB357" s="64"/>
      <x:c r="AC357" s="64"/>
      <x:c r="AD357" s="64"/>
      <x:c r="AE357" s="64"/>
      <x:c r="AF357" s="64"/>
      <x:c r="AG357" s="64"/>
    </x:row>
    <x:row r="358">
      <x:c r="A358" s="64"/>
      <x:c r="B358" s="64"/>
      <x:c r="C358" s="64"/>
      <x:c r="D358" s="64"/>
      <x:c r="E358" s="64"/>
      <x:c r="F358" s="64"/>
      <x:c r="G358" s="64"/>
      <x:c r="H358" s="64"/>
      <x:c r="I358" s="64"/>
      <x:c r="J358" s="64"/>
      <x:c r="K358" s="64"/>
      <x:c r="L358" s="64"/>
      <x:c r="M358" s="64"/>
      <x:c r="N358" s="64"/>
      <x:c r="O358" s="64"/>
      <x:c r="P358" s="64"/>
      <x:c r="Q358" s="64"/>
      <x:c r="R358" s="64"/>
      <x:c r="S358" s="64"/>
      <x:c r="T358" s="64"/>
      <x:c r="U358" s="64"/>
      <x:c r="V358" s="64"/>
      <x:c r="W358" s="64"/>
      <x:c r="X358" s="64"/>
      <x:c r="Y358" s="64"/>
      <x:c r="Z358" s="64"/>
      <x:c r="AA358" s="64"/>
      <x:c r="AB358" s="64"/>
      <x:c r="AC358" s="64"/>
      <x:c r="AD358" s="64"/>
      <x:c r="AE358" s="64"/>
      <x:c r="AF358" s="64"/>
      <x:c r="AG358" s="64"/>
    </x:row>
    <x:row r="359">
      <x:c r="A359" s="64"/>
      <x:c r="B359" s="64"/>
      <x:c r="C359" s="64"/>
      <x:c r="D359" s="64"/>
      <x:c r="E359" s="64"/>
      <x:c r="F359" s="64"/>
      <x:c r="G359" s="64"/>
      <x:c r="H359" s="64"/>
      <x:c r="I359" s="64"/>
      <x:c r="J359" s="64"/>
      <x:c r="K359" s="64"/>
      <x:c r="L359" s="64"/>
      <x:c r="M359" s="64"/>
      <x:c r="N359" s="64"/>
      <x:c r="O359" s="64"/>
      <x:c r="P359" s="64"/>
      <x:c r="Q359" s="64"/>
      <x:c r="R359" s="64"/>
      <x:c r="S359" s="64"/>
      <x:c r="T359" s="64"/>
      <x:c r="U359" s="64"/>
      <x:c r="V359" s="64"/>
      <x:c r="W359" s="64"/>
      <x:c r="X359" s="64"/>
      <x:c r="Y359" s="64"/>
      <x:c r="Z359" s="64"/>
      <x:c r="AA359" s="64"/>
      <x:c r="AB359" s="64"/>
      <x:c r="AC359" s="64"/>
      <x:c r="AD359" s="64"/>
      <x:c r="AE359" s="64"/>
      <x:c r="AF359" s="64"/>
      <x:c r="AG359" s="64"/>
    </x:row>
    <x:row r="360">
      <x:c r="A360" s="64"/>
      <x:c r="B360" s="64"/>
      <x:c r="C360" s="64"/>
      <x:c r="D360" s="64"/>
      <x:c r="E360" s="64"/>
      <x:c r="F360" s="64"/>
      <x:c r="G360" s="64"/>
      <x:c r="H360" s="64"/>
      <x:c r="I360" s="64"/>
      <x:c r="J360" s="64"/>
      <x:c r="K360" s="64"/>
      <x:c r="L360" s="64"/>
      <x:c r="M360" s="64"/>
      <x:c r="N360" s="64"/>
      <x:c r="O360" s="64"/>
      <x:c r="P360" s="64"/>
      <x:c r="Q360" s="64"/>
      <x:c r="R360" s="64"/>
      <x:c r="S360" s="64"/>
      <x:c r="T360" s="64"/>
      <x:c r="U360" s="64"/>
      <x:c r="V360" s="64"/>
      <x:c r="W360" s="64"/>
      <x:c r="X360" s="64"/>
      <x:c r="Y360" s="64"/>
      <x:c r="Z360" s="64"/>
      <x:c r="AA360" s="64"/>
      <x:c r="AB360" s="64"/>
      <x:c r="AC360" s="64"/>
      <x:c r="AD360" s="64"/>
      <x:c r="AE360" s="64"/>
      <x:c r="AF360" s="64"/>
      <x:c r="AG360" s="64"/>
    </x:row>
    <x:row r="361">
      <x:c r="A361" s="64"/>
      <x:c r="B361" s="64"/>
      <x:c r="C361" s="64"/>
      <x:c r="D361" s="64"/>
      <x:c r="E361" s="64"/>
      <x:c r="F361" s="64"/>
      <x:c r="G361" s="64"/>
      <x:c r="H361" s="64"/>
      <x:c r="I361" s="64"/>
      <x:c r="J361" s="64"/>
      <x:c r="K361" s="64"/>
      <x:c r="L361" s="64"/>
      <x:c r="M361" s="64"/>
      <x:c r="N361" s="64"/>
      <x:c r="O361" s="64"/>
      <x:c r="P361" s="64"/>
      <x:c r="Q361" s="64"/>
      <x:c r="R361" s="64"/>
      <x:c r="S361" s="64"/>
      <x:c r="T361" s="64"/>
      <x:c r="U361" s="64"/>
      <x:c r="V361" s="64"/>
      <x:c r="W361" s="64"/>
      <x:c r="X361" s="64"/>
      <x:c r="Y361" s="64"/>
      <x:c r="Z361" s="64"/>
      <x:c r="AA361" s="64"/>
      <x:c r="AB361" s="64"/>
      <x:c r="AC361" s="64"/>
      <x:c r="AD361" s="64"/>
      <x:c r="AE361" s="64"/>
      <x:c r="AF361" s="64"/>
      <x:c r="AG361" s="64"/>
    </x:row>
    <x:row r="362">
      <x:c r="A362" s="64"/>
      <x:c r="B362" s="64"/>
      <x:c r="C362" s="64"/>
      <x:c r="D362" s="64"/>
      <x:c r="E362" s="64"/>
      <x:c r="F362" s="64"/>
      <x:c r="G362" s="64"/>
      <x:c r="H362" s="64"/>
      <x:c r="I362" s="64"/>
      <x:c r="J362" s="64"/>
      <x:c r="K362" s="64"/>
      <x:c r="L362" s="64"/>
      <x:c r="M362" s="64"/>
      <x:c r="N362" s="64"/>
      <x:c r="O362" s="64"/>
      <x:c r="P362" s="64"/>
      <x:c r="Q362" s="64"/>
      <x:c r="R362" s="64"/>
      <x:c r="S362" s="64"/>
      <x:c r="T362" s="64"/>
      <x:c r="U362" s="64"/>
      <x:c r="V362" s="64"/>
      <x:c r="W362" s="64"/>
      <x:c r="X362" s="64"/>
      <x:c r="Y362" s="64"/>
      <x:c r="Z362" s="64"/>
      <x:c r="AA362" s="64"/>
      <x:c r="AB362" s="64"/>
      <x:c r="AC362" s="64"/>
      <x:c r="AD362" s="64"/>
      <x:c r="AE362" s="64"/>
      <x:c r="AF362" s="64"/>
      <x:c r="AG362" s="64"/>
    </x:row>
    <x:row r="363">
      <x:c r="A363" s="64"/>
      <x:c r="B363" s="64"/>
      <x:c r="C363" s="64"/>
      <x:c r="D363" s="64"/>
      <x:c r="E363" s="64"/>
      <x:c r="F363" s="64"/>
      <x:c r="G363" s="64"/>
      <x:c r="H363" s="64"/>
      <x:c r="I363" s="64"/>
      <x:c r="J363" s="64"/>
      <x:c r="K363" s="64"/>
      <x:c r="L363" s="64"/>
      <x:c r="M363" s="64"/>
      <x:c r="N363" s="64"/>
      <x:c r="O363" s="64"/>
      <x:c r="P363" s="64"/>
      <x:c r="Q363" s="64"/>
      <x:c r="R363" s="64"/>
      <x:c r="S363" s="64"/>
      <x:c r="T363" s="64"/>
      <x:c r="U363" s="64"/>
      <x:c r="V363" s="64"/>
      <x:c r="W363" s="64"/>
      <x:c r="X363" s="64"/>
      <x:c r="Y363" s="64"/>
      <x:c r="Z363" s="64"/>
      <x:c r="AA363" s="64"/>
      <x:c r="AB363" s="64"/>
      <x:c r="AC363" s="64"/>
      <x:c r="AD363" s="64"/>
      <x:c r="AE363" s="64"/>
      <x:c r="AF363" s="64"/>
      <x:c r="AG363" s="64"/>
    </x:row>
    <x:row r="364">
      <x:c r="A364" s="64"/>
      <x:c r="B364" s="64"/>
      <x:c r="C364" s="64"/>
      <x:c r="D364" s="64"/>
      <x:c r="E364" s="64"/>
      <x:c r="F364" s="64"/>
      <x:c r="G364" s="64"/>
      <x:c r="H364" s="64"/>
      <x:c r="I364" s="64"/>
      <x:c r="J364" s="64"/>
      <x:c r="K364" s="64"/>
      <x:c r="L364" s="64"/>
      <x:c r="M364" s="64"/>
      <x:c r="N364" s="64"/>
      <x:c r="O364" s="64"/>
      <x:c r="P364" s="64"/>
      <x:c r="Q364" s="64"/>
      <x:c r="R364" s="64"/>
      <x:c r="S364" s="64"/>
      <x:c r="T364" s="64"/>
      <x:c r="U364" s="64"/>
      <x:c r="V364" s="64"/>
      <x:c r="W364" s="64"/>
      <x:c r="X364" s="64"/>
      <x:c r="Y364" s="64"/>
      <x:c r="Z364" s="64"/>
      <x:c r="AA364" s="64"/>
      <x:c r="AB364" s="64"/>
      <x:c r="AC364" s="64"/>
      <x:c r="AD364" s="64"/>
      <x:c r="AE364" s="64"/>
      <x:c r="AF364" s="64"/>
      <x:c r="AG364" s="64"/>
    </x:row>
    <x:row r="365">
      <x:c r="A365" s="64"/>
      <x:c r="B365" s="64"/>
      <x:c r="C365" s="64"/>
      <x:c r="D365" s="64"/>
      <x:c r="E365" s="64"/>
      <x:c r="F365" s="64"/>
      <x:c r="G365" s="64"/>
      <x:c r="H365" s="64"/>
      <x:c r="I365" s="64"/>
      <x:c r="J365" s="64"/>
      <x:c r="K365" s="64"/>
      <x:c r="L365" s="64"/>
      <x:c r="M365" s="64"/>
      <x:c r="N365" s="64"/>
      <x:c r="O365" s="64"/>
      <x:c r="P365" s="64"/>
      <x:c r="Q365" s="64"/>
      <x:c r="R365" s="64"/>
      <x:c r="S365" s="64"/>
      <x:c r="T365" s="64"/>
      <x:c r="U365" s="64"/>
      <x:c r="V365" s="64"/>
      <x:c r="W365" s="64"/>
      <x:c r="X365" s="64"/>
      <x:c r="Y365" s="64"/>
      <x:c r="Z365" s="64"/>
      <x:c r="AA365" s="64"/>
      <x:c r="AB365" s="64"/>
      <x:c r="AC365" s="64"/>
      <x:c r="AD365" s="64"/>
      <x:c r="AE365" s="64"/>
      <x:c r="AF365" s="64"/>
      <x:c r="AG365" s="64"/>
    </x:row>
    <x:row r="366">
      <x:c r="A366" s="64"/>
      <x:c r="B366" s="64"/>
      <x:c r="C366" s="64"/>
      <x:c r="D366" s="64"/>
      <x:c r="E366" s="64"/>
      <x:c r="F366" s="64"/>
      <x:c r="G366" s="64"/>
      <x:c r="H366" s="64"/>
      <x:c r="I366" s="64"/>
      <x:c r="J366" s="64"/>
      <x:c r="K366" s="64"/>
      <x:c r="L366" s="64"/>
      <x:c r="M366" s="64"/>
      <x:c r="N366" s="64"/>
      <x:c r="O366" s="64"/>
      <x:c r="P366" s="64"/>
      <x:c r="Q366" s="64"/>
      <x:c r="R366" s="64"/>
      <x:c r="S366" s="64"/>
      <x:c r="T366" s="64"/>
      <x:c r="U366" s="64"/>
      <x:c r="V366" s="64"/>
      <x:c r="W366" s="64"/>
      <x:c r="X366" s="64"/>
      <x:c r="Y366" s="64"/>
      <x:c r="Z366" s="64"/>
      <x:c r="AA366" s="64"/>
      <x:c r="AB366" s="64"/>
      <x:c r="AC366" s="64"/>
      <x:c r="AD366" s="64"/>
      <x:c r="AE366" s="64"/>
      <x:c r="AF366" s="64"/>
      <x:c r="AG366" s="64"/>
    </x:row>
    <x:row r="367">
      <x:c r="A367" s="64"/>
      <x:c r="B367" s="64"/>
      <x:c r="C367" s="64"/>
      <x:c r="D367" s="64"/>
      <x:c r="E367" s="64"/>
      <x:c r="F367" s="64"/>
      <x:c r="G367" s="64"/>
      <x:c r="H367" s="64"/>
      <x:c r="I367" s="64"/>
      <x:c r="J367" s="64"/>
      <x:c r="K367" s="64"/>
      <x:c r="L367" s="64"/>
      <x:c r="M367" s="64"/>
      <x:c r="N367" s="64"/>
      <x:c r="O367" s="64"/>
      <x:c r="P367" s="64"/>
      <x:c r="Q367" s="64"/>
      <x:c r="R367" s="64"/>
      <x:c r="S367" s="64"/>
      <x:c r="T367" s="64"/>
      <x:c r="U367" s="64"/>
      <x:c r="V367" s="64"/>
      <x:c r="W367" s="64"/>
      <x:c r="X367" s="64"/>
      <x:c r="Y367" s="64"/>
      <x:c r="Z367" s="64"/>
      <x:c r="AA367" s="64"/>
      <x:c r="AB367" s="64"/>
      <x:c r="AC367" s="64"/>
      <x:c r="AD367" s="64"/>
      <x:c r="AE367" s="64"/>
      <x:c r="AF367" s="64"/>
      <x:c r="AG367" s="64"/>
    </x:row>
    <x:row r="368">
      <x:c r="A368" s="64"/>
      <x:c r="B368" s="64"/>
      <x:c r="C368" s="64"/>
      <x:c r="D368" s="64"/>
      <x:c r="E368" s="64"/>
      <x:c r="F368" s="64"/>
      <x:c r="G368" s="64"/>
      <x:c r="H368" s="64"/>
      <x:c r="I368" s="64"/>
      <x:c r="J368" s="64"/>
      <x:c r="K368" s="64"/>
      <x:c r="L368" s="64"/>
      <x:c r="M368" s="64"/>
      <x:c r="N368" s="64"/>
      <x:c r="O368" s="64"/>
      <x:c r="P368" s="64"/>
      <x:c r="Q368" s="64"/>
      <x:c r="R368" s="64"/>
      <x:c r="S368" s="64"/>
      <x:c r="T368" s="64"/>
      <x:c r="U368" s="64"/>
      <x:c r="V368" s="64"/>
      <x:c r="W368" s="64"/>
      <x:c r="X368" s="64"/>
      <x:c r="Y368" s="64"/>
      <x:c r="Z368" s="64"/>
      <x:c r="AA368" s="64"/>
      <x:c r="AB368" s="64"/>
      <x:c r="AC368" s="64"/>
      <x:c r="AD368" s="64"/>
      <x:c r="AE368" s="64"/>
      <x:c r="AF368" s="64"/>
      <x:c r="AG368" s="64"/>
    </x:row>
    <x:row r="369">
      <x:c r="A369" s="64"/>
      <x:c r="B369" s="64"/>
      <x:c r="C369" s="64"/>
      <x:c r="D369" s="64"/>
      <x:c r="E369" s="64"/>
      <x:c r="F369" s="64"/>
      <x:c r="G369" s="64"/>
      <x:c r="H369" s="64"/>
      <x:c r="I369" s="64"/>
      <x:c r="J369" s="64"/>
      <x:c r="K369" s="64"/>
      <x:c r="L369" s="64"/>
      <x:c r="M369" s="64"/>
      <x:c r="N369" s="64"/>
      <x:c r="O369" s="64"/>
      <x:c r="P369" s="64"/>
      <x:c r="Q369" s="64"/>
      <x:c r="R369" s="64"/>
      <x:c r="S369" s="64"/>
      <x:c r="T369" s="64"/>
      <x:c r="U369" s="64"/>
      <x:c r="V369" s="64"/>
      <x:c r="W369" s="64"/>
      <x:c r="X369" s="64"/>
      <x:c r="Y369" s="64"/>
      <x:c r="Z369" s="64"/>
      <x:c r="AA369" s="64"/>
      <x:c r="AB369" s="64"/>
      <x:c r="AC369" s="64"/>
      <x:c r="AD369" s="64"/>
      <x:c r="AE369" s="64"/>
      <x:c r="AF369" s="64"/>
      <x:c r="AG369" s="64"/>
    </x:row>
    <x:row r="370">
      <x:c r="A370" s="64"/>
      <x:c r="B370" s="64"/>
      <x:c r="C370" s="64"/>
      <x:c r="D370" s="64"/>
      <x:c r="E370" s="64"/>
      <x:c r="F370" s="64"/>
      <x:c r="G370" s="64"/>
      <x:c r="H370" s="64"/>
      <x:c r="I370" s="64"/>
      <x:c r="J370" s="64"/>
      <x:c r="K370" s="64"/>
      <x:c r="L370" s="64"/>
      <x:c r="M370" s="64"/>
      <x:c r="N370" s="64"/>
      <x:c r="O370" s="64"/>
      <x:c r="P370" s="64"/>
      <x:c r="Q370" s="64"/>
      <x:c r="R370" s="64"/>
      <x:c r="S370" s="64"/>
      <x:c r="T370" s="64"/>
      <x:c r="U370" s="64"/>
      <x:c r="V370" s="64"/>
      <x:c r="W370" s="64"/>
      <x:c r="X370" s="64"/>
      <x:c r="Y370" s="64"/>
      <x:c r="Z370" s="64"/>
      <x:c r="AA370" s="64"/>
      <x:c r="AB370" s="64"/>
      <x:c r="AC370" s="64"/>
      <x:c r="AD370" s="64"/>
      <x:c r="AE370" s="64"/>
      <x:c r="AF370" s="64"/>
      <x:c r="AG370" s="64"/>
    </x:row>
    <x:row r="371">
      <x:c r="A371" s="64"/>
      <x:c r="B371" s="64"/>
      <x:c r="C371" s="64"/>
      <x:c r="D371" s="64"/>
      <x:c r="E371" s="64"/>
      <x:c r="F371" s="64"/>
      <x:c r="G371" s="64"/>
      <x:c r="H371" s="64"/>
      <x:c r="I371" s="64"/>
      <x:c r="J371" s="64"/>
      <x:c r="K371" s="64"/>
      <x:c r="L371" s="64"/>
      <x:c r="M371" s="64"/>
      <x:c r="N371" s="64"/>
      <x:c r="O371" s="64"/>
      <x:c r="P371" s="64"/>
      <x:c r="Q371" s="64"/>
      <x:c r="R371" s="64"/>
      <x:c r="S371" s="64"/>
      <x:c r="T371" s="64"/>
      <x:c r="U371" s="64"/>
      <x:c r="V371" s="64"/>
      <x:c r="W371" s="64"/>
      <x:c r="X371" s="64"/>
      <x:c r="Y371" s="64"/>
      <x:c r="Z371" s="64"/>
      <x:c r="AA371" s="64"/>
      <x:c r="AB371" s="64"/>
      <x:c r="AC371" s="64"/>
      <x:c r="AD371" s="64"/>
      <x:c r="AE371" s="64"/>
      <x:c r="AF371" s="64"/>
      <x:c r="AG371" s="64"/>
    </x:row>
    <x:row r="372">
      <x:c r="A372" s="64"/>
      <x:c r="B372" s="64"/>
      <x:c r="C372" s="64"/>
      <x:c r="D372" s="64"/>
      <x:c r="E372" s="64"/>
      <x:c r="F372" s="64"/>
      <x:c r="G372" s="64"/>
      <x:c r="H372" s="64"/>
      <x:c r="I372" s="64"/>
      <x:c r="J372" s="64"/>
      <x:c r="K372" s="64"/>
      <x:c r="L372" s="64"/>
      <x:c r="M372" s="64"/>
      <x:c r="N372" s="64"/>
      <x:c r="O372" s="64"/>
      <x:c r="P372" s="64"/>
      <x:c r="Q372" s="64"/>
      <x:c r="R372" s="64"/>
      <x:c r="S372" s="64"/>
      <x:c r="T372" s="64"/>
      <x:c r="U372" s="64"/>
      <x:c r="V372" s="64"/>
      <x:c r="W372" s="64"/>
      <x:c r="X372" s="64"/>
      <x:c r="Y372" s="64"/>
      <x:c r="Z372" s="64"/>
      <x:c r="AA372" s="64"/>
      <x:c r="AB372" s="64"/>
      <x:c r="AC372" s="64"/>
      <x:c r="AD372" s="64"/>
      <x:c r="AE372" s="64"/>
      <x:c r="AF372" s="64"/>
      <x:c r="AG372" s="64"/>
    </x:row>
    <x:row r="373">
      <x:c r="A373" s="64"/>
      <x:c r="B373" s="64"/>
      <x:c r="C373" s="64"/>
      <x:c r="D373" s="64"/>
      <x:c r="E373" s="64"/>
      <x:c r="F373" s="64"/>
      <x:c r="G373" s="64"/>
      <x:c r="H373" s="64"/>
      <x:c r="I373" s="64"/>
      <x:c r="J373" s="64"/>
      <x:c r="K373" s="64"/>
      <x:c r="L373" s="64"/>
      <x:c r="M373" s="64"/>
      <x:c r="N373" s="64"/>
      <x:c r="O373" s="64"/>
      <x:c r="P373" s="64"/>
      <x:c r="Q373" s="64"/>
      <x:c r="R373" s="64"/>
      <x:c r="S373" s="64"/>
      <x:c r="T373" s="64"/>
      <x:c r="U373" s="64"/>
      <x:c r="V373" s="64"/>
      <x:c r="W373" s="64"/>
      <x:c r="X373" s="64"/>
      <x:c r="Y373" s="64"/>
      <x:c r="Z373" s="64"/>
      <x:c r="AA373" s="64"/>
      <x:c r="AB373" s="64"/>
      <x:c r="AC373" s="64"/>
      <x:c r="AD373" s="64"/>
      <x:c r="AE373" s="64"/>
      <x:c r="AF373" s="64"/>
      <x:c r="AG373" s="64"/>
    </x:row>
    <x:row r="374">
      <x:c r="A374" s="64"/>
      <x:c r="B374" s="64"/>
      <x:c r="C374" s="64"/>
      <x:c r="D374" s="64"/>
      <x:c r="E374" s="64"/>
      <x:c r="F374" s="64"/>
      <x:c r="G374" s="64"/>
      <x:c r="H374" s="64"/>
      <x:c r="I374" s="64"/>
      <x:c r="J374" s="64"/>
      <x:c r="K374" s="64"/>
      <x:c r="L374" s="64"/>
      <x:c r="M374" s="64"/>
      <x:c r="N374" s="64"/>
      <x:c r="O374" s="64"/>
      <x:c r="P374" s="64"/>
      <x:c r="Q374" s="64"/>
      <x:c r="R374" s="64"/>
      <x:c r="S374" s="64"/>
      <x:c r="T374" s="64"/>
      <x:c r="U374" s="64"/>
      <x:c r="V374" s="64"/>
      <x:c r="W374" s="64"/>
      <x:c r="X374" s="64"/>
      <x:c r="Y374" s="64"/>
      <x:c r="Z374" s="64"/>
      <x:c r="AA374" s="64"/>
      <x:c r="AB374" s="64"/>
      <x:c r="AC374" s="64"/>
      <x:c r="AD374" s="64"/>
      <x:c r="AE374" s="64"/>
      <x:c r="AF374" s="64"/>
      <x:c r="AG374" s="64"/>
    </x:row>
    <x:row r="375">
      <x:c r="A375" s="64"/>
      <x:c r="B375" s="64"/>
      <x:c r="C375" s="64"/>
      <x:c r="D375" s="64"/>
      <x:c r="E375" s="64"/>
      <x:c r="F375" s="64"/>
      <x:c r="G375" s="64"/>
      <x:c r="H375" s="64"/>
      <x:c r="I375" s="64"/>
      <x:c r="J375" s="64"/>
      <x:c r="K375" s="64"/>
      <x:c r="L375" s="64"/>
      <x:c r="M375" s="64"/>
      <x:c r="N375" s="64"/>
      <x:c r="O375" s="64"/>
      <x:c r="P375" s="64"/>
      <x:c r="Q375" s="64"/>
      <x:c r="R375" s="64"/>
      <x:c r="S375" s="64"/>
      <x:c r="T375" s="64"/>
      <x:c r="U375" s="64"/>
      <x:c r="V375" s="64"/>
      <x:c r="W375" s="64"/>
      <x:c r="X375" s="64"/>
      <x:c r="Y375" s="64"/>
      <x:c r="Z375" s="64"/>
      <x:c r="AA375" s="64"/>
      <x:c r="AB375" s="64"/>
      <x:c r="AC375" s="64"/>
      <x:c r="AD375" s="64"/>
      <x:c r="AE375" s="64"/>
      <x:c r="AF375" s="64"/>
      <x:c r="AG375" s="64"/>
    </x:row>
    <x:row r="376">
      <x:c r="A376" s="64"/>
      <x:c r="B376" s="64"/>
      <x:c r="C376" s="64"/>
      <x:c r="D376" s="64"/>
      <x:c r="E376" s="64"/>
      <x:c r="F376" s="64"/>
      <x:c r="G376" s="64"/>
      <x:c r="H376" s="64"/>
      <x:c r="I376" s="64"/>
      <x:c r="J376" s="64"/>
      <x:c r="K376" s="64"/>
      <x:c r="L376" s="64"/>
      <x:c r="M376" s="64"/>
      <x:c r="N376" s="64"/>
      <x:c r="O376" s="64"/>
      <x:c r="P376" s="64"/>
      <x:c r="Q376" s="64"/>
      <x:c r="R376" s="64"/>
      <x:c r="S376" s="64"/>
      <x:c r="T376" s="64"/>
      <x:c r="U376" s="64"/>
      <x:c r="V376" s="64"/>
      <x:c r="W376" s="64"/>
      <x:c r="X376" s="64"/>
      <x:c r="Y376" s="64"/>
      <x:c r="Z376" s="64"/>
      <x:c r="AA376" s="64"/>
      <x:c r="AB376" s="64"/>
      <x:c r="AC376" s="64"/>
      <x:c r="AD376" s="64"/>
      <x:c r="AE376" s="64"/>
      <x:c r="AF376" s="64"/>
      <x:c r="AG376" s="64"/>
    </x:row>
    <x:row r="377">
      <x:c r="A377" s="64"/>
      <x:c r="B377" s="64"/>
      <x:c r="C377" s="64"/>
      <x:c r="D377" s="64"/>
      <x:c r="E377" s="64"/>
      <x:c r="F377" s="64"/>
      <x:c r="G377" s="64"/>
      <x:c r="H377" s="64"/>
      <x:c r="I377" s="64"/>
      <x:c r="J377" s="64"/>
      <x:c r="K377" s="64"/>
      <x:c r="L377" s="64"/>
      <x:c r="M377" s="64"/>
      <x:c r="N377" s="64"/>
      <x:c r="O377" s="64"/>
      <x:c r="P377" s="64"/>
      <x:c r="Q377" s="64"/>
      <x:c r="R377" s="64"/>
      <x:c r="S377" s="64"/>
      <x:c r="T377" s="64"/>
      <x:c r="U377" s="64"/>
      <x:c r="V377" s="64"/>
      <x:c r="W377" s="64"/>
      <x:c r="X377" s="64"/>
      <x:c r="Y377" s="64"/>
      <x:c r="Z377" s="64"/>
      <x:c r="AA377" s="64"/>
      <x:c r="AB377" s="64"/>
      <x:c r="AC377" s="64"/>
      <x:c r="AD377" s="64"/>
      <x:c r="AE377" s="64"/>
      <x:c r="AF377" s="64"/>
      <x:c r="AG377" s="64"/>
    </x:row>
    <x:row r="378">
      <x:c r="A378" s="64"/>
      <x:c r="B378" s="64"/>
      <x:c r="C378" s="64"/>
      <x:c r="D378" s="64"/>
      <x:c r="E378" s="64"/>
      <x:c r="F378" s="64"/>
      <x:c r="G378" s="64"/>
      <x:c r="H378" s="64"/>
      <x:c r="I378" s="64"/>
      <x:c r="J378" s="64"/>
      <x:c r="K378" s="64"/>
      <x:c r="L378" s="64"/>
      <x:c r="M378" s="64"/>
      <x:c r="N378" s="64"/>
      <x:c r="O378" s="64"/>
      <x:c r="P378" s="64"/>
      <x:c r="Q378" s="64"/>
      <x:c r="R378" s="64"/>
      <x:c r="S378" s="64"/>
      <x:c r="T378" s="64"/>
      <x:c r="U378" s="64"/>
      <x:c r="V378" s="64"/>
      <x:c r="W378" s="64"/>
      <x:c r="X378" s="64"/>
      <x:c r="Y378" s="64"/>
      <x:c r="Z378" s="64"/>
      <x:c r="AA378" s="64"/>
      <x:c r="AB378" s="64"/>
      <x:c r="AC378" s="64"/>
      <x:c r="AD378" s="64"/>
      <x:c r="AE378" s="64"/>
      <x:c r="AF378" s="64"/>
      <x:c r="AG378" s="64"/>
    </x:row>
    <x:row r="379">
      <x:c r="A379" s="64"/>
      <x:c r="B379" s="64"/>
      <x:c r="C379" s="64"/>
      <x:c r="D379" s="64"/>
      <x:c r="E379" s="64"/>
      <x:c r="F379" s="64"/>
      <x:c r="G379" s="64"/>
      <x:c r="H379" s="64"/>
      <x:c r="I379" s="64"/>
      <x:c r="J379" s="64"/>
      <x:c r="K379" s="64"/>
      <x:c r="L379" s="64"/>
      <x:c r="M379" s="64"/>
      <x:c r="N379" s="64"/>
      <x:c r="O379" s="64"/>
      <x:c r="P379" s="64"/>
      <x:c r="Q379" s="64"/>
      <x:c r="R379" s="64"/>
      <x:c r="S379" s="64"/>
      <x:c r="T379" s="64"/>
      <x:c r="U379" s="64"/>
      <x:c r="V379" s="64"/>
      <x:c r="W379" s="64"/>
      <x:c r="X379" s="64"/>
      <x:c r="Y379" s="64"/>
      <x:c r="Z379" s="64"/>
      <x:c r="AA379" s="64"/>
      <x:c r="AB379" s="64"/>
      <x:c r="AC379" s="64"/>
      <x:c r="AD379" s="64"/>
      <x:c r="AE379" s="64"/>
      <x:c r="AF379" s="64"/>
      <x:c r="AG379" s="64"/>
    </x:row>
    <x:row r="380">
      <x:c r="A380" s="64"/>
      <x:c r="B380" s="64"/>
      <x:c r="C380" s="64"/>
      <x:c r="D380" s="64"/>
      <x:c r="E380" s="64"/>
      <x:c r="F380" s="64"/>
      <x:c r="G380" s="64"/>
      <x:c r="H380" s="64"/>
      <x:c r="I380" s="64"/>
      <x:c r="J380" s="64"/>
      <x:c r="K380" s="64"/>
      <x:c r="L380" s="64"/>
      <x:c r="M380" s="64"/>
      <x:c r="N380" s="64"/>
      <x:c r="O380" s="64"/>
      <x:c r="P380" s="64"/>
      <x:c r="Q380" s="64"/>
      <x:c r="R380" s="64"/>
      <x:c r="S380" s="64"/>
      <x:c r="T380" s="64"/>
      <x:c r="U380" s="64"/>
      <x:c r="V380" s="64"/>
      <x:c r="W380" s="64"/>
      <x:c r="X380" s="64"/>
      <x:c r="Y380" s="64"/>
      <x:c r="Z380" s="64"/>
      <x:c r="AA380" s="64"/>
      <x:c r="AB380" s="64"/>
      <x:c r="AC380" s="64"/>
      <x:c r="AD380" s="64"/>
      <x:c r="AE380" s="64"/>
      <x:c r="AF380" s="64"/>
      <x:c r="AG380" s="64"/>
    </x:row>
    <x:row r="381">
      <x:c r="A381" s="64"/>
      <x:c r="B381" s="64"/>
      <x:c r="C381" s="64"/>
      <x:c r="D381" s="64"/>
      <x:c r="E381" s="64"/>
      <x:c r="F381" s="64"/>
      <x:c r="G381" s="64"/>
      <x:c r="H381" s="64"/>
      <x:c r="I381" s="64"/>
      <x:c r="J381" s="64"/>
      <x:c r="K381" s="64"/>
      <x:c r="L381" s="64"/>
      <x:c r="M381" s="64"/>
      <x:c r="N381" s="64"/>
      <x:c r="O381" s="64"/>
      <x:c r="P381" s="64"/>
      <x:c r="Q381" s="64"/>
      <x:c r="R381" s="64"/>
      <x:c r="S381" s="64"/>
      <x:c r="T381" s="64"/>
      <x:c r="U381" s="64"/>
      <x:c r="V381" s="64"/>
      <x:c r="W381" s="64"/>
      <x:c r="X381" s="64"/>
      <x:c r="Y381" s="64"/>
      <x:c r="Z381" s="64"/>
      <x:c r="AA381" s="64"/>
      <x:c r="AB381" s="64"/>
      <x:c r="AC381" s="64"/>
      <x:c r="AD381" s="64"/>
      <x:c r="AE381" s="64"/>
      <x:c r="AF381" s="64"/>
      <x:c r="AG381" s="64"/>
    </x:row>
    <x:row r="382">
      <x:c r="A382" s="64"/>
      <x:c r="B382" s="64"/>
      <x:c r="C382" s="64"/>
      <x:c r="D382" s="64"/>
      <x:c r="E382" s="64"/>
      <x:c r="F382" s="64"/>
      <x:c r="G382" s="64"/>
      <x:c r="H382" s="64"/>
      <x:c r="I382" s="64"/>
      <x:c r="J382" s="64"/>
      <x:c r="K382" s="64"/>
      <x:c r="L382" s="64"/>
      <x:c r="M382" s="64"/>
      <x:c r="N382" s="64"/>
      <x:c r="O382" s="64"/>
      <x:c r="P382" s="64"/>
      <x:c r="Q382" s="64"/>
      <x:c r="R382" s="64"/>
      <x:c r="S382" s="64"/>
      <x:c r="T382" s="64"/>
      <x:c r="U382" s="64"/>
      <x:c r="V382" s="64"/>
      <x:c r="W382" s="64"/>
      <x:c r="X382" s="64"/>
      <x:c r="Y382" s="64"/>
      <x:c r="Z382" s="64"/>
      <x:c r="AA382" s="64"/>
      <x:c r="AB382" s="64"/>
      <x:c r="AC382" s="64"/>
      <x:c r="AD382" s="64"/>
      <x:c r="AE382" s="64"/>
      <x:c r="AF382" s="64"/>
      <x:c r="AG382" s="64"/>
    </x:row>
    <x:row r="383">
      <x:c r="A383" s="64"/>
      <x:c r="B383" s="64"/>
      <x:c r="C383" s="64"/>
      <x:c r="D383" s="64"/>
      <x:c r="E383" s="64"/>
      <x:c r="F383" s="64"/>
      <x:c r="G383" s="64"/>
      <x:c r="H383" s="64"/>
      <x:c r="I383" s="64"/>
      <x:c r="J383" s="64"/>
      <x:c r="K383" s="64"/>
      <x:c r="L383" s="64"/>
      <x:c r="M383" s="64"/>
      <x:c r="N383" s="64"/>
      <x:c r="O383" s="64"/>
      <x:c r="P383" s="64"/>
      <x:c r="Q383" s="64"/>
      <x:c r="R383" s="64"/>
      <x:c r="S383" s="64"/>
      <x:c r="T383" s="64"/>
      <x:c r="U383" s="64"/>
      <x:c r="V383" s="64"/>
      <x:c r="W383" s="64"/>
      <x:c r="X383" s="64"/>
      <x:c r="Y383" s="64"/>
      <x:c r="Z383" s="64"/>
      <x:c r="AA383" s="64"/>
      <x:c r="AB383" s="64"/>
      <x:c r="AC383" s="64"/>
      <x:c r="AD383" s="64"/>
      <x:c r="AE383" s="64"/>
      <x:c r="AF383" s="64"/>
      <x:c r="AG383" s="64"/>
    </x:row>
    <x:row r="384">
      <x:c r="A384" s="64"/>
      <x:c r="B384" s="64"/>
      <x:c r="C384" s="64"/>
      <x:c r="D384" s="64"/>
      <x:c r="E384" s="64"/>
      <x:c r="F384" s="64"/>
      <x:c r="G384" s="64"/>
      <x:c r="H384" s="64"/>
      <x:c r="I384" s="64"/>
      <x:c r="J384" s="64"/>
      <x:c r="K384" s="64"/>
      <x:c r="L384" s="64"/>
      <x:c r="M384" s="64"/>
      <x:c r="N384" s="64"/>
      <x:c r="O384" s="64"/>
      <x:c r="P384" s="64"/>
      <x:c r="Q384" s="64"/>
      <x:c r="R384" s="64"/>
      <x:c r="S384" s="64"/>
      <x:c r="T384" s="64"/>
      <x:c r="U384" s="64"/>
      <x:c r="V384" s="64"/>
      <x:c r="W384" s="64"/>
      <x:c r="X384" s="64"/>
      <x:c r="Y384" s="64"/>
      <x:c r="Z384" s="64"/>
      <x:c r="AA384" s="64"/>
      <x:c r="AB384" s="64"/>
      <x:c r="AC384" s="64"/>
      <x:c r="AD384" s="64"/>
      <x:c r="AE384" s="64"/>
      <x:c r="AF384" s="64"/>
      <x:c r="AG384" s="64"/>
    </x:row>
    <x:row r="385">
      <x:c r="A385" s="64"/>
      <x:c r="B385" s="64"/>
      <x:c r="C385" s="64"/>
      <x:c r="D385" s="64"/>
      <x:c r="E385" s="64"/>
      <x:c r="F385" s="64"/>
      <x:c r="G385" s="64"/>
      <x:c r="H385" s="64"/>
      <x:c r="I385" s="64"/>
      <x:c r="J385" s="64"/>
      <x:c r="K385" s="64"/>
      <x:c r="L385" s="64"/>
      <x:c r="M385" s="64"/>
      <x:c r="N385" s="64"/>
      <x:c r="O385" s="64"/>
      <x:c r="P385" s="64"/>
      <x:c r="Q385" s="64"/>
      <x:c r="R385" s="64"/>
      <x:c r="S385" s="64"/>
      <x:c r="T385" s="64"/>
      <x:c r="U385" s="64"/>
      <x:c r="V385" s="64"/>
      <x:c r="W385" s="64"/>
      <x:c r="X385" s="64"/>
      <x:c r="Y385" s="64"/>
      <x:c r="Z385" s="64"/>
      <x:c r="AA385" s="64"/>
      <x:c r="AB385" s="64"/>
      <x:c r="AC385" s="64"/>
      <x:c r="AD385" s="64"/>
      <x:c r="AE385" s="64"/>
      <x:c r="AF385" s="64"/>
      <x:c r="AG385" s="64"/>
    </x:row>
    <x:row r="386">
      <x:c r="A386" s="64"/>
      <x:c r="B386" s="64"/>
      <x:c r="C386" s="64"/>
      <x:c r="D386" s="64"/>
      <x:c r="E386" s="64"/>
      <x:c r="F386" s="64"/>
      <x:c r="G386" s="64"/>
      <x:c r="H386" s="64"/>
      <x:c r="I386" s="64"/>
      <x:c r="J386" s="64"/>
      <x:c r="K386" s="64"/>
      <x:c r="L386" s="64"/>
      <x:c r="M386" s="64"/>
      <x:c r="N386" s="64"/>
      <x:c r="O386" s="64"/>
      <x:c r="P386" s="64"/>
      <x:c r="Q386" s="64"/>
      <x:c r="R386" s="64"/>
      <x:c r="S386" s="64"/>
      <x:c r="T386" s="64"/>
      <x:c r="U386" s="64"/>
      <x:c r="V386" s="64"/>
      <x:c r="W386" s="64"/>
      <x:c r="X386" s="64"/>
      <x:c r="Y386" s="64"/>
      <x:c r="Z386" s="64"/>
      <x:c r="AA386" s="64"/>
      <x:c r="AB386" s="64"/>
      <x:c r="AC386" s="64"/>
      <x:c r="AD386" s="64"/>
      <x:c r="AE386" s="64"/>
      <x:c r="AF386" s="64"/>
      <x:c r="AG386" s="64"/>
    </x:row>
    <x:row r="387">
      <x:c r="A387" s="64"/>
      <x:c r="B387" s="64"/>
      <x:c r="C387" s="64"/>
      <x:c r="D387" s="64"/>
      <x:c r="E387" s="64"/>
      <x:c r="F387" s="64"/>
      <x:c r="G387" s="64"/>
      <x:c r="H387" s="64"/>
      <x:c r="I387" s="64"/>
      <x:c r="J387" s="64"/>
      <x:c r="K387" s="64"/>
      <x:c r="L387" s="64"/>
      <x:c r="M387" s="64"/>
      <x:c r="N387" s="64"/>
      <x:c r="O387" s="64"/>
      <x:c r="P387" s="64"/>
      <x:c r="Q387" s="64"/>
      <x:c r="R387" s="64"/>
      <x:c r="S387" s="64"/>
      <x:c r="T387" s="64"/>
      <x:c r="U387" s="64"/>
      <x:c r="V387" s="64"/>
      <x:c r="W387" s="64"/>
      <x:c r="X387" s="64"/>
      <x:c r="Y387" s="64"/>
      <x:c r="Z387" s="64"/>
      <x:c r="AA387" s="64"/>
      <x:c r="AB387" s="64"/>
      <x:c r="AC387" s="64"/>
      <x:c r="AD387" s="64"/>
      <x:c r="AE387" s="64"/>
      <x:c r="AF387" s="64"/>
      <x:c r="AG387" s="64"/>
    </x:row>
    <x:row r="388">
      <x:c r="A388" s="64"/>
      <x:c r="B388" s="64"/>
      <x:c r="C388" s="64"/>
      <x:c r="D388" s="64"/>
      <x:c r="E388" s="64"/>
      <x:c r="F388" s="64"/>
      <x:c r="G388" s="64"/>
      <x:c r="H388" s="64"/>
      <x:c r="I388" s="64"/>
      <x:c r="J388" s="64"/>
      <x:c r="K388" s="64"/>
      <x:c r="L388" s="64"/>
      <x:c r="M388" s="64"/>
      <x:c r="N388" s="64"/>
      <x:c r="O388" s="64"/>
      <x:c r="P388" s="64"/>
      <x:c r="Q388" s="64"/>
      <x:c r="R388" s="64"/>
      <x:c r="S388" s="64"/>
      <x:c r="T388" s="64"/>
      <x:c r="U388" s="64"/>
      <x:c r="V388" s="64"/>
      <x:c r="W388" s="64"/>
      <x:c r="X388" s="64"/>
      <x:c r="Y388" s="64"/>
      <x:c r="Z388" s="64"/>
      <x:c r="AA388" s="64"/>
      <x:c r="AB388" s="64"/>
      <x:c r="AC388" s="64"/>
      <x:c r="AD388" s="64"/>
      <x:c r="AE388" s="64"/>
      <x:c r="AF388" s="64"/>
      <x:c r="AG388" s="64"/>
    </x:row>
    <x:row r="389">
      <x:c r="A389" s="64"/>
      <x:c r="B389" s="64"/>
      <x:c r="C389" s="64"/>
      <x:c r="D389" s="64"/>
      <x:c r="E389" s="64"/>
      <x:c r="F389" s="64"/>
      <x:c r="G389" s="64"/>
      <x:c r="H389" s="64"/>
      <x:c r="I389" s="64"/>
      <x:c r="J389" s="64"/>
      <x:c r="K389" s="64"/>
      <x:c r="L389" s="64"/>
      <x:c r="M389" s="64"/>
      <x:c r="N389" s="64"/>
      <x:c r="O389" s="64"/>
      <x:c r="P389" s="64"/>
      <x:c r="Q389" s="64"/>
      <x:c r="R389" s="64"/>
      <x:c r="S389" s="64"/>
      <x:c r="T389" s="64"/>
      <x:c r="U389" s="64"/>
      <x:c r="V389" s="64"/>
      <x:c r="W389" s="64"/>
      <x:c r="X389" s="64"/>
      <x:c r="Y389" s="64"/>
      <x:c r="Z389" s="64"/>
      <x:c r="AA389" s="64"/>
      <x:c r="AB389" s="64"/>
      <x:c r="AC389" s="64"/>
      <x:c r="AD389" s="64"/>
      <x:c r="AE389" s="64"/>
      <x:c r="AF389" s="64"/>
      <x:c r="AG389" s="64"/>
    </x:row>
    <x:row r="390">
      <x:c r="A390" s="64"/>
      <x:c r="B390" s="64"/>
      <x:c r="C390" s="64"/>
      <x:c r="D390" s="64"/>
      <x:c r="E390" s="64"/>
      <x:c r="F390" s="64"/>
      <x:c r="G390" s="64"/>
      <x:c r="H390" s="64"/>
      <x:c r="I390" s="64"/>
      <x:c r="J390" s="64"/>
      <x:c r="K390" s="64"/>
      <x:c r="L390" s="64"/>
      <x:c r="M390" s="64"/>
      <x:c r="N390" s="64"/>
      <x:c r="O390" s="64"/>
      <x:c r="P390" s="64"/>
      <x:c r="Q390" s="64"/>
      <x:c r="R390" s="64"/>
      <x:c r="S390" s="64"/>
      <x:c r="T390" s="64"/>
      <x:c r="U390" s="64"/>
      <x:c r="V390" s="64"/>
      <x:c r="W390" s="64"/>
      <x:c r="X390" s="64"/>
      <x:c r="Y390" s="64"/>
      <x:c r="Z390" s="64"/>
      <x:c r="AA390" s="64"/>
      <x:c r="AB390" s="64"/>
      <x:c r="AC390" s="64"/>
      <x:c r="AD390" s="64"/>
      <x:c r="AE390" s="64"/>
      <x:c r="AF390" s="64"/>
      <x:c r="AG390" s="64"/>
    </x:row>
    <x:row r="391">
      <x:c r="A391" s="64"/>
      <x:c r="B391" s="64"/>
      <x:c r="C391" s="64"/>
      <x:c r="D391" s="64"/>
      <x:c r="E391" s="64"/>
      <x:c r="F391" s="64"/>
      <x:c r="G391" s="64"/>
      <x:c r="H391" s="64"/>
      <x:c r="I391" s="64"/>
      <x:c r="J391" s="64"/>
      <x:c r="K391" s="64"/>
      <x:c r="L391" s="64"/>
      <x:c r="M391" s="64"/>
      <x:c r="N391" s="64"/>
      <x:c r="O391" s="64"/>
      <x:c r="P391" s="64"/>
      <x:c r="Q391" s="64"/>
      <x:c r="R391" s="64"/>
      <x:c r="S391" s="64"/>
      <x:c r="T391" s="64"/>
      <x:c r="U391" s="64"/>
      <x:c r="V391" s="64"/>
      <x:c r="W391" s="64"/>
      <x:c r="X391" s="64"/>
      <x:c r="Y391" s="64"/>
      <x:c r="Z391" s="64"/>
      <x:c r="AA391" s="64"/>
      <x:c r="AB391" s="64"/>
      <x:c r="AC391" s="64"/>
      <x:c r="AD391" s="64"/>
      <x:c r="AE391" s="64"/>
      <x:c r="AF391" s="64"/>
      <x:c r="AG391" s="64"/>
    </x:row>
    <x:row r="392">
      <x:c r="A392" s="64"/>
      <x:c r="B392" s="64"/>
      <x:c r="C392" s="64"/>
      <x:c r="D392" s="64"/>
      <x:c r="E392" s="64"/>
      <x:c r="F392" s="64"/>
      <x:c r="G392" s="64"/>
      <x:c r="H392" s="64"/>
      <x:c r="I392" s="64"/>
      <x:c r="J392" s="64"/>
      <x:c r="K392" s="64"/>
      <x:c r="L392" s="64"/>
      <x:c r="M392" s="64"/>
      <x:c r="N392" s="64"/>
      <x:c r="O392" s="64"/>
      <x:c r="P392" s="64"/>
      <x:c r="Q392" s="64"/>
      <x:c r="R392" s="64"/>
      <x:c r="S392" s="64"/>
      <x:c r="T392" s="64"/>
      <x:c r="U392" s="64"/>
      <x:c r="V392" s="64"/>
      <x:c r="W392" s="64"/>
      <x:c r="X392" s="64"/>
      <x:c r="Y392" s="64"/>
      <x:c r="Z392" s="64"/>
      <x:c r="AA392" s="64"/>
      <x:c r="AB392" s="64"/>
      <x:c r="AC392" s="64"/>
      <x:c r="AD392" s="64"/>
      <x:c r="AE392" s="64"/>
      <x:c r="AF392" s="64"/>
      <x:c r="AG392" s="64"/>
    </x:row>
    <x:row r="393">
      <x:c r="A393" s="64"/>
      <x:c r="B393" s="64"/>
      <x:c r="C393" s="64"/>
      <x:c r="D393" s="64"/>
      <x:c r="E393" s="64"/>
      <x:c r="F393" s="64"/>
      <x:c r="G393" s="64"/>
      <x:c r="H393" s="64"/>
      <x:c r="I393" s="64"/>
      <x:c r="J393" s="64"/>
      <x:c r="K393" s="64"/>
      <x:c r="L393" s="64"/>
      <x:c r="M393" s="64"/>
      <x:c r="N393" s="64"/>
      <x:c r="O393" s="64"/>
      <x:c r="P393" s="64"/>
      <x:c r="Q393" s="64"/>
      <x:c r="R393" s="64"/>
      <x:c r="S393" s="64"/>
      <x:c r="T393" s="64"/>
      <x:c r="U393" s="64"/>
      <x:c r="V393" s="64"/>
      <x:c r="W393" s="64"/>
      <x:c r="X393" s="64"/>
      <x:c r="Y393" s="64"/>
      <x:c r="Z393" s="64"/>
      <x:c r="AA393" s="64"/>
      <x:c r="AB393" s="64"/>
      <x:c r="AC393" s="64"/>
      <x:c r="AD393" s="64"/>
      <x:c r="AE393" s="64"/>
      <x:c r="AF393" s="64"/>
      <x:c r="AG393" s="64"/>
    </x:row>
    <x:row r="394">
      <x:c r="A394" s="64"/>
      <x:c r="B394" s="64"/>
      <x:c r="C394" s="64"/>
      <x:c r="D394" s="64"/>
      <x:c r="E394" s="64"/>
      <x:c r="F394" s="64"/>
      <x:c r="G394" s="64"/>
      <x:c r="H394" s="64"/>
      <x:c r="I394" s="64"/>
      <x:c r="J394" s="64"/>
      <x:c r="K394" s="64"/>
      <x:c r="L394" s="64"/>
      <x:c r="M394" s="64"/>
      <x:c r="N394" s="64"/>
      <x:c r="O394" s="64"/>
      <x:c r="P394" s="64"/>
      <x:c r="Q394" s="64"/>
      <x:c r="R394" s="64"/>
      <x:c r="S394" s="64"/>
      <x:c r="T394" s="64"/>
      <x:c r="U394" s="64"/>
      <x:c r="V394" s="64"/>
      <x:c r="W394" s="64"/>
      <x:c r="X394" s="64"/>
      <x:c r="Y394" s="64"/>
      <x:c r="Z394" s="64"/>
      <x:c r="AA394" s="64"/>
      <x:c r="AB394" s="64"/>
      <x:c r="AC394" s="64"/>
      <x:c r="AD394" s="64"/>
      <x:c r="AE394" s="64"/>
      <x:c r="AF394" s="64"/>
      <x:c r="AG394" s="64"/>
    </x:row>
    <x:row r="395">
      <x:c r="A395" s="64"/>
      <x:c r="B395" s="64"/>
      <x:c r="C395" s="64"/>
      <x:c r="D395" s="64"/>
      <x:c r="E395" s="64"/>
      <x:c r="F395" s="64"/>
      <x:c r="G395" s="64"/>
      <x:c r="H395" s="64"/>
      <x:c r="I395" s="64"/>
      <x:c r="J395" s="64"/>
      <x:c r="K395" s="64"/>
      <x:c r="L395" s="64"/>
      <x:c r="M395" s="64"/>
      <x:c r="N395" s="64"/>
      <x:c r="O395" s="64"/>
      <x:c r="P395" s="64"/>
      <x:c r="Q395" s="64"/>
      <x:c r="R395" s="64"/>
      <x:c r="S395" s="64"/>
      <x:c r="T395" s="64"/>
      <x:c r="U395" s="64"/>
      <x:c r="V395" s="64"/>
      <x:c r="W395" s="64"/>
      <x:c r="X395" s="64"/>
      <x:c r="Y395" s="64"/>
      <x:c r="Z395" s="64"/>
      <x:c r="AA395" s="64"/>
      <x:c r="AB395" s="64"/>
      <x:c r="AC395" s="64"/>
      <x:c r="AD395" s="64"/>
      <x:c r="AE395" s="64"/>
      <x:c r="AF395" s="64"/>
      <x:c r="AG395" s="64"/>
    </x:row>
    <x:row r="396">
      <x:c r="A396" s="64"/>
      <x:c r="B396" s="64"/>
      <x:c r="C396" s="64"/>
      <x:c r="D396" s="64"/>
      <x:c r="E396" s="64"/>
      <x:c r="F396" s="64"/>
      <x:c r="G396" s="64"/>
      <x:c r="H396" s="64"/>
      <x:c r="I396" s="64"/>
      <x:c r="J396" s="64"/>
      <x:c r="K396" s="64"/>
      <x:c r="L396" s="64"/>
      <x:c r="M396" s="64"/>
      <x:c r="N396" s="64"/>
      <x:c r="O396" s="64"/>
      <x:c r="P396" s="64"/>
      <x:c r="Q396" s="64"/>
      <x:c r="R396" s="64"/>
      <x:c r="S396" s="64"/>
      <x:c r="T396" s="64"/>
      <x:c r="U396" s="64"/>
      <x:c r="V396" s="64"/>
      <x:c r="W396" s="64"/>
      <x:c r="X396" s="64"/>
      <x:c r="Y396" s="64"/>
      <x:c r="Z396" s="64"/>
      <x:c r="AA396" s="64"/>
      <x:c r="AB396" s="64"/>
      <x:c r="AC396" s="64"/>
      <x:c r="AD396" s="64"/>
      <x:c r="AE396" s="64"/>
      <x:c r="AF396" s="64"/>
      <x:c r="AG396" s="64"/>
    </x:row>
    <x:row r="397">
      <x:c r="A397" s="64"/>
      <x:c r="B397" s="64"/>
      <x:c r="C397" s="64"/>
      <x:c r="D397" s="64"/>
      <x:c r="E397" s="64"/>
      <x:c r="F397" s="64"/>
      <x:c r="G397" s="64"/>
      <x:c r="H397" s="64"/>
      <x:c r="I397" s="64"/>
      <x:c r="J397" s="64"/>
      <x:c r="K397" s="64"/>
      <x:c r="L397" s="64"/>
      <x:c r="M397" s="64"/>
      <x:c r="N397" s="64"/>
      <x:c r="O397" s="64"/>
      <x:c r="P397" s="64"/>
      <x:c r="Q397" s="64"/>
      <x:c r="R397" s="64"/>
      <x:c r="S397" s="64"/>
      <x:c r="T397" s="64"/>
      <x:c r="U397" s="64"/>
      <x:c r="V397" s="64"/>
      <x:c r="W397" s="64"/>
      <x:c r="X397" s="64"/>
      <x:c r="Y397" s="64"/>
      <x:c r="Z397" s="64"/>
      <x:c r="AA397" s="64"/>
      <x:c r="AB397" s="64"/>
      <x:c r="AC397" s="64"/>
      <x:c r="AD397" s="64"/>
      <x:c r="AE397" s="64"/>
      <x:c r="AF397" s="64"/>
      <x:c r="AG397" s="64"/>
    </x:row>
    <x:row r="398">
      <x:c r="A398" s="64"/>
      <x:c r="B398" s="64"/>
      <x:c r="C398" s="64"/>
      <x:c r="D398" s="64"/>
      <x:c r="E398" s="64"/>
      <x:c r="F398" s="64"/>
      <x:c r="G398" s="64"/>
      <x:c r="H398" s="64"/>
      <x:c r="I398" s="64"/>
      <x:c r="J398" s="64"/>
      <x:c r="K398" s="64"/>
      <x:c r="L398" s="64"/>
      <x:c r="M398" s="64"/>
      <x:c r="N398" s="64"/>
      <x:c r="O398" s="64"/>
      <x:c r="P398" s="64"/>
      <x:c r="Q398" s="64"/>
      <x:c r="R398" s="64"/>
      <x:c r="S398" s="64"/>
      <x:c r="T398" s="64"/>
      <x:c r="U398" s="64"/>
      <x:c r="V398" s="64"/>
      <x:c r="W398" s="64"/>
      <x:c r="X398" s="64"/>
      <x:c r="Y398" s="64"/>
      <x:c r="Z398" s="64"/>
      <x:c r="AA398" s="64"/>
      <x:c r="AB398" s="64"/>
      <x:c r="AC398" s="64"/>
      <x:c r="AD398" s="64"/>
      <x:c r="AE398" s="64"/>
      <x:c r="AF398" s="64"/>
      <x:c r="AG398" s="64"/>
    </x:row>
    <x:row r="399">
      <x:c r="A399" s="64"/>
      <x:c r="B399" s="64"/>
      <x:c r="C399" s="64"/>
      <x:c r="D399" s="64"/>
      <x:c r="E399" s="64"/>
      <x:c r="F399" s="64"/>
      <x:c r="G399" s="64"/>
      <x:c r="H399" s="64"/>
      <x:c r="I399" s="64"/>
      <x:c r="J399" s="64"/>
      <x:c r="K399" s="64"/>
      <x:c r="L399" s="64"/>
      <x:c r="M399" s="64"/>
      <x:c r="N399" s="64"/>
      <x:c r="O399" s="64"/>
      <x:c r="P399" s="64"/>
      <x:c r="Q399" s="64"/>
      <x:c r="R399" s="64"/>
      <x:c r="S399" s="64"/>
      <x:c r="T399" s="64"/>
      <x:c r="U399" s="64"/>
      <x:c r="V399" s="64"/>
      <x:c r="W399" s="64"/>
      <x:c r="X399" s="64"/>
      <x:c r="Y399" s="64"/>
      <x:c r="Z399" s="64"/>
      <x:c r="AA399" s="64"/>
      <x:c r="AB399" s="64"/>
      <x:c r="AC399" s="64"/>
      <x:c r="AD399" s="64"/>
      <x:c r="AE399" s="64"/>
      <x:c r="AF399" s="64"/>
      <x:c r="AG399" s="64"/>
    </x:row>
    <x:row r="400">
      <x:c r="A400" s="64"/>
      <x:c r="B400" s="64"/>
      <x:c r="C400" s="64"/>
      <x:c r="D400" s="64"/>
      <x:c r="E400" s="64"/>
      <x:c r="F400" s="64"/>
      <x:c r="G400" s="64"/>
      <x:c r="H400" s="64"/>
      <x:c r="I400" s="64"/>
      <x:c r="J400" s="64"/>
      <x:c r="K400" s="64"/>
      <x:c r="L400" s="64"/>
      <x:c r="M400" s="64"/>
      <x:c r="N400" s="64"/>
      <x:c r="O400" s="64"/>
      <x:c r="P400" s="64"/>
      <x:c r="Q400" s="64"/>
      <x:c r="R400" s="64"/>
      <x:c r="S400" s="64"/>
      <x:c r="T400" s="64"/>
      <x:c r="U400" s="64"/>
      <x:c r="V400" s="64"/>
      <x:c r="W400" s="64"/>
      <x:c r="X400" s="64"/>
      <x:c r="Y400" s="64"/>
      <x:c r="Z400" s="64"/>
      <x:c r="AA400" s="64"/>
      <x:c r="AB400" s="64"/>
      <x:c r="AC400" s="64"/>
      <x:c r="AD400" s="64"/>
      <x:c r="AE400" s="64"/>
      <x:c r="AF400" s="64"/>
      <x:c r="AG400" s="64"/>
    </x:row>
    <x:row r="401">
      <x:c r="A401" s="64"/>
      <x:c r="B401" s="64"/>
      <x:c r="C401" s="64"/>
      <x:c r="D401" s="64"/>
      <x:c r="E401" s="64"/>
      <x:c r="F401" s="64"/>
      <x:c r="G401" s="64"/>
      <x:c r="H401" s="64"/>
      <x:c r="I401" s="64"/>
      <x:c r="J401" s="64"/>
      <x:c r="K401" s="64"/>
      <x:c r="L401" s="64"/>
      <x:c r="M401" s="64"/>
      <x:c r="N401" s="64"/>
      <x:c r="O401" s="64"/>
      <x:c r="P401" s="64"/>
      <x:c r="Q401" s="64"/>
      <x:c r="R401" s="64"/>
      <x:c r="S401" s="64"/>
      <x:c r="T401" s="64"/>
      <x:c r="U401" s="64"/>
      <x:c r="V401" s="64"/>
      <x:c r="W401" s="64"/>
      <x:c r="X401" s="64"/>
      <x:c r="Y401" s="64"/>
      <x:c r="Z401" s="64"/>
      <x:c r="AA401" s="64"/>
      <x:c r="AB401" s="64"/>
      <x:c r="AC401" s="64"/>
      <x:c r="AD401" s="64"/>
      <x:c r="AE401" s="64"/>
      <x:c r="AF401" s="64"/>
      <x:c r="AG401" s="64"/>
    </x:row>
    <x:row r="402">
      <x:c r="A402" s="64"/>
      <x:c r="B402" s="64"/>
      <x:c r="C402" s="64"/>
      <x:c r="D402" s="64"/>
      <x:c r="E402" s="64"/>
      <x:c r="F402" s="64"/>
      <x:c r="G402" s="64"/>
      <x:c r="H402" s="64"/>
      <x:c r="I402" s="64"/>
      <x:c r="J402" s="64"/>
      <x:c r="K402" s="64"/>
      <x:c r="L402" s="64"/>
      <x:c r="M402" s="64"/>
      <x:c r="N402" s="64"/>
      <x:c r="O402" s="64"/>
      <x:c r="P402" s="64"/>
      <x:c r="Q402" s="64"/>
      <x:c r="R402" s="64"/>
      <x:c r="S402" s="64"/>
      <x:c r="T402" s="64"/>
      <x:c r="U402" s="64"/>
      <x:c r="V402" s="64"/>
      <x:c r="W402" s="64"/>
      <x:c r="X402" s="64"/>
      <x:c r="Y402" s="64"/>
      <x:c r="Z402" s="64"/>
      <x:c r="AA402" s="64"/>
      <x:c r="AB402" s="64"/>
      <x:c r="AC402" s="64"/>
      <x:c r="AD402" s="64"/>
      <x:c r="AE402" s="64"/>
      <x:c r="AF402" s="64"/>
      <x:c r="AG402" s="64"/>
    </x:row>
    <x:row r="403">
      <x:c r="A403" s="64"/>
      <x:c r="B403" s="64"/>
      <x:c r="C403" s="64"/>
      <x:c r="D403" s="64"/>
      <x:c r="E403" s="64"/>
      <x:c r="F403" s="64"/>
      <x:c r="G403" s="64"/>
      <x:c r="H403" s="64"/>
      <x:c r="I403" s="64"/>
      <x:c r="J403" s="64"/>
      <x:c r="K403" s="64"/>
      <x:c r="L403" s="64"/>
      <x:c r="M403" s="64"/>
      <x:c r="N403" s="64"/>
      <x:c r="O403" s="64"/>
      <x:c r="P403" s="64"/>
      <x:c r="Q403" s="64"/>
      <x:c r="R403" s="64"/>
      <x:c r="S403" s="64"/>
      <x:c r="T403" s="64"/>
      <x:c r="U403" s="64"/>
      <x:c r="V403" s="64"/>
      <x:c r="W403" s="64"/>
      <x:c r="X403" s="64"/>
      <x:c r="Y403" s="64"/>
      <x:c r="Z403" s="64"/>
      <x:c r="AA403" s="64"/>
      <x:c r="AB403" s="64"/>
      <x:c r="AC403" s="64"/>
      <x:c r="AD403" s="64"/>
      <x:c r="AE403" s="64"/>
      <x:c r="AF403" s="64"/>
      <x:c r="AG403" s="64"/>
    </x:row>
    <x:row r="404">
      <x:c r="A404" s="64"/>
      <x:c r="B404" s="64"/>
      <x:c r="C404" s="64"/>
      <x:c r="D404" s="64"/>
      <x:c r="E404" s="64"/>
      <x:c r="F404" s="64"/>
      <x:c r="G404" s="64"/>
      <x:c r="H404" s="64"/>
      <x:c r="I404" s="64"/>
      <x:c r="J404" s="64"/>
      <x:c r="K404" s="64"/>
      <x:c r="L404" s="64"/>
      <x:c r="M404" s="64"/>
      <x:c r="N404" s="64"/>
      <x:c r="O404" s="64"/>
      <x:c r="P404" s="64"/>
      <x:c r="Q404" s="64"/>
      <x:c r="R404" s="64"/>
      <x:c r="S404" s="64"/>
      <x:c r="T404" s="64"/>
      <x:c r="U404" s="64"/>
      <x:c r="V404" s="64"/>
      <x:c r="W404" s="64"/>
      <x:c r="X404" s="64"/>
      <x:c r="Y404" s="64"/>
      <x:c r="Z404" s="64"/>
      <x:c r="AA404" s="64"/>
      <x:c r="AB404" s="64"/>
      <x:c r="AC404" s="64"/>
      <x:c r="AD404" s="64"/>
      <x:c r="AE404" s="64"/>
      <x:c r="AF404" s="64"/>
      <x:c r="AG404" s="64"/>
    </x:row>
    <x:row r="405">
      <x:c r="A405" s="64"/>
      <x:c r="B405" s="64"/>
      <x:c r="C405" s="64"/>
      <x:c r="D405" s="64"/>
      <x:c r="E405" s="64"/>
      <x:c r="F405" s="64"/>
      <x:c r="G405" s="64"/>
      <x:c r="H405" s="64"/>
      <x:c r="I405" s="64"/>
      <x:c r="J405" s="64"/>
      <x:c r="K405" s="64"/>
      <x:c r="L405" s="64"/>
      <x:c r="M405" s="64"/>
      <x:c r="N405" s="64"/>
      <x:c r="O405" s="64"/>
      <x:c r="P405" s="64"/>
      <x:c r="Q405" s="64"/>
      <x:c r="R405" s="64"/>
      <x:c r="S405" s="64"/>
      <x:c r="T405" s="64"/>
      <x:c r="U405" s="64"/>
      <x:c r="V405" s="64"/>
      <x:c r="W405" s="64"/>
      <x:c r="X405" s="64"/>
      <x:c r="Y405" s="64"/>
      <x:c r="Z405" s="64"/>
      <x:c r="AA405" s="64"/>
      <x:c r="AB405" s="64"/>
      <x:c r="AC405" s="64"/>
      <x:c r="AD405" s="64"/>
      <x:c r="AE405" s="64"/>
      <x:c r="AF405" s="64"/>
      <x:c r="AG405" s="64"/>
    </x:row>
    <x:row r="406">
      <x:c r="A406" s="64"/>
      <x:c r="B406" s="64"/>
      <x:c r="C406" s="64"/>
      <x:c r="D406" s="64"/>
      <x:c r="E406" s="64"/>
      <x:c r="F406" s="64"/>
      <x:c r="G406" s="64"/>
      <x:c r="H406" s="64"/>
      <x:c r="I406" s="64"/>
      <x:c r="J406" s="64"/>
      <x:c r="K406" s="64"/>
      <x:c r="L406" s="64"/>
      <x:c r="M406" s="64"/>
      <x:c r="N406" s="64"/>
      <x:c r="O406" s="64"/>
      <x:c r="P406" s="64"/>
      <x:c r="Q406" s="64"/>
      <x:c r="R406" s="64"/>
      <x:c r="S406" s="64"/>
      <x:c r="T406" s="64"/>
      <x:c r="U406" s="64"/>
      <x:c r="V406" s="64"/>
      <x:c r="W406" s="64"/>
      <x:c r="X406" s="64"/>
      <x:c r="Y406" s="64"/>
      <x:c r="Z406" s="64"/>
      <x:c r="AA406" s="64"/>
      <x:c r="AB406" s="64"/>
      <x:c r="AC406" s="64"/>
      <x:c r="AD406" s="64"/>
      <x:c r="AE406" s="64"/>
      <x:c r="AF406" s="64"/>
      <x:c r="AG406" s="64"/>
    </x:row>
    <x:row r="407">
      <x:c r="A407" s="64"/>
      <x:c r="B407" s="64"/>
      <x:c r="C407" s="64"/>
      <x:c r="D407" s="64"/>
      <x:c r="E407" s="64"/>
      <x:c r="F407" s="64"/>
      <x:c r="G407" s="64"/>
      <x:c r="H407" s="64"/>
      <x:c r="I407" s="64"/>
      <x:c r="J407" s="64"/>
      <x:c r="K407" s="64"/>
      <x:c r="L407" s="64"/>
      <x:c r="M407" s="64"/>
      <x:c r="N407" s="64"/>
      <x:c r="O407" s="64"/>
      <x:c r="P407" s="64"/>
      <x:c r="Q407" s="64"/>
      <x:c r="R407" s="64"/>
      <x:c r="S407" s="64"/>
      <x:c r="T407" s="64"/>
      <x:c r="U407" s="64"/>
      <x:c r="V407" s="64"/>
      <x:c r="W407" s="64"/>
      <x:c r="X407" s="64"/>
      <x:c r="Y407" s="64"/>
      <x:c r="Z407" s="64"/>
      <x:c r="AA407" s="64"/>
      <x:c r="AB407" s="64"/>
      <x:c r="AC407" s="64"/>
      <x:c r="AD407" s="64"/>
      <x:c r="AE407" s="64"/>
      <x:c r="AF407" s="64"/>
      <x:c r="AG407" s="64"/>
    </x:row>
    <x:row r="408">
      <x:c r="A408" s="64"/>
      <x:c r="B408" s="64"/>
      <x:c r="C408" s="64"/>
      <x:c r="D408" s="64"/>
      <x:c r="E408" s="64"/>
      <x:c r="F408" s="64"/>
      <x:c r="G408" s="64"/>
      <x:c r="H408" s="64"/>
      <x:c r="I408" s="64"/>
      <x:c r="J408" s="64"/>
      <x:c r="K408" s="64"/>
      <x:c r="L408" s="64"/>
      <x:c r="M408" s="64"/>
      <x:c r="N408" s="64"/>
      <x:c r="O408" s="64"/>
      <x:c r="P408" s="64"/>
      <x:c r="Q408" s="64"/>
      <x:c r="R408" s="64"/>
      <x:c r="S408" s="64"/>
      <x:c r="T408" s="64"/>
      <x:c r="U408" s="64"/>
      <x:c r="V408" s="64"/>
      <x:c r="W408" s="64"/>
      <x:c r="X408" s="64"/>
      <x:c r="Y408" s="64"/>
      <x:c r="Z408" s="64"/>
      <x:c r="AA408" s="64"/>
      <x:c r="AB408" s="64"/>
      <x:c r="AC408" s="64"/>
      <x:c r="AD408" s="64"/>
      <x:c r="AE408" s="64"/>
      <x:c r="AF408" s="64"/>
      <x:c r="AG408" s="64"/>
    </x:row>
    <x:row r="409">
      <x:c r="A409" s="64"/>
      <x:c r="B409" s="64"/>
      <x:c r="C409" s="64"/>
      <x:c r="D409" s="64"/>
      <x:c r="E409" s="64"/>
      <x:c r="F409" s="64"/>
      <x:c r="G409" s="64"/>
      <x:c r="H409" s="64"/>
      <x:c r="I409" s="64"/>
      <x:c r="J409" s="64"/>
      <x:c r="K409" s="64"/>
      <x:c r="L409" s="64"/>
      <x:c r="M409" s="64"/>
      <x:c r="N409" s="64"/>
      <x:c r="O409" s="64"/>
      <x:c r="P409" s="64"/>
      <x:c r="Q409" s="64"/>
      <x:c r="R409" s="64"/>
      <x:c r="S409" s="64"/>
      <x:c r="T409" s="64"/>
      <x:c r="U409" s="64"/>
      <x:c r="V409" s="64"/>
      <x:c r="W409" s="64"/>
      <x:c r="X409" s="64"/>
      <x:c r="Y409" s="64"/>
      <x:c r="Z409" s="64"/>
      <x:c r="AA409" s="64"/>
      <x:c r="AB409" s="64"/>
      <x:c r="AC409" s="64"/>
      <x:c r="AD409" s="64"/>
      <x:c r="AE409" s="64"/>
      <x:c r="AF409" s="64"/>
      <x:c r="AG409" s="64"/>
    </x:row>
    <x:row r="410">
      <x:c r="A410" s="64"/>
      <x:c r="B410" s="64"/>
      <x:c r="C410" s="64"/>
      <x:c r="D410" s="64"/>
      <x:c r="E410" s="64"/>
      <x:c r="F410" s="64"/>
      <x:c r="G410" s="64"/>
      <x:c r="H410" s="64"/>
      <x:c r="I410" s="64"/>
      <x:c r="J410" s="64"/>
      <x:c r="K410" s="64"/>
      <x:c r="L410" s="64"/>
      <x:c r="M410" s="64"/>
      <x:c r="N410" s="64"/>
      <x:c r="O410" s="64"/>
      <x:c r="P410" s="64"/>
      <x:c r="Q410" s="64"/>
      <x:c r="R410" s="64"/>
      <x:c r="S410" s="64"/>
      <x:c r="T410" s="64"/>
      <x:c r="U410" s="64"/>
      <x:c r="V410" s="64"/>
      <x:c r="W410" s="64"/>
      <x:c r="X410" s="64"/>
      <x:c r="Y410" s="64"/>
      <x:c r="Z410" s="64"/>
      <x:c r="AA410" s="64"/>
      <x:c r="AB410" s="64"/>
      <x:c r="AC410" s="64"/>
      <x:c r="AD410" s="64"/>
      <x:c r="AE410" s="64"/>
      <x:c r="AF410" s="64"/>
      <x:c r="AG410" s="64"/>
    </x:row>
    <x:row r="411">
      <x:c r="A411" s="64"/>
      <x:c r="B411" s="64"/>
      <x:c r="C411" s="64"/>
      <x:c r="D411" s="64"/>
      <x:c r="E411" s="64"/>
      <x:c r="F411" s="64"/>
      <x:c r="G411" s="64"/>
      <x:c r="H411" s="64"/>
      <x:c r="I411" s="64"/>
      <x:c r="J411" s="64"/>
      <x:c r="K411" s="64"/>
      <x:c r="L411" s="64"/>
      <x:c r="M411" s="64"/>
      <x:c r="N411" s="64"/>
      <x:c r="O411" s="64"/>
      <x:c r="P411" s="64"/>
      <x:c r="Q411" s="64"/>
      <x:c r="R411" s="64"/>
      <x:c r="S411" s="64"/>
      <x:c r="T411" s="64"/>
      <x:c r="U411" s="64"/>
      <x:c r="V411" s="64"/>
      <x:c r="W411" s="64"/>
      <x:c r="X411" s="64"/>
      <x:c r="Y411" s="64"/>
      <x:c r="Z411" s="64"/>
      <x:c r="AA411" s="64"/>
      <x:c r="AB411" s="64"/>
      <x:c r="AC411" s="64"/>
      <x:c r="AD411" s="64"/>
      <x:c r="AE411" s="64"/>
      <x:c r="AF411" s="64"/>
      <x:c r="AG411" s="64"/>
    </x:row>
    <x:row r="412">
      <x:c r="A412" s="64"/>
      <x:c r="B412" s="64"/>
      <x:c r="C412" s="64"/>
      <x:c r="D412" s="64"/>
      <x:c r="E412" s="64"/>
      <x:c r="F412" s="64"/>
      <x:c r="G412" s="64"/>
      <x:c r="H412" s="64"/>
      <x:c r="I412" s="64"/>
      <x:c r="J412" s="64"/>
      <x:c r="K412" s="64"/>
      <x:c r="L412" s="64"/>
      <x:c r="M412" s="64"/>
      <x:c r="N412" s="64"/>
      <x:c r="O412" s="64"/>
      <x:c r="P412" s="64"/>
      <x:c r="Q412" s="64"/>
      <x:c r="R412" s="64"/>
      <x:c r="S412" s="64"/>
      <x:c r="T412" s="64"/>
      <x:c r="U412" s="64"/>
      <x:c r="V412" s="64"/>
      <x:c r="W412" s="64"/>
      <x:c r="X412" s="64"/>
      <x:c r="Y412" s="64"/>
      <x:c r="Z412" s="64"/>
      <x:c r="AA412" s="64"/>
      <x:c r="AB412" s="64"/>
      <x:c r="AC412" s="64"/>
      <x:c r="AD412" s="64"/>
      <x:c r="AE412" s="64"/>
      <x:c r="AF412" s="64"/>
      <x:c r="AG412" s="64"/>
    </x:row>
    <x:row r="413">
      <x:c r="A413" s="64"/>
      <x:c r="B413" s="64"/>
      <x:c r="C413" s="64"/>
      <x:c r="D413" s="64"/>
      <x:c r="E413" s="64"/>
      <x:c r="F413" s="64"/>
      <x:c r="G413" s="64"/>
      <x:c r="H413" s="64"/>
      <x:c r="I413" s="64"/>
      <x:c r="J413" s="64"/>
      <x:c r="K413" s="64"/>
      <x:c r="L413" s="64"/>
      <x:c r="M413" s="64"/>
      <x:c r="N413" s="64"/>
      <x:c r="O413" s="64"/>
      <x:c r="P413" s="64"/>
      <x:c r="Q413" s="64"/>
      <x:c r="R413" s="64"/>
      <x:c r="S413" s="64"/>
      <x:c r="T413" s="64"/>
      <x:c r="U413" s="64"/>
      <x:c r="V413" s="64"/>
      <x:c r="W413" s="64"/>
      <x:c r="X413" s="64"/>
      <x:c r="Y413" s="64"/>
      <x:c r="Z413" s="64"/>
      <x:c r="AA413" s="64"/>
      <x:c r="AB413" s="64"/>
      <x:c r="AC413" s="64"/>
      <x:c r="AD413" s="64"/>
      <x:c r="AE413" s="64"/>
      <x:c r="AF413" s="64"/>
      <x:c r="AG413" s="64"/>
    </x:row>
    <x:row r="414">
      <x:c r="A414" s="64"/>
      <x:c r="B414" s="64"/>
      <x:c r="C414" s="64"/>
      <x:c r="D414" s="64"/>
      <x:c r="E414" s="64"/>
      <x:c r="F414" s="64"/>
      <x:c r="G414" s="64"/>
      <x:c r="H414" s="64"/>
      <x:c r="I414" s="64"/>
      <x:c r="J414" s="64"/>
      <x:c r="K414" s="64"/>
      <x:c r="L414" s="64"/>
      <x:c r="M414" s="64"/>
      <x:c r="N414" s="64"/>
      <x:c r="O414" s="64"/>
      <x:c r="P414" s="64"/>
      <x:c r="Q414" s="64"/>
      <x:c r="R414" s="64"/>
      <x:c r="S414" s="64"/>
      <x:c r="T414" s="64"/>
      <x:c r="U414" s="64"/>
      <x:c r="V414" s="64"/>
      <x:c r="W414" s="64"/>
      <x:c r="X414" s="64"/>
      <x:c r="Y414" s="64"/>
      <x:c r="Z414" s="64"/>
      <x:c r="AA414" s="64"/>
      <x:c r="AB414" s="64"/>
      <x:c r="AC414" s="64"/>
      <x:c r="AD414" s="64"/>
      <x:c r="AE414" s="64"/>
      <x:c r="AF414" s="64"/>
      <x:c r="AG414" s="64"/>
    </x:row>
    <x:row r="415">
      <x:c r="A415" s="64"/>
      <x:c r="B415" s="64"/>
      <x:c r="C415" s="64"/>
      <x:c r="D415" s="64"/>
      <x:c r="E415" s="64"/>
      <x:c r="F415" s="64"/>
      <x:c r="G415" s="64"/>
      <x:c r="H415" s="64"/>
      <x:c r="I415" s="64"/>
      <x:c r="J415" s="64"/>
      <x:c r="K415" s="64"/>
      <x:c r="L415" s="64"/>
      <x:c r="M415" s="64"/>
      <x:c r="N415" s="64"/>
      <x:c r="O415" s="64"/>
      <x:c r="P415" s="64"/>
      <x:c r="Q415" s="64"/>
      <x:c r="R415" s="64"/>
      <x:c r="S415" s="64"/>
      <x:c r="T415" s="64"/>
      <x:c r="U415" s="64"/>
      <x:c r="V415" s="64"/>
      <x:c r="W415" s="64"/>
      <x:c r="X415" s="64"/>
      <x:c r="Y415" s="64"/>
      <x:c r="Z415" s="64"/>
      <x:c r="AA415" s="64"/>
      <x:c r="AB415" s="64"/>
      <x:c r="AC415" s="64"/>
      <x:c r="AD415" s="64"/>
      <x:c r="AE415" s="64"/>
      <x:c r="AF415" s="64"/>
      <x:c r="AG415" s="64"/>
    </x:row>
    <x:row r="416">
      <x:c r="A416" s="64"/>
      <x:c r="B416" s="64"/>
      <x:c r="C416" s="64"/>
      <x:c r="D416" s="64"/>
      <x:c r="E416" s="64"/>
      <x:c r="F416" s="64"/>
      <x:c r="G416" s="64"/>
      <x:c r="H416" s="64"/>
      <x:c r="I416" s="64"/>
      <x:c r="J416" s="64"/>
      <x:c r="K416" s="64"/>
      <x:c r="L416" s="64"/>
      <x:c r="M416" s="64"/>
      <x:c r="N416" s="64"/>
      <x:c r="O416" s="64"/>
      <x:c r="P416" s="64"/>
      <x:c r="Q416" s="64"/>
      <x:c r="R416" s="64"/>
      <x:c r="S416" s="64"/>
      <x:c r="T416" s="64"/>
      <x:c r="U416" s="64"/>
      <x:c r="V416" s="64"/>
      <x:c r="W416" s="64"/>
      <x:c r="X416" s="64"/>
      <x:c r="Y416" s="64"/>
      <x:c r="Z416" s="64"/>
      <x:c r="AA416" s="64"/>
      <x:c r="AB416" s="64"/>
      <x:c r="AC416" s="64"/>
      <x:c r="AD416" s="64"/>
      <x:c r="AE416" s="64"/>
      <x:c r="AF416" s="64"/>
      <x:c r="AG416" s="64"/>
    </x:row>
    <x:row r="417">
      <x:c r="A417" s="64"/>
      <x:c r="B417" s="64"/>
      <x:c r="C417" s="64"/>
      <x:c r="D417" s="64"/>
      <x:c r="E417" s="64"/>
      <x:c r="F417" s="64"/>
      <x:c r="G417" s="64"/>
      <x:c r="H417" s="64"/>
      <x:c r="I417" s="64"/>
      <x:c r="J417" s="64"/>
      <x:c r="K417" s="64"/>
      <x:c r="L417" s="64"/>
      <x:c r="M417" s="64"/>
      <x:c r="N417" s="64"/>
      <x:c r="O417" s="64"/>
      <x:c r="P417" s="64"/>
      <x:c r="Q417" s="64"/>
      <x:c r="R417" s="64"/>
      <x:c r="S417" s="64"/>
      <x:c r="T417" s="64"/>
      <x:c r="U417" s="64"/>
      <x:c r="V417" s="64"/>
      <x:c r="W417" s="64"/>
      <x:c r="X417" s="64"/>
      <x:c r="Y417" s="64"/>
      <x:c r="Z417" s="64"/>
      <x:c r="AA417" s="64"/>
      <x:c r="AB417" s="64"/>
      <x:c r="AC417" s="64"/>
      <x:c r="AD417" s="64"/>
      <x:c r="AE417" s="64"/>
      <x:c r="AF417" s="64"/>
      <x:c r="AG417" s="64"/>
    </x:row>
    <x:row r="418">
      <x:c r="A418" s="64"/>
      <x:c r="B418" s="64"/>
      <x:c r="C418" s="64"/>
      <x:c r="D418" s="64"/>
      <x:c r="E418" s="64"/>
      <x:c r="F418" s="64"/>
      <x:c r="G418" s="64"/>
      <x:c r="H418" s="64"/>
      <x:c r="I418" s="64"/>
      <x:c r="J418" s="64"/>
      <x:c r="K418" s="64"/>
      <x:c r="L418" s="64"/>
      <x:c r="M418" s="64"/>
      <x:c r="N418" s="64"/>
      <x:c r="O418" s="64"/>
      <x:c r="P418" s="64"/>
      <x:c r="Q418" s="64"/>
      <x:c r="R418" s="64"/>
      <x:c r="S418" s="64"/>
      <x:c r="T418" s="64"/>
      <x:c r="U418" s="64"/>
      <x:c r="V418" s="64"/>
      <x:c r="W418" s="64"/>
      <x:c r="X418" s="64"/>
      <x:c r="Y418" s="64"/>
      <x:c r="Z418" s="64"/>
      <x:c r="AA418" s="64"/>
      <x:c r="AB418" s="64"/>
      <x:c r="AC418" s="64"/>
      <x:c r="AD418" s="64"/>
      <x:c r="AE418" s="64"/>
      <x:c r="AF418" s="64"/>
      <x:c r="AG418" s="64"/>
    </x:row>
    <x:row r="419">
      <x:c r="A419" s="64"/>
      <x:c r="B419" s="64"/>
      <x:c r="C419" s="64"/>
      <x:c r="D419" s="64"/>
      <x:c r="E419" s="64"/>
      <x:c r="F419" s="64"/>
      <x:c r="G419" s="64"/>
      <x:c r="H419" s="64"/>
      <x:c r="I419" s="64"/>
      <x:c r="J419" s="64"/>
      <x:c r="K419" s="64"/>
      <x:c r="L419" s="64"/>
      <x:c r="M419" s="64"/>
      <x:c r="N419" s="64"/>
      <x:c r="O419" s="64"/>
      <x:c r="P419" s="64"/>
      <x:c r="Q419" s="64"/>
      <x:c r="R419" s="64"/>
      <x:c r="S419" s="64"/>
      <x:c r="T419" s="64"/>
      <x:c r="U419" s="64"/>
      <x:c r="V419" s="64"/>
      <x:c r="W419" s="64"/>
      <x:c r="X419" s="64"/>
      <x:c r="Y419" s="64"/>
      <x:c r="Z419" s="64"/>
      <x:c r="AA419" s="64"/>
      <x:c r="AB419" s="64"/>
      <x:c r="AC419" s="64"/>
      <x:c r="AD419" s="64"/>
      <x:c r="AE419" s="64"/>
      <x:c r="AF419" s="64"/>
      <x:c r="AG419" s="64"/>
    </x:row>
    <x:row r="420">
      <x:c r="A420" s="64"/>
      <x:c r="B420" s="64"/>
      <x:c r="C420" s="64"/>
      <x:c r="D420" s="64"/>
      <x:c r="E420" s="64"/>
      <x:c r="F420" s="64"/>
      <x:c r="G420" s="64"/>
      <x:c r="H420" s="64"/>
      <x:c r="I420" s="64"/>
      <x:c r="J420" s="64"/>
      <x:c r="K420" s="64"/>
      <x:c r="L420" s="64"/>
      <x:c r="M420" s="64"/>
      <x:c r="N420" s="64"/>
      <x:c r="O420" s="64"/>
      <x:c r="P420" s="64"/>
      <x:c r="Q420" s="64"/>
      <x:c r="R420" s="64"/>
      <x:c r="S420" s="64"/>
      <x:c r="T420" s="64"/>
      <x:c r="U420" s="64"/>
      <x:c r="V420" s="64"/>
      <x:c r="W420" s="64"/>
      <x:c r="X420" s="64"/>
      <x:c r="Y420" s="64"/>
      <x:c r="Z420" s="64"/>
      <x:c r="AA420" s="64"/>
      <x:c r="AB420" s="64"/>
      <x:c r="AC420" s="64"/>
      <x:c r="AD420" s="64"/>
      <x:c r="AE420" s="64"/>
      <x:c r="AF420" s="64"/>
      <x:c r="AG420" s="64"/>
    </x:row>
    <x:row r="421">
      <x:c r="A421" s="64"/>
      <x:c r="B421" s="64"/>
      <x:c r="C421" s="64"/>
      <x:c r="D421" s="64"/>
      <x:c r="E421" s="64"/>
      <x:c r="F421" s="64"/>
      <x:c r="G421" s="64"/>
      <x:c r="H421" s="64"/>
      <x:c r="I421" s="64"/>
      <x:c r="J421" s="64"/>
      <x:c r="K421" s="64"/>
      <x:c r="L421" s="64"/>
      <x:c r="M421" s="64"/>
      <x:c r="N421" s="64"/>
      <x:c r="O421" s="64"/>
      <x:c r="P421" s="64"/>
      <x:c r="Q421" s="64"/>
      <x:c r="R421" s="64"/>
      <x:c r="S421" s="64"/>
      <x:c r="T421" s="64"/>
      <x:c r="U421" s="64"/>
      <x:c r="V421" s="64"/>
      <x:c r="W421" s="64"/>
      <x:c r="X421" s="64"/>
      <x:c r="Y421" s="64"/>
      <x:c r="Z421" s="64"/>
      <x:c r="AA421" s="64"/>
      <x:c r="AB421" s="64"/>
      <x:c r="AC421" s="64"/>
      <x:c r="AD421" s="64"/>
      <x:c r="AE421" s="64"/>
      <x:c r="AF421" s="64"/>
      <x:c r="AG421" s="64"/>
    </x:row>
    <x:row r="422">
      <x:c r="A422" s="64"/>
      <x:c r="B422" s="64"/>
      <x:c r="C422" s="64"/>
      <x:c r="D422" s="64"/>
      <x:c r="E422" s="64"/>
      <x:c r="F422" s="64"/>
      <x:c r="G422" s="64"/>
      <x:c r="H422" s="64"/>
      <x:c r="I422" s="64"/>
      <x:c r="J422" s="64"/>
      <x:c r="K422" s="64"/>
      <x:c r="L422" s="64"/>
      <x:c r="M422" s="64"/>
      <x:c r="N422" s="64"/>
      <x:c r="O422" s="64"/>
      <x:c r="P422" s="64"/>
      <x:c r="Q422" s="64"/>
      <x:c r="R422" s="64"/>
      <x:c r="S422" s="64"/>
      <x:c r="T422" s="64"/>
      <x:c r="U422" s="64"/>
      <x:c r="V422" s="64"/>
      <x:c r="W422" s="64"/>
      <x:c r="X422" s="64"/>
      <x:c r="Y422" s="64"/>
      <x:c r="Z422" s="64"/>
      <x:c r="AA422" s="64"/>
      <x:c r="AB422" s="64"/>
      <x:c r="AC422" s="64"/>
      <x:c r="AD422" s="64"/>
      <x:c r="AE422" s="64"/>
      <x:c r="AF422" s="64"/>
      <x:c r="AG422" s="64"/>
    </x:row>
    <x:row r="423">
      <x:c r="A423" s="64"/>
      <x:c r="B423" s="64"/>
      <x:c r="C423" s="64"/>
      <x:c r="D423" s="64"/>
      <x:c r="E423" s="64"/>
      <x:c r="F423" s="64"/>
      <x:c r="G423" s="64"/>
      <x:c r="H423" s="64"/>
      <x:c r="I423" s="64"/>
      <x:c r="J423" s="64"/>
      <x:c r="K423" s="64"/>
      <x:c r="L423" s="64"/>
      <x:c r="M423" s="64"/>
      <x:c r="N423" s="64"/>
      <x:c r="O423" s="64"/>
      <x:c r="P423" s="64"/>
      <x:c r="Q423" s="64"/>
      <x:c r="R423" s="64"/>
      <x:c r="S423" s="64"/>
      <x:c r="T423" s="64"/>
      <x:c r="U423" s="64"/>
      <x:c r="V423" s="64"/>
      <x:c r="W423" s="64"/>
      <x:c r="X423" s="64"/>
      <x:c r="Y423" s="64"/>
      <x:c r="Z423" s="64"/>
      <x:c r="AA423" s="64"/>
      <x:c r="AB423" s="64"/>
      <x:c r="AC423" s="64"/>
      <x:c r="AD423" s="64"/>
      <x:c r="AE423" s="64"/>
      <x:c r="AF423" s="64"/>
      <x:c r="AG423" s="64"/>
    </x:row>
    <x:row r="424">
      <x:c r="A424" s="64"/>
      <x:c r="B424" s="64"/>
      <x:c r="C424" s="64"/>
      <x:c r="D424" s="64"/>
      <x:c r="E424" s="64"/>
      <x:c r="F424" s="64"/>
      <x:c r="G424" s="64"/>
      <x:c r="H424" s="64"/>
      <x:c r="I424" s="64"/>
      <x:c r="J424" s="64"/>
      <x:c r="K424" s="64"/>
      <x:c r="L424" s="64"/>
      <x:c r="M424" s="64"/>
      <x:c r="N424" s="64"/>
      <x:c r="O424" s="64"/>
      <x:c r="P424" s="64"/>
      <x:c r="Q424" s="64"/>
      <x:c r="R424" s="64"/>
      <x:c r="S424" s="64"/>
      <x:c r="T424" s="64"/>
      <x:c r="U424" s="64"/>
      <x:c r="V424" s="64"/>
      <x:c r="W424" s="64"/>
      <x:c r="X424" s="64"/>
      <x:c r="Y424" s="64"/>
      <x:c r="Z424" s="64"/>
      <x:c r="AA424" s="64"/>
      <x:c r="AB424" s="64"/>
      <x:c r="AC424" s="64"/>
      <x:c r="AD424" s="64"/>
      <x:c r="AE424" s="64"/>
      <x:c r="AF424" s="64"/>
      <x:c r="AG424" s="64"/>
    </x:row>
    <x:row r="425">
      <x:c r="A425" s="64"/>
      <x:c r="B425" s="64"/>
      <x:c r="C425" s="64"/>
      <x:c r="D425" s="64"/>
      <x:c r="E425" s="64"/>
      <x:c r="F425" s="64"/>
      <x:c r="G425" s="64"/>
      <x:c r="H425" s="64"/>
      <x:c r="I425" s="64"/>
      <x:c r="J425" s="64"/>
      <x:c r="K425" s="64"/>
      <x:c r="L425" s="64"/>
      <x:c r="M425" s="64"/>
      <x:c r="N425" s="64"/>
      <x:c r="O425" s="64"/>
      <x:c r="P425" s="64"/>
      <x:c r="Q425" s="64"/>
      <x:c r="R425" s="64"/>
      <x:c r="S425" s="64"/>
      <x:c r="T425" s="64"/>
      <x:c r="U425" s="64"/>
      <x:c r="V425" s="64"/>
      <x:c r="W425" s="64"/>
      <x:c r="X425" s="64"/>
      <x:c r="Y425" s="64"/>
      <x:c r="Z425" s="64"/>
      <x:c r="AA425" s="64"/>
      <x:c r="AB425" s="64"/>
      <x:c r="AC425" s="64"/>
      <x:c r="AD425" s="64"/>
      <x:c r="AE425" s="64"/>
      <x:c r="AF425" s="64"/>
      <x:c r="AG425" s="64"/>
    </x:row>
    <x:row r="426">
      <x:c r="A426" s="64"/>
      <x:c r="B426" s="64"/>
      <x:c r="C426" s="64"/>
      <x:c r="D426" s="64"/>
      <x:c r="E426" s="64"/>
      <x:c r="F426" s="64"/>
      <x:c r="G426" s="64"/>
      <x:c r="H426" s="64"/>
      <x:c r="I426" s="64"/>
      <x:c r="J426" s="64"/>
      <x:c r="K426" s="64"/>
      <x:c r="L426" s="64"/>
      <x:c r="M426" s="64"/>
      <x:c r="N426" s="64"/>
      <x:c r="O426" s="64"/>
      <x:c r="P426" s="64"/>
      <x:c r="Q426" s="64"/>
      <x:c r="R426" s="64"/>
      <x:c r="S426" s="64"/>
      <x:c r="T426" s="64"/>
      <x:c r="U426" s="64"/>
      <x:c r="V426" s="64"/>
      <x:c r="W426" s="64"/>
      <x:c r="X426" s="64"/>
      <x:c r="Y426" s="64"/>
      <x:c r="Z426" s="64"/>
      <x:c r="AA426" s="64"/>
      <x:c r="AB426" s="64"/>
      <x:c r="AC426" s="64"/>
      <x:c r="AD426" s="64"/>
      <x:c r="AE426" s="64"/>
      <x:c r="AF426" s="64"/>
      <x:c r="AG426" s="64"/>
    </x:row>
    <x:row r="427">
      <x:c r="A427" s="64"/>
      <x:c r="B427" s="64"/>
      <x:c r="C427" s="64"/>
      <x:c r="D427" s="64"/>
      <x:c r="E427" s="64"/>
      <x:c r="F427" s="64"/>
      <x:c r="G427" s="64"/>
      <x:c r="H427" s="64"/>
      <x:c r="I427" s="64"/>
      <x:c r="J427" s="64"/>
      <x:c r="K427" s="64"/>
      <x:c r="L427" s="64"/>
      <x:c r="M427" s="64"/>
      <x:c r="N427" s="64"/>
      <x:c r="O427" s="64"/>
      <x:c r="P427" s="64"/>
      <x:c r="Q427" s="64"/>
      <x:c r="R427" s="64"/>
      <x:c r="S427" s="64"/>
      <x:c r="T427" s="64"/>
      <x:c r="U427" s="64"/>
      <x:c r="V427" s="64"/>
      <x:c r="W427" s="64"/>
      <x:c r="X427" s="64"/>
      <x:c r="Y427" s="64"/>
      <x:c r="Z427" s="64"/>
      <x:c r="AA427" s="64"/>
      <x:c r="AB427" s="64"/>
      <x:c r="AC427" s="64"/>
      <x:c r="AD427" s="64"/>
      <x:c r="AE427" s="64"/>
      <x:c r="AF427" s="64"/>
      <x:c r="AG427" s="64"/>
    </x:row>
    <x:row r="428">
      <x:c r="A428" s="64"/>
      <x:c r="B428" s="64"/>
      <x:c r="C428" s="64"/>
      <x:c r="D428" s="64"/>
      <x:c r="E428" s="64"/>
      <x:c r="F428" s="64"/>
      <x:c r="G428" s="64"/>
      <x:c r="H428" s="64"/>
      <x:c r="I428" s="64"/>
      <x:c r="J428" s="64"/>
      <x:c r="K428" s="64"/>
      <x:c r="L428" s="64"/>
      <x:c r="M428" s="64"/>
      <x:c r="N428" s="64"/>
      <x:c r="O428" s="64"/>
      <x:c r="P428" s="64"/>
      <x:c r="Q428" s="64"/>
      <x:c r="R428" s="64"/>
      <x:c r="S428" s="64"/>
      <x:c r="T428" s="64"/>
      <x:c r="U428" s="64"/>
      <x:c r="V428" s="64"/>
      <x:c r="W428" s="64"/>
      <x:c r="X428" s="64"/>
      <x:c r="Y428" s="64"/>
      <x:c r="Z428" s="64"/>
      <x:c r="AA428" s="64"/>
      <x:c r="AB428" s="64"/>
      <x:c r="AC428" s="64"/>
      <x:c r="AD428" s="64"/>
      <x:c r="AE428" s="64"/>
      <x:c r="AF428" s="64"/>
      <x:c r="AG428" s="64"/>
    </x:row>
    <x:row r="429">
      <x:c r="A429" s="64"/>
      <x:c r="B429" s="64"/>
      <x:c r="C429" s="64"/>
      <x:c r="D429" s="64"/>
      <x:c r="E429" s="64"/>
      <x:c r="F429" s="64"/>
      <x:c r="G429" s="64"/>
      <x:c r="H429" s="64"/>
      <x:c r="I429" s="64"/>
      <x:c r="J429" s="64"/>
      <x:c r="K429" s="64"/>
      <x:c r="L429" s="64"/>
      <x:c r="M429" s="64"/>
      <x:c r="N429" s="64"/>
      <x:c r="O429" s="64"/>
      <x:c r="P429" s="64"/>
      <x:c r="Q429" s="64"/>
      <x:c r="R429" s="64"/>
      <x:c r="S429" s="64"/>
      <x:c r="T429" s="64"/>
      <x:c r="U429" s="64"/>
      <x:c r="V429" s="64"/>
      <x:c r="W429" s="64"/>
      <x:c r="X429" s="64"/>
      <x:c r="Y429" s="64"/>
      <x:c r="Z429" s="64"/>
      <x:c r="AA429" s="64"/>
      <x:c r="AB429" s="64"/>
      <x:c r="AC429" s="64"/>
      <x:c r="AD429" s="64"/>
      <x:c r="AE429" s="64"/>
      <x:c r="AF429" s="64"/>
      <x:c r="AG429" s="64"/>
    </x:row>
    <x:row r="430">
      <x:c r="A430" s="64"/>
      <x:c r="B430" s="64"/>
      <x:c r="C430" s="64"/>
      <x:c r="D430" s="64"/>
      <x:c r="E430" s="64"/>
      <x:c r="F430" s="64"/>
      <x:c r="G430" s="64"/>
      <x:c r="H430" s="64"/>
      <x:c r="I430" s="64"/>
      <x:c r="J430" s="64"/>
      <x:c r="K430" s="64"/>
      <x:c r="L430" s="64"/>
      <x:c r="M430" s="64"/>
      <x:c r="N430" s="64"/>
      <x:c r="O430" s="64"/>
      <x:c r="P430" s="64"/>
      <x:c r="Q430" s="64"/>
      <x:c r="R430" s="64"/>
      <x:c r="S430" s="64"/>
      <x:c r="T430" s="64"/>
      <x:c r="U430" s="64"/>
      <x:c r="V430" s="64"/>
      <x:c r="W430" s="64"/>
      <x:c r="X430" s="64"/>
      <x:c r="Y430" s="64"/>
      <x:c r="Z430" s="64"/>
      <x:c r="AA430" s="64"/>
      <x:c r="AB430" s="64"/>
      <x:c r="AC430" s="64"/>
      <x:c r="AD430" s="64"/>
      <x:c r="AE430" s="64"/>
      <x:c r="AF430" s="64"/>
      <x:c r="AG430" s="64"/>
    </x:row>
    <x:row r="431">
      <x:c r="A431" s="64"/>
      <x:c r="B431" s="64"/>
      <x:c r="C431" s="64"/>
      <x:c r="D431" s="64"/>
      <x:c r="E431" s="64"/>
      <x:c r="F431" s="64"/>
      <x:c r="G431" s="64"/>
      <x:c r="H431" s="64"/>
      <x:c r="I431" s="64"/>
      <x:c r="J431" s="64"/>
      <x:c r="K431" s="64"/>
      <x:c r="L431" s="64"/>
      <x:c r="M431" s="64"/>
      <x:c r="N431" s="64"/>
      <x:c r="O431" s="64"/>
      <x:c r="P431" s="64"/>
      <x:c r="Q431" s="64"/>
      <x:c r="R431" s="64"/>
      <x:c r="S431" s="64"/>
      <x:c r="T431" s="64"/>
      <x:c r="U431" s="64"/>
      <x:c r="V431" s="64"/>
      <x:c r="W431" s="64"/>
      <x:c r="X431" s="64"/>
      <x:c r="Y431" s="64"/>
      <x:c r="Z431" s="64"/>
      <x:c r="AA431" s="64"/>
      <x:c r="AB431" s="64"/>
      <x:c r="AC431" s="64"/>
      <x:c r="AD431" s="64"/>
      <x:c r="AE431" s="64"/>
      <x:c r="AF431" s="64"/>
      <x:c r="AG431" s="64"/>
    </x:row>
    <x:row r="432">
      <x:c r="A432" s="64"/>
      <x:c r="B432" s="64"/>
      <x:c r="C432" s="64"/>
      <x:c r="D432" s="64"/>
      <x:c r="E432" s="64"/>
      <x:c r="F432" s="64"/>
      <x:c r="G432" s="64"/>
      <x:c r="H432" s="64"/>
      <x:c r="I432" s="64"/>
      <x:c r="J432" s="64"/>
      <x:c r="K432" s="64"/>
      <x:c r="L432" s="64"/>
      <x:c r="M432" s="64"/>
      <x:c r="N432" s="64"/>
      <x:c r="O432" s="64"/>
      <x:c r="P432" s="64"/>
      <x:c r="Q432" s="64"/>
      <x:c r="R432" s="64"/>
      <x:c r="S432" s="64"/>
      <x:c r="T432" s="64"/>
      <x:c r="U432" s="64"/>
      <x:c r="V432" s="64"/>
      <x:c r="W432" s="64"/>
      <x:c r="X432" s="64"/>
      <x:c r="Y432" s="64"/>
      <x:c r="Z432" s="64"/>
      <x:c r="AA432" s="64"/>
      <x:c r="AB432" s="64"/>
      <x:c r="AC432" s="64"/>
      <x:c r="AD432" s="64"/>
      <x:c r="AE432" s="64"/>
      <x:c r="AF432" s="64"/>
      <x:c r="AG432" s="64"/>
    </x:row>
    <x:row r="433">
      <x:c r="A433" s="64"/>
      <x:c r="B433" s="64"/>
      <x:c r="C433" s="64"/>
      <x:c r="D433" s="64"/>
      <x:c r="E433" s="64"/>
      <x:c r="F433" s="64"/>
      <x:c r="G433" s="64"/>
      <x:c r="H433" s="64"/>
      <x:c r="I433" s="64"/>
      <x:c r="J433" s="64"/>
      <x:c r="K433" s="64"/>
      <x:c r="L433" s="64"/>
      <x:c r="M433" s="64"/>
      <x:c r="N433" s="64"/>
      <x:c r="O433" s="64"/>
      <x:c r="P433" s="64"/>
      <x:c r="Q433" s="64"/>
      <x:c r="R433" s="64"/>
      <x:c r="S433" s="64"/>
      <x:c r="T433" s="64"/>
      <x:c r="U433" s="64"/>
      <x:c r="V433" s="64"/>
      <x:c r="W433" s="64"/>
      <x:c r="X433" s="64"/>
      <x:c r="Y433" s="64"/>
      <x:c r="Z433" s="64"/>
      <x:c r="AA433" s="64"/>
      <x:c r="AB433" s="64"/>
      <x:c r="AC433" s="64"/>
      <x:c r="AD433" s="64"/>
      <x:c r="AE433" s="64"/>
      <x:c r="AF433" s="64"/>
      <x:c r="AG433" s="64"/>
    </x:row>
    <x:row r="434">
      <x:c r="A434" s="64"/>
      <x:c r="B434" s="64"/>
      <x:c r="C434" s="64"/>
      <x:c r="D434" s="64"/>
      <x:c r="E434" s="64"/>
      <x:c r="F434" s="64"/>
      <x:c r="G434" s="64"/>
      <x:c r="H434" s="64"/>
      <x:c r="I434" s="64"/>
      <x:c r="J434" s="64"/>
      <x:c r="K434" s="64"/>
      <x:c r="L434" s="64"/>
      <x:c r="M434" s="64"/>
      <x:c r="N434" s="64"/>
      <x:c r="O434" s="64"/>
      <x:c r="P434" s="64"/>
      <x:c r="Q434" s="64"/>
      <x:c r="R434" s="64"/>
      <x:c r="S434" s="64"/>
      <x:c r="T434" s="64"/>
      <x:c r="U434" s="64"/>
      <x:c r="V434" s="64"/>
      <x:c r="W434" s="64"/>
      <x:c r="X434" s="64"/>
      <x:c r="Y434" s="64"/>
      <x:c r="Z434" s="64"/>
      <x:c r="AA434" s="64"/>
      <x:c r="AB434" s="64"/>
      <x:c r="AC434" s="64"/>
      <x:c r="AD434" s="64"/>
      <x:c r="AE434" s="64"/>
      <x:c r="AF434" s="64"/>
      <x:c r="AG434" s="64"/>
    </x:row>
    <x:row r="435">
      <x:c r="A435" s="64"/>
      <x:c r="B435" s="64"/>
      <x:c r="C435" s="64"/>
      <x:c r="D435" s="64"/>
      <x:c r="E435" s="64"/>
      <x:c r="F435" s="64"/>
      <x:c r="G435" s="64"/>
      <x:c r="H435" s="64"/>
      <x:c r="I435" s="64"/>
      <x:c r="J435" s="64"/>
      <x:c r="K435" s="64"/>
      <x:c r="L435" s="64"/>
      <x:c r="M435" s="64"/>
      <x:c r="N435" s="64"/>
      <x:c r="O435" s="64"/>
      <x:c r="P435" s="64"/>
      <x:c r="Q435" s="64"/>
      <x:c r="R435" s="64"/>
      <x:c r="S435" s="64"/>
      <x:c r="T435" s="64"/>
      <x:c r="U435" s="64"/>
      <x:c r="V435" s="64"/>
      <x:c r="W435" s="64"/>
      <x:c r="X435" s="64"/>
      <x:c r="Y435" s="64"/>
      <x:c r="Z435" s="64"/>
      <x:c r="AA435" s="64"/>
      <x:c r="AB435" s="64"/>
      <x:c r="AC435" s="64"/>
      <x:c r="AD435" s="64"/>
      <x:c r="AE435" s="64"/>
      <x:c r="AF435" s="64"/>
      <x:c r="AG435" s="64"/>
    </x:row>
    <x:row r="436">
      <x:c r="A436" s="64"/>
      <x:c r="B436" s="64"/>
      <x:c r="C436" s="64"/>
      <x:c r="D436" s="64"/>
      <x:c r="E436" s="64"/>
      <x:c r="F436" s="64"/>
      <x:c r="G436" s="64"/>
      <x:c r="H436" s="64"/>
      <x:c r="I436" s="64"/>
      <x:c r="J436" s="64"/>
      <x:c r="K436" s="64"/>
      <x:c r="L436" s="64"/>
      <x:c r="M436" s="64"/>
      <x:c r="N436" s="64"/>
      <x:c r="O436" s="64"/>
      <x:c r="P436" s="64"/>
      <x:c r="Q436" s="64"/>
      <x:c r="R436" s="64"/>
      <x:c r="S436" s="64"/>
      <x:c r="T436" s="64"/>
      <x:c r="U436" s="64"/>
      <x:c r="V436" s="64"/>
      <x:c r="W436" s="64"/>
      <x:c r="X436" s="64"/>
      <x:c r="Y436" s="64"/>
      <x:c r="Z436" s="64"/>
      <x:c r="AA436" s="64"/>
      <x:c r="AB436" s="64"/>
      <x:c r="AC436" s="64"/>
      <x:c r="AD436" s="64"/>
      <x:c r="AE436" s="64"/>
      <x:c r="AF436" s="64"/>
      <x:c r="AG436" s="64"/>
    </x:row>
    <x:row r="437">
      <x:c r="A437" s="64"/>
      <x:c r="B437" s="64"/>
      <x:c r="C437" s="64"/>
      <x:c r="D437" s="64"/>
      <x:c r="E437" s="64"/>
      <x:c r="F437" s="64"/>
      <x:c r="G437" s="64"/>
      <x:c r="H437" s="64"/>
      <x:c r="I437" s="64"/>
      <x:c r="J437" s="64"/>
      <x:c r="K437" s="64"/>
      <x:c r="L437" s="64"/>
      <x:c r="M437" s="64"/>
      <x:c r="N437" s="64"/>
      <x:c r="O437" s="64"/>
      <x:c r="P437" s="64"/>
      <x:c r="Q437" s="64"/>
      <x:c r="R437" s="64"/>
      <x:c r="S437" s="64"/>
      <x:c r="T437" s="64"/>
      <x:c r="U437" s="64"/>
      <x:c r="V437" s="64"/>
      <x:c r="W437" s="64"/>
      <x:c r="X437" s="64"/>
      <x:c r="Y437" s="64"/>
      <x:c r="Z437" s="64"/>
      <x:c r="AA437" s="64"/>
      <x:c r="AB437" s="64"/>
      <x:c r="AC437" s="64"/>
      <x:c r="AD437" s="64"/>
      <x:c r="AE437" s="64"/>
      <x:c r="AF437" s="64"/>
      <x:c r="AG437" s="64"/>
    </x:row>
    <x:row r="438">
      <x:c r="A438" s="64"/>
      <x:c r="B438" s="64"/>
      <x:c r="C438" s="64"/>
      <x:c r="D438" s="64"/>
      <x:c r="E438" s="64"/>
      <x:c r="F438" s="64"/>
      <x:c r="G438" s="64"/>
      <x:c r="H438" s="64"/>
      <x:c r="I438" s="64"/>
      <x:c r="J438" s="64"/>
      <x:c r="K438" s="64"/>
      <x:c r="L438" s="64"/>
      <x:c r="M438" s="64"/>
      <x:c r="N438" s="64"/>
      <x:c r="O438" s="64"/>
      <x:c r="P438" s="64"/>
      <x:c r="Q438" s="64"/>
      <x:c r="R438" s="64"/>
      <x:c r="S438" s="64"/>
      <x:c r="T438" s="64"/>
      <x:c r="U438" s="64"/>
      <x:c r="V438" s="64"/>
      <x:c r="W438" s="64"/>
      <x:c r="X438" s="64"/>
      <x:c r="Y438" s="64"/>
      <x:c r="Z438" s="64"/>
      <x:c r="AA438" s="64"/>
      <x:c r="AB438" s="64"/>
      <x:c r="AC438" s="64"/>
      <x:c r="AD438" s="64"/>
      <x:c r="AE438" s="64"/>
      <x:c r="AF438" s="64"/>
      <x:c r="AG438" s="64"/>
    </x:row>
    <x:row r="439">
      <x:c r="A439" s="64"/>
      <x:c r="B439" s="64"/>
      <x:c r="C439" s="64"/>
      <x:c r="D439" s="64"/>
      <x:c r="E439" s="64"/>
      <x:c r="F439" s="64"/>
      <x:c r="G439" s="64"/>
      <x:c r="H439" s="64"/>
      <x:c r="I439" s="64"/>
      <x:c r="J439" s="64"/>
      <x:c r="K439" s="64"/>
      <x:c r="L439" s="64"/>
      <x:c r="M439" s="64"/>
      <x:c r="N439" s="64"/>
      <x:c r="O439" s="64"/>
      <x:c r="P439" s="64"/>
      <x:c r="Q439" s="64"/>
      <x:c r="R439" s="64"/>
      <x:c r="S439" s="64"/>
      <x:c r="T439" s="64"/>
      <x:c r="U439" s="64"/>
      <x:c r="V439" s="64"/>
      <x:c r="W439" s="64"/>
      <x:c r="X439" s="64"/>
      <x:c r="Y439" s="64"/>
      <x:c r="Z439" s="64"/>
      <x:c r="AA439" s="64"/>
      <x:c r="AB439" s="64"/>
      <x:c r="AC439" s="64"/>
      <x:c r="AD439" s="64"/>
      <x:c r="AE439" s="64"/>
      <x:c r="AF439" s="64"/>
      <x:c r="AG439" s="64"/>
    </x:row>
    <x:row r="440">
      <x:c r="A440" s="64"/>
      <x:c r="B440" s="64"/>
      <x:c r="C440" s="64"/>
      <x:c r="D440" s="64"/>
      <x:c r="E440" s="64"/>
      <x:c r="F440" s="64"/>
      <x:c r="G440" s="64"/>
      <x:c r="H440" s="64"/>
      <x:c r="I440" s="64"/>
      <x:c r="J440" s="64"/>
      <x:c r="K440" s="64"/>
      <x:c r="L440" s="64"/>
      <x:c r="M440" s="64"/>
      <x:c r="N440" s="64"/>
      <x:c r="O440" s="64"/>
      <x:c r="P440" s="64"/>
      <x:c r="Q440" s="64"/>
      <x:c r="R440" s="64"/>
      <x:c r="S440" s="64"/>
      <x:c r="T440" s="64"/>
      <x:c r="U440" s="64"/>
      <x:c r="V440" s="64"/>
      <x:c r="W440" s="64"/>
      <x:c r="X440" s="64"/>
      <x:c r="Y440" s="64"/>
      <x:c r="Z440" s="64"/>
      <x:c r="AA440" s="64"/>
      <x:c r="AB440" s="64"/>
      <x:c r="AC440" s="64"/>
      <x:c r="AD440" s="64"/>
      <x:c r="AE440" s="64"/>
      <x:c r="AF440" s="64"/>
      <x:c r="AG440" s="64"/>
    </x:row>
    <x:row r="441">
      <x:c r="A441" s="64"/>
      <x:c r="B441" s="64"/>
      <x:c r="C441" s="64"/>
      <x:c r="D441" s="64"/>
      <x:c r="E441" s="64"/>
      <x:c r="F441" s="64"/>
      <x:c r="G441" s="64"/>
      <x:c r="H441" s="64"/>
      <x:c r="I441" s="64"/>
      <x:c r="J441" s="64"/>
      <x:c r="K441" s="64"/>
      <x:c r="L441" s="64"/>
      <x:c r="M441" s="64"/>
      <x:c r="N441" s="64"/>
      <x:c r="O441" s="64"/>
      <x:c r="P441" s="64"/>
      <x:c r="Q441" s="64"/>
      <x:c r="R441" s="64"/>
      <x:c r="S441" s="64"/>
      <x:c r="T441" s="64"/>
      <x:c r="U441" s="64"/>
      <x:c r="V441" s="64"/>
      <x:c r="W441" s="64"/>
      <x:c r="X441" s="64"/>
      <x:c r="Y441" s="64"/>
      <x:c r="Z441" s="64"/>
      <x:c r="AA441" s="64"/>
      <x:c r="AB441" s="64"/>
      <x:c r="AC441" s="64"/>
      <x:c r="AD441" s="64"/>
      <x:c r="AE441" s="64"/>
      <x:c r="AF441" s="64"/>
      <x:c r="AG441" s="64"/>
    </x:row>
    <x:row r="442">
      <x:c r="A442" s="64"/>
      <x:c r="B442" s="64"/>
      <x:c r="C442" s="64"/>
      <x:c r="D442" s="64"/>
      <x:c r="E442" s="64"/>
      <x:c r="F442" s="64"/>
      <x:c r="G442" s="64"/>
      <x:c r="H442" s="64"/>
      <x:c r="I442" s="64"/>
      <x:c r="J442" s="64"/>
      <x:c r="K442" s="64"/>
      <x:c r="L442" s="64"/>
      <x:c r="M442" s="64"/>
      <x:c r="N442" s="64"/>
      <x:c r="O442" s="64"/>
      <x:c r="P442" s="64"/>
      <x:c r="Q442" s="64"/>
      <x:c r="R442" s="64"/>
      <x:c r="S442" s="64"/>
      <x:c r="T442" s="64"/>
      <x:c r="U442" s="64"/>
      <x:c r="V442" s="64"/>
      <x:c r="W442" s="64"/>
      <x:c r="X442" s="64"/>
      <x:c r="Y442" s="64"/>
      <x:c r="Z442" s="64"/>
      <x:c r="AA442" s="64"/>
      <x:c r="AB442" s="64"/>
      <x:c r="AC442" s="64"/>
      <x:c r="AD442" s="64"/>
      <x:c r="AE442" s="64"/>
      <x:c r="AF442" s="64"/>
      <x:c r="AG442" s="64"/>
    </x:row>
    <x:row r="443">
      <x:c r="A443" s="64"/>
      <x:c r="B443" s="64"/>
      <x:c r="C443" s="64"/>
      <x:c r="D443" s="64"/>
      <x:c r="E443" s="64"/>
      <x:c r="F443" s="64"/>
      <x:c r="G443" s="64"/>
      <x:c r="H443" s="64"/>
      <x:c r="I443" s="64"/>
      <x:c r="J443" s="64"/>
      <x:c r="K443" s="64"/>
      <x:c r="L443" s="64"/>
      <x:c r="M443" s="64"/>
      <x:c r="N443" s="64"/>
      <x:c r="O443" s="64"/>
      <x:c r="P443" s="64"/>
      <x:c r="Q443" s="64"/>
      <x:c r="R443" s="64"/>
      <x:c r="S443" s="64"/>
      <x:c r="T443" s="64"/>
      <x:c r="U443" s="64"/>
      <x:c r="V443" s="64"/>
      <x:c r="W443" s="64"/>
      <x:c r="X443" s="64"/>
      <x:c r="Y443" s="64"/>
      <x:c r="Z443" s="64"/>
      <x:c r="AA443" s="64"/>
      <x:c r="AB443" s="64"/>
      <x:c r="AC443" s="64"/>
      <x:c r="AD443" s="64"/>
      <x:c r="AE443" s="64"/>
      <x:c r="AF443" s="64"/>
      <x:c r="AG443" s="64"/>
    </x:row>
    <x:row r="444">
      <x:c r="A444" s="64"/>
      <x:c r="B444" s="64"/>
      <x:c r="C444" s="64"/>
      <x:c r="D444" s="64"/>
      <x:c r="E444" s="64"/>
      <x:c r="F444" s="64"/>
      <x:c r="G444" s="64"/>
      <x:c r="H444" s="64"/>
      <x:c r="I444" s="64"/>
      <x:c r="J444" s="64"/>
      <x:c r="K444" s="64"/>
      <x:c r="L444" s="64"/>
      <x:c r="M444" s="64"/>
      <x:c r="N444" s="64"/>
      <x:c r="O444" s="64"/>
      <x:c r="P444" s="64"/>
      <x:c r="Q444" s="64"/>
      <x:c r="R444" s="64"/>
      <x:c r="S444" s="64"/>
      <x:c r="T444" s="64"/>
      <x:c r="U444" s="64"/>
      <x:c r="V444" s="64"/>
      <x:c r="W444" s="64"/>
      <x:c r="X444" s="64"/>
      <x:c r="Y444" s="64"/>
      <x:c r="Z444" s="64"/>
      <x:c r="AA444" s="64"/>
      <x:c r="AB444" s="64"/>
      <x:c r="AC444" s="64"/>
      <x:c r="AD444" s="64"/>
      <x:c r="AE444" s="64"/>
      <x:c r="AF444" s="64"/>
      <x:c r="AG444" s="64"/>
    </x:row>
    <x:row r="445">
      <x:c r="A445" s="64"/>
      <x:c r="B445" s="64"/>
      <x:c r="C445" s="64"/>
      <x:c r="D445" s="64"/>
      <x:c r="E445" s="64"/>
      <x:c r="F445" s="64"/>
      <x:c r="G445" s="64"/>
      <x:c r="H445" s="64"/>
      <x:c r="I445" s="64"/>
      <x:c r="J445" s="64"/>
      <x:c r="K445" s="64"/>
      <x:c r="L445" s="64"/>
      <x:c r="M445" s="64"/>
      <x:c r="N445" s="64"/>
      <x:c r="O445" s="64"/>
      <x:c r="P445" s="64"/>
      <x:c r="Q445" s="64"/>
      <x:c r="R445" s="64"/>
      <x:c r="S445" s="64"/>
      <x:c r="T445" s="64"/>
      <x:c r="U445" s="64"/>
      <x:c r="V445" s="64"/>
      <x:c r="W445" s="64"/>
      <x:c r="X445" s="64"/>
      <x:c r="Y445" s="64"/>
      <x:c r="Z445" s="64"/>
      <x:c r="AA445" s="64"/>
      <x:c r="AB445" s="64"/>
      <x:c r="AC445" s="64"/>
      <x:c r="AD445" s="64"/>
      <x:c r="AE445" s="64"/>
      <x:c r="AF445" s="64"/>
      <x:c r="AG445" s="64"/>
    </x:row>
    <x:row r="446">
      <x:c r="A446" s="64"/>
      <x:c r="B446" s="64"/>
      <x:c r="C446" s="64"/>
      <x:c r="D446" s="64"/>
      <x:c r="E446" s="64"/>
      <x:c r="F446" s="64"/>
      <x:c r="G446" s="64"/>
      <x:c r="H446" s="64"/>
      <x:c r="I446" s="64"/>
      <x:c r="J446" s="64"/>
      <x:c r="K446" s="64"/>
      <x:c r="L446" s="64"/>
      <x:c r="M446" s="64"/>
      <x:c r="N446" s="64"/>
      <x:c r="O446" s="64"/>
      <x:c r="P446" s="64"/>
      <x:c r="Q446" s="64"/>
      <x:c r="R446" s="64"/>
      <x:c r="S446" s="64"/>
      <x:c r="T446" s="64"/>
      <x:c r="U446" s="64"/>
      <x:c r="V446" s="64"/>
      <x:c r="W446" s="64"/>
      <x:c r="X446" s="64"/>
      <x:c r="Y446" s="64"/>
      <x:c r="Z446" s="64"/>
      <x:c r="AA446" s="64"/>
      <x:c r="AB446" s="64"/>
      <x:c r="AC446" s="64"/>
      <x:c r="AD446" s="64"/>
      <x:c r="AE446" s="64"/>
      <x:c r="AF446" s="64"/>
      <x:c r="AG446" s="64"/>
    </x:row>
    <x:row r="447">
      <x:c r="A447" s="64"/>
      <x:c r="B447" s="64"/>
      <x:c r="C447" s="64"/>
      <x:c r="D447" s="64"/>
      <x:c r="E447" s="64"/>
      <x:c r="F447" s="64"/>
      <x:c r="G447" s="64"/>
      <x:c r="H447" s="64"/>
      <x:c r="I447" s="64"/>
      <x:c r="J447" s="64"/>
      <x:c r="K447" s="64"/>
      <x:c r="L447" s="64"/>
      <x:c r="M447" s="64"/>
      <x:c r="N447" s="64"/>
      <x:c r="O447" s="64"/>
      <x:c r="P447" s="64"/>
      <x:c r="Q447" s="64"/>
      <x:c r="R447" s="64"/>
      <x:c r="S447" s="64"/>
      <x:c r="T447" s="64"/>
      <x:c r="U447" s="64"/>
      <x:c r="V447" s="64"/>
      <x:c r="W447" s="64"/>
      <x:c r="X447" s="64"/>
      <x:c r="Y447" s="64"/>
      <x:c r="Z447" s="64"/>
      <x:c r="AA447" s="64"/>
      <x:c r="AB447" s="64"/>
      <x:c r="AC447" s="64"/>
      <x:c r="AD447" s="64"/>
      <x:c r="AE447" s="64"/>
      <x:c r="AF447" s="64"/>
      <x:c r="AG447" s="64"/>
    </x:row>
    <x:row r="448">
      <x:c r="A448" s="64"/>
      <x:c r="B448" s="64"/>
      <x:c r="C448" s="64"/>
      <x:c r="D448" s="64"/>
      <x:c r="E448" s="64"/>
      <x:c r="F448" s="64"/>
      <x:c r="G448" s="64"/>
      <x:c r="H448" s="64"/>
      <x:c r="I448" s="64"/>
      <x:c r="J448" s="64"/>
      <x:c r="K448" s="64"/>
      <x:c r="L448" s="64"/>
      <x:c r="M448" s="64"/>
      <x:c r="N448" s="64"/>
      <x:c r="O448" s="64"/>
      <x:c r="P448" s="64"/>
      <x:c r="Q448" s="64"/>
      <x:c r="R448" s="64"/>
      <x:c r="S448" s="64"/>
      <x:c r="T448" s="64"/>
      <x:c r="U448" s="64"/>
      <x:c r="V448" s="64"/>
      <x:c r="W448" s="64"/>
      <x:c r="X448" s="64"/>
      <x:c r="Y448" s="64"/>
      <x:c r="Z448" s="64"/>
      <x:c r="AA448" s="64"/>
      <x:c r="AB448" s="64"/>
      <x:c r="AC448" s="64"/>
      <x:c r="AD448" s="64"/>
      <x:c r="AE448" s="64"/>
      <x:c r="AF448" s="64"/>
      <x:c r="AG448" s="64"/>
    </x:row>
    <x:row r="449">
      <x:c r="A449" s="64"/>
      <x:c r="B449" s="64"/>
      <x:c r="C449" s="64"/>
      <x:c r="D449" s="64"/>
      <x:c r="E449" s="64"/>
      <x:c r="F449" s="64"/>
      <x:c r="G449" s="64"/>
      <x:c r="H449" s="64"/>
      <x:c r="I449" s="64"/>
      <x:c r="J449" s="64"/>
      <x:c r="K449" s="64"/>
      <x:c r="L449" s="64"/>
      <x:c r="M449" s="64"/>
      <x:c r="N449" s="64"/>
      <x:c r="O449" s="64"/>
      <x:c r="P449" s="64"/>
      <x:c r="Q449" s="64"/>
      <x:c r="R449" s="64"/>
      <x:c r="S449" s="64"/>
      <x:c r="T449" s="64"/>
      <x:c r="U449" s="64"/>
      <x:c r="V449" s="64"/>
      <x:c r="W449" s="64"/>
      <x:c r="X449" s="64"/>
      <x:c r="Y449" s="64"/>
      <x:c r="Z449" s="64"/>
      <x:c r="AA449" s="64"/>
      <x:c r="AB449" s="64"/>
      <x:c r="AC449" s="64"/>
      <x:c r="AD449" s="64"/>
      <x:c r="AE449" s="64"/>
      <x:c r="AF449" s="64"/>
      <x:c r="AG449" s="64"/>
    </x:row>
    <x:row r="450">
      <x:c r="A450" s="64"/>
      <x:c r="B450" s="64"/>
      <x:c r="C450" s="64"/>
      <x:c r="D450" s="64"/>
      <x:c r="E450" s="64"/>
      <x:c r="F450" s="64"/>
      <x:c r="G450" s="64"/>
      <x:c r="H450" s="64"/>
      <x:c r="I450" s="64"/>
      <x:c r="J450" s="64"/>
      <x:c r="K450" s="64"/>
      <x:c r="L450" s="64"/>
      <x:c r="M450" s="64"/>
      <x:c r="N450" s="64"/>
      <x:c r="O450" s="64"/>
      <x:c r="P450" s="64"/>
      <x:c r="Q450" s="64"/>
      <x:c r="R450" s="64"/>
      <x:c r="S450" s="64"/>
      <x:c r="T450" s="64"/>
      <x:c r="U450" s="64"/>
      <x:c r="V450" s="64"/>
      <x:c r="W450" s="64"/>
      <x:c r="X450" s="64"/>
      <x:c r="Y450" s="64"/>
      <x:c r="Z450" s="64"/>
      <x:c r="AA450" s="64"/>
      <x:c r="AB450" s="64"/>
      <x:c r="AC450" s="64"/>
      <x:c r="AD450" s="64"/>
      <x:c r="AE450" s="64"/>
      <x:c r="AF450" s="64"/>
      <x:c r="AG450" s="64"/>
    </x:row>
    <x:row r="451">
      <x:c r="A451" s="64"/>
      <x:c r="B451" s="64"/>
      <x:c r="C451" s="64"/>
      <x:c r="D451" s="64"/>
      <x:c r="E451" s="64"/>
      <x:c r="F451" s="64"/>
      <x:c r="G451" s="64"/>
      <x:c r="H451" s="64"/>
      <x:c r="I451" s="64"/>
      <x:c r="J451" s="64"/>
      <x:c r="K451" s="64"/>
      <x:c r="L451" s="64"/>
      <x:c r="M451" s="64"/>
      <x:c r="N451" s="64"/>
      <x:c r="O451" s="64"/>
      <x:c r="P451" s="64"/>
      <x:c r="Q451" s="64"/>
      <x:c r="R451" s="64"/>
      <x:c r="S451" s="64"/>
      <x:c r="T451" s="64"/>
      <x:c r="U451" s="64"/>
      <x:c r="V451" s="64"/>
      <x:c r="W451" s="64"/>
      <x:c r="X451" s="64"/>
      <x:c r="Y451" s="64"/>
      <x:c r="Z451" s="64"/>
      <x:c r="AA451" s="64"/>
      <x:c r="AB451" s="64"/>
      <x:c r="AC451" s="64"/>
      <x:c r="AD451" s="64"/>
      <x:c r="AE451" s="64"/>
      <x:c r="AF451" s="64"/>
      <x:c r="AG451" s="64"/>
    </x:row>
    <x:row r="452">
      <x:c r="A452" s="64"/>
      <x:c r="B452" s="64"/>
      <x:c r="C452" s="64"/>
      <x:c r="D452" s="64"/>
      <x:c r="E452" s="64"/>
      <x:c r="F452" s="64"/>
      <x:c r="G452" s="64"/>
      <x:c r="H452" s="64"/>
      <x:c r="I452" s="64"/>
      <x:c r="J452" s="64"/>
      <x:c r="K452" s="64"/>
      <x:c r="L452" s="64"/>
      <x:c r="M452" s="64"/>
      <x:c r="N452" s="64"/>
      <x:c r="O452" s="64"/>
      <x:c r="P452" s="64"/>
      <x:c r="Q452" s="64"/>
      <x:c r="R452" s="64"/>
      <x:c r="S452" s="64"/>
      <x:c r="T452" s="64"/>
      <x:c r="U452" s="64"/>
      <x:c r="V452" s="64"/>
      <x:c r="W452" s="64"/>
      <x:c r="X452" s="64"/>
      <x:c r="Y452" s="64"/>
      <x:c r="Z452" s="64"/>
      <x:c r="AA452" s="64"/>
      <x:c r="AB452" s="64"/>
      <x:c r="AC452" s="64"/>
      <x:c r="AD452" s="64"/>
      <x:c r="AE452" s="64"/>
      <x:c r="AF452" s="64"/>
      <x:c r="AG452" s="64"/>
    </x:row>
    <x:row r="453">
      <x:c r="A453" s="64"/>
      <x:c r="B453" s="64"/>
      <x:c r="C453" s="64"/>
      <x:c r="D453" s="64"/>
      <x:c r="E453" s="64"/>
      <x:c r="F453" s="64"/>
      <x:c r="G453" s="64"/>
      <x:c r="H453" s="64"/>
      <x:c r="I453" s="64"/>
      <x:c r="J453" s="64"/>
      <x:c r="K453" s="64"/>
      <x:c r="L453" s="64"/>
      <x:c r="M453" s="64"/>
      <x:c r="N453" s="64"/>
      <x:c r="O453" s="64"/>
      <x:c r="P453" s="64"/>
      <x:c r="Q453" s="64"/>
      <x:c r="R453" s="64"/>
      <x:c r="S453" s="64"/>
      <x:c r="T453" s="64"/>
      <x:c r="U453" s="64"/>
      <x:c r="V453" s="64"/>
      <x:c r="W453" s="64"/>
      <x:c r="X453" s="64"/>
      <x:c r="Y453" s="64"/>
      <x:c r="Z453" s="64"/>
      <x:c r="AA453" s="64"/>
      <x:c r="AB453" s="64"/>
      <x:c r="AC453" s="64"/>
      <x:c r="AD453" s="64"/>
      <x:c r="AE453" s="64"/>
      <x:c r="AF453" s="64"/>
      <x:c r="AG453" s="64"/>
    </x:row>
    <x:row r="454">
      <x:c r="A454" s="64"/>
      <x:c r="B454" s="64"/>
      <x:c r="C454" s="64"/>
      <x:c r="D454" s="64"/>
      <x:c r="E454" s="64"/>
      <x:c r="F454" s="64"/>
      <x:c r="G454" s="64"/>
      <x:c r="H454" s="64"/>
      <x:c r="I454" s="64"/>
      <x:c r="J454" s="64"/>
      <x:c r="K454" s="64"/>
      <x:c r="L454" s="64"/>
      <x:c r="M454" s="64"/>
      <x:c r="N454" s="64"/>
      <x:c r="O454" s="64"/>
      <x:c r="P454" s="64"/>
      <x:c r="Q454" s="64"/>
      <x:c r="R454" s="64"/>
      <x:c r="S454" s="64"/>
      <x:c r="T454" s="64"/>
      <x:c r="U454" s="64"/>
      <x:c r="V454" s="64"/>
      <x:c r="W454" s="64"/>
      <x:c r="X454" s="64"/>
      <x:c r="Y454" s="64"/>
      <x:c r="Z454" s="64"/>
      <x:c r="AA454" s="64"/>
      <x:c r="AB454" s="64"/>
      <x:c r="AC454" s="64"/>
      <x:c r="AD454" s="64"/>
      <x:c r="AE454" s="64"/>
      <x:c r="AF454" s="64"/>
      <x:c r="AG454" s="64"/>
    </x:row>
    <x:row r="455">
      <x:c r="A455" s="64"/>
      <x:c r="B455" s="64"/>
      <x:c r="C455" s="64"/>
      <x:c r="D455" s="64"/>
      <x:c r="E455" s="64"/>
      <x:c r="F455" s="64"/>
      <x:c r="G455" s="64"/>
      <x:c r="H455" s="64"/>
      <x:c r="I455" s="64"/>
      <x:c r="J455" s="64"/>
      <x:c r="K455" s="64"/>
      <x:c r="L455" s="64"/>
      <x:c r="M455" s="64"/>
      <x:c r="N455" s="64"/>
      <x:c r="O455" s="64"/>
      <x:c r="P455" s="64"/>
      <x:c r="Q455" s="64"/>
      <x:c r="R455" s="64"/>
      <x:c r="S455" s="64"/>
      <x:c r="T455" s="64"/>
      <x:c r="U455" s="64"/>
      <x:c r="V455" s="64"/>
      <x:c r="W455" s="64"/>
      <x:c r="X455" s="64"/>
      <x:c r="Y455" s="64"/>
      <x:c r="Z455" s="64"/>
      <x:c r="AA455" s="64"/>
      <x:c r="AB455" s="64"/>
      <x:c r="AC455" s="64"/>
      <x:c r="AD455" s="64"/>
      <x:c r="AE455" s="64"/>
      <x:c r="AF455" s="64"/>
      <x:c r="AG455" s="64"/>
    </x:row>
    <x:row r="456">
      <x:c r="A456" s="64"/>
      <x:c r="B456" s="64"/>
      <x:c r="C456" s="64"/>
      <x:c r="D456" s="64"/>
      <x:c r="E456" s="64"/>
      <x:c r="F456" s="64"/>
      <x:c r="G456" s="64"/>
      <x:c r="H456" s="64"/>
      <x:c r="I456" s="64"/>
      <x:c r="J456" s="64"/>
      <x:c r="K456" s="64"/>
      <x:c r="L456" s="64"/>
      <x:c r="M456" s="64"/>
      <x:c r="N456" s="64"/>
      <x:c r="O456" s="64"/>
      <x:c r="P456" s="64"/>
      <x:c r="Q456" s="64"/>
      <x:c r="R456" s="64"/>
      <x:c r="S456" s="64"/>
      <x:c r="T456" s="64"/>
      <x:c r="U456" s="64"/>
      <x:c r="V456" s="64"/>
      <x:c r="W456" s="64"/>
      <x:c r="X456" s="64"/>
      <x:c r="Y456" s="64"/>
      <x:c r="Z456" s="64"/>
      <x:c r="AA456" s="64"/>
      <x:c r="AB456" s="64"/>
      <x:c r="AC456" s="64"/>
      <x:c r="AD456" s="64"/>
      <x:c r="AE456" s="64"/>
      <x:c r="AF456" s="64"/>
      <x:c r="AG456" s="64"/>
    </x:row>
    <x:row r="457">
      <x:c r="A457" s="64"/>
      <x:c r="B457" s="64"/>
      <x:c r="C457" s="64"/>
      <x:c r="D457" s="64"/>
      <x:c r="E457" s="64"/>
      <x:c r="F457" s="64"/>
      <x:c r="G457" s="64"/>
      <x:c r="H457" s="64"/>
      <x:c r="I457" s="64"/>
      <x:c r="J457" s="64"/>
      <x:c r="K457" s="64"/>
      <x:c r="L457" s="64"/>
      <x:c r="M457" s="64"/>
      <x:c r="N457" s="64"/>
      <x:c r="O457" s="64"/>
      <x:c r="P457" s="64"/>
      <x:c r="Q457" s="64"/>
      <x:c r="R457" s="64"/>
      <x:c r="S457" s="64"/>
      <x:c r="T457" s="64"/>
      <x:c r="U457" s="64"/>
      <x:c r="V457" s="64"/>
      <x:c r="W457" s="64"/>
      <x:c r="X457" s="64"/>
      <x:c r="Y457" s="64"/>
      <x:c r="Z457" s="64"/>
      <x:c r="AA457" s="64"/>
      <x:c r="AB457" s="64"/>
      <x:c r="AC457" s="64"/>
      <x:c r="AD457" s="64"/>
      <x:c r="AE457" s="64"/>
      <x:c r="AF457" s="64"/>
      <x:c r="AG457" s="64"/>
    </x:row>
    <x:row r="458">
      <x:c r="A458" s="64"/>
      <x:c r="B458" s="64"/>
      <x:c r="C458" s="64"/>
      <x:c r="D458" s="64"/>
      <x:c r="E458" s="64"/>
      <x:c r="F458" s="64"/>
      <x:c r="G458" s="64"/>
      <x:c r="H458" s="64"/>
      <x:c r="I458" s="64"/>
      <x:c r="J458" s="64"/>
      <x:c r="K458" s="64"/>
      <x:c r="L458" s="64"/>
      <x:c r="M458" s="64"/>
      <x:c r="N458" s="64"/>
      <x:c r="O458" s="64"/>
      <x:c r="P458" s="64"/>
      <x:c r="Q458" s="64"/>
      <x:c r="R458" s="64"/>
      <x:c r="S458" s="64"/>
      <x:c r="T458" s="64"/>
      <x:c r="U458" s="64"/>
      <x:c r="V458" s="64"/>
      <x:c r="W458" s="64"/>
      <x:c r="X458" s="64"/>
      <x:c r="Y458" s="64"/>
      <x:c r="Z458" s="64"/>
      <x:c r="AA458" s="64"/>
      <x:c r="AB458" s="64"/>
      <x:c r="AC458" s="64"/>
      <x:c r="AD458" s="64"/>
      <x:c r="AE458" s="64"/>
      <x:c r="AF458" s="64"/>
      <x:c r="AG458" s="64"/>
    </x:row>
    <x:row r="459">
      <x:c r="A459" s="64"/>
      <x:c r="B459" s="64"/>
      <x:c r="C459" s="64"/>
      <x:c r="D459" s="64"/>
      <x:c r="E459" s="64"/>
      <x:c r="F459" s="64"/>
      <x:c r="G459" s="64"/>
      <x:c r="H459" s="64"/>
      <x:c r="I459" s="64"/>
      <x:c r="J459" s="64"/>
      <x:c r="K459" s="64"/>
      <x:c r="L459" s="64"/>
      <x:c r="M459" s="64"/>
      <x:c r="N459" s="64"/>
      <x:c r="O459" s="64"/>
      <x:c r="P459" s="64"/>
      <x:c r="Q459" s="64"/>
      <x:c r="R459" s="64"/>
      <x:c r="S459" s="64"/>
      <x:c r="T459" s="64"/>
      <x:c r="U459" s="64"/>
      <x:c r="V459" s="64"/>
      <x:c r="W459" s="64"/>
      <x:c r="X459" s="64"/>
      <x:c r="Y459" s="64"/>
      <x:c r="Z459" s="64"/>
      <x:c r="AA459" s="64"/>
      <x:c r="AB459" s="64"/>
      <x:c r="AC459" s="64"/>
      <x:c r="AD459" s="64"/>
      <x:c r="AE459" s="64"/>
      <x:c r="AF459" s="64"/>
      <x:c r="AG459" s="64"/>
    </x:row>
    <x:row r="460">
      <x:c r="A460" s="64"/>
      <x:c r="B460" s="64"/>
      <x:c r="C460" s="64"/>
      <x:c r="D460" s="64"/>
      <x:c r="E460" s="64"/>
      <x:c r="F460" s="64"/>
      <x:c r="G460" s="64"/>
      <x:c r="H460" s="64"/>
      <x:c r="I460" s="64"/>
      <x:c r="J460" s="64"/>
      <x:c r="K460" s="64"/>
      <x:c r="L460" s="64"/>
      <x:c r="M460" s="64"/>
      <x:c r="N460" s="64"/>
      <x:c r="O460" s="64"/>
      <x:c r="P460" s="64"/>
      <x:c r="Q460" s="64"/>
      <x:c r="R460" s="64"/>
      <x:c r="S460" s="64"/>
      <x:c r="T460" s="64"/>
      <x:c r="U460" s="64"/>
      <x:c r="V460" s="64"/>
      <x:c r="W460" s="64"/>
      <x:c r="X460" s="64"/>
      <x:c r="Y460" s="64"/>
      <x:c r="Z460" s="64"/>
      <x:c r="AA460" s="64"/>
      <x:c r="AB460" s="64"/>
      <x:c r="AC460" s="64"/>
      <x:c r="AD460" s="64"/>
      <x:c r="AE460" s="64"/>
      <x:c r="AF460" s="64"/>
      <x:c r="AG460" s="64"/>
    </x:row>
    <x:row r="461">
      <x:c r="A461" s="64"/>
      <x:c r="B461" s="64"/>
      <x:c r="C461" s="64"/>
      <x:c r="D461" s="64"/>
      <x:c r="E461" s="64"/>
      <x:c r="F461" s="64"/>
      <x:c r="G461" s="64"/>
      <x:c r="H461" s="64"/>
      <x:c r="I461" s="64"/>
      <x:c r="J461" s="64"/>
      <x:c r="K461" s="64"/>
      <x:c r="L461" s="64"/>
      <x:c r="M461" s="64"/>
      <x:c r="N461" s="64"/>
      <x:c r="O461" s="64"/>
      <x:c r="P461" s="64"/>
      <x:c r="Q461" s="64"/>
      <x:c r="R461" s="64"/>
      <x:c r="S461" s="64"/>
      <x:c r="T461" s="64"/>
      <x:c r="U461" s="64"/>
      <x:c r="V461" s="64"/>
      <x:c r="W461" s="64"/>
      <x:c r="X461" s="64"/>
      <x:c r="Y461" s="64"/>
      <x:c r="Z461" s="64"/>
      <x:c r="AA461" s="64"/>
      <x:c r="AB461" s="64"/>
      <x:c r="AC461" s="64"/>
      <x:c r="AD461" s="64"/>
      <x:c r="AE461" s="64"/>
      <x:c r="AF461" s="64"/>
      <x:c r="AG461" s="64"/>
    </x:row>
    <x:row r="462">
      <x:c r="A462" s="64"/>
      <x:c r="B462" s="64"/>
      <x:c r="C462" s="64"/>
      <x:c r="D462" s="64"/>
      <x:c r="E462" s="64"/>
      <x:c r="F462" s="64"/>
      <x:c r="G462" s="64"/>
      <x:c r="H462" s="64"/>
      <x:c r="I462" s="64"/>
      <x:c r="J462" s="64"/>
      <x:c r="K462" s="64"/>
      <x:c r="L462" s="64"/>
      <x:c r="M462" s="64"/>
      <x:c r="N462" s="64"/>
      <x:c r="O462" s="64"/>
      <x:c r="P462" s="64"/>
      <x:c r="Q462" s="64"/>
      <x:c r="R462" s="64"/>
      <x:c r="S462" s="64"/>
      <x:c r="T462" s="64"/>
      <x:c r="U462" s="64"/>
      <x:c r="V462" s="64"/>
      <x:c r="W462" s="64"/>
      <x:c r="X462" s="64"/>
      <x:c r="Y462" s="64"/>
      <x:c r="Z462" s="64"/>
      <x:c r="AA462" s="64"/>
      <x:c r="AB462" s="64"/>
      <x:c r="AC462" s="64"/>
      <x:c r="AD462" s="64"/>
      <x:c r="AE462" s="64"/>
      <x:c r="AF462" s="64"/>
      <x:c r="AG462" s="64"/>
    </x:row>
    <x:row r="463">
      <x:c r="A463" s="64"/>
      <x:c r="B463" s="64"/>
      <x:c r="C463" s="64"/>
      <x:c r="D463" s="64"/>
      <x:c r="E463" s="64"/>
      <x:c r="F463" s="64"/>
      <x:c r="G463" s="64"/>
      <x:c r="H463" s="64"/>
      <x:c r="I463" s="64"/>
      <x:c r="J463" s="64"/>
      <x:c r="K463" s="64"/>
      <x:c r="L463" s="64"/>
      <x:c r="M463" s="64"/>
      <x:c r="N463" s="64"/>
      <x:c r="O463" s="64"/>
      <x:c r="P463" s="64"/>
      <x:c r="Q463" s="64"/>
      <x:c r="R463" s="64"/>
      <x:c r="S463" s="64"/>
      <x:c r="T463" s="64"/>
      <x:c r="U463" s="64"/>
      <x:c r="V463" s="64"/>
      <x:c r="W463" s="64"/>
      <x:c r="X463" s="64"/>
      <x:c r="Y463" s="64"/>
      <x:c r="Z463" s="64"/>
      <x:c r="AA463" s="64"/>
      <x:c r="AB463" s="64"/>
      <x:c r="AC463" s="64"/>
      <x:c r="AD463" s="64"/>
      <x:c r="AE463" s="64"/>
      <x:c r="AF463" s="64"/>
      <x:c r="AG463" s="64"/>
    </x:row>
    <x:row r="464">
      <x:c r="A464" s="64"/>
      <x:c r="B464" s="64"/>
      <x:c r="C464" s="64"/>
      <x:c r="D464" s="64"/>
      <x:c r="E464" s="64"/>
      <x:c r="F464" s="64"/>
      <x:c r="G464" s="64"/>
      <x:c r="H464" s="64"/>
      <x:c r="I464" s="64"/>
      <x:c r="J464" s="64"/>
      <x:c r="K464" s="64"/>
      <x:c r="L464" s="64"/>
      <x:c r="M464" s="64"/>
      <x:c r="N464" s="64"/>
      <x:c r="O464" s="64"/>
      <x:c r="P464" s="64"/>
      <x:c r="Q464" s="64"/>
      <x:c r="R464" s="64"/>
      <x:c r="S464" s="64"/>
      <x:c r="T464" s="64"/>
      <x:c r="U464" s="64"/>
      <x:c r="V464" s="64"/>
      <x:c r="W464" s="64"/>
      <x:c r="X464" s="64"/>
      <x:c r="Y464" s="64"/>
      <x:c r="Z464" s="64"/>
      <x:c r="AA464" s="64"/>
      <x:c r="AB464" s="64"/>
      <x:c r="AC464" s="64"/>
      <x:c r="AD464" s="64"/>
      <x:c r="AE464" s="64"/>
      <x:c r="AF464" s="64"/>
      <x:c r="AG464" s="64"/>
    </x:row>
    <x:row r="465">
      <x:c r="A465" s="64"/>
      <x:c r="B465" s="64"/>
      <x:c r="C465" s="64"/>
      <x:c r="D465" s="64"/>
      <x:c r="E465" s="64"/>
      <x:c r="F465" s="64"/>
      <x:c r="G465" s="64"/>
      <x:c r="H465" s="64"/>
      <x:c r="I465" s="64"/>
      <x:c r="J465" s="64"/>
      <x:c r="K465" s="64"/>
      <x:c r="L465" s="64"/>
      <x:c r="M465" s="64"/>
      <x:c r="N465" s="64"/>
      <x:c r="O465" s="64"/>
      <x:c r="P465" s="64"/>
      <x:c r="Q465" s="64"/>
      <x:c r="R465" s="64"/>
      <x:c r="S465" s="64"/>
      <x:c r="T465" s="64"/>
      <x:c r="U465" s="64"/>
      <x:c r="V465" s="64"/>
      <x:c r="W465" s="64"/>
      <x:c r="X465" s="64"/>
      <x:c r="Y465" s="64"/>
      <x:c r="Z465" s="64"/>
      <x:c r="AA465" s="64"/>
      <x:c r="AB465" s="64"/>
      <x:c r="AC465" s="64"/>
      <x:c r="AD465" s="64"/>
      <x:c r="AE465" s="64"/>
      <x:c r="AF465" s="64"/>
      <x:c r="AG465" s="64"/>
    </x:row>
    <x:row r="466">
      <x:c r="A466" s="64"/>
      <x:c r="B466" s="64"/>
      <x:c r="C466" s="64"/>
      <x:c r="D466" s="64"/>
      <x:c r="E466" s="64"/>
      <x:c r="F466" s="64"/>
      <x:c r="G466" s="64"/>
      <x:c r="H466" s="64"/>
      <x:c r="I466" s="64"/>
      <x:c r="J466" s="64"/>
      <x:c r="K466" s="64"/>
      <x:c r="L466" s="64"/>
      <x:c r="M466" s="64"/>
      <x:c r="N466" s="64"/>
      <x:c r="O466" s="64"/>
      <x:c r="P466" s="64"/>
      <x:c r="Q466" s="64"/>
      <x:c r="R466" s="64"/>
      <x:c r="S466" s="64"/>
      <x:c r="T466" s="64"/>
      <x:c r="U466" s="64"/>
      <x:c r="V466" s="64"/>
      <x:c r="W466" s="64"/>
      <x:c r="X466" s="64"/>
      <x:c r="Y466" s="64"/>
      <x:c r="Z466" s="64"/>
      <x:c r="AA466" s="64"/>
      <x:c r="AB466" s="64"/>
      <x:c r="AC466" s="64"/>
      <x:c r="AD466" s="64"/>
      <x:c r="AE466" s="64"/>
      <x:c r="AF466" s="64"/>
      <x:c r="AG466" s="64"/>
    </x:row>
    <x:row r="467">
      <x:c r="A467" s="64"/>
      <x:c r="B467" s="64"/>
      <x:c r="C467" s="64"/>
      <x:c r="D467" s="64"/>
      <x:c r="E467" s="64"/>
      <x:c r="F467" s="64"/>
      <x:c r="G467" s="64"/>
      <x:c r="H467" s="64"/>
      <x:c r="I467" s="64"/>
      <x:c r="J467" s="64"/>
      <x:c r="K467" s="64"/>
      <x:c r="L467" s="64"/>
      <x:c r="M467" s="64"/>
      <x:c r="N467" s="64"/>
      <x:c r="O467" s="64"/>
      <x:c r="P467" s="64"/>
      <x:c r="Q467" s="64"/>
      <x:c r="R467" s="64"/>
      <x:c r="S467" s="64"/>
      <x:c r="T467" s="64"/>
      <x:c r="U467" s="64"/>
      <x:c r="V467" s="64"/>
      <x:c r="W467" s="64"/>
      <x:c r="X467" s="64"/>
      <x:c r="Y467" s="64"/>
      <x:c r="Z467" s="64"/>
      <x:c r="AA467" s="64"/>
      <x:c r="AB467" s="64"/>
      <x:c r="AC467" s="64"/>
      <x:c r="AD467" s="64"/>
      <x:c r="AE467" s="64"/>
      <x:c r="AF467" s="64"/>
      <x:c r="AG467" s="64"/>
    </x:row>
    <x:row r="468">
      <x:c r="A468" s="64"/>
      <x:c r="B468" s="64"/>
      <x:c r="C468" s="64"/>
      <x:c r="D468" s="64"/>
      <x:c r="E468" s="64"/>
      <x:c r="F468" s="64"/>
      <x:c r="G468" s="64"/>
      <x:c r="H468" s="64"/>
      <x:c r="I468" s="64"/>
      <x:c r="J468" s="64"/>
      <x:c r="K468" s="64"/>
      <x:c r="L468" s="64"/>
      <x:c r="M468" s="64"/>
      <x:c r="N468" s="64"/>
      <x:c r="O468" s="64"/>
      <x:c r="P468" s="64"/>
      <x:c r="Q468" s="64"/>
      <x:c r="R468" s="64"/>
      <x:c r="S468" s="64"/>
      <x:c r="T468" s="64"/>
      <x:c r="U468" s="64"/>
      <x:c r="V468" s="64"/>
      <x:c r="W468" s="64"/>
      <x:c r="X468" s="64"/>
      <x:c r="Y468" s="64"/>
      <x:c r="Z468" s="64"/>
      <x:c r="AA468" s="64"/>
      <x:c r="AB468" s="64"/>
      <x:c r="AC468" s="64"/>
      <x:c r="AD468" s="64"/>
      <x:c r="AE468" s="64"/>
      <x:c r="AF468" s="64"/>
      <x:c r="AG468" s="64"/>
    </x:row>
    <x:row r="469">
      <x:c r="A469" s="64"/>
      <x:c r="B469" s="64"/>
      <x:c r="C469" s="64"/>
      <x:c r="D469" s="64"/>
      <x:c r="E469" s="64"/>
      <x:c r="F469" s="64"/>
      <x:c r="G469" s="64"/>
      <x:c r="H469" s="64"/>
      <x:c r="I469" s="64"/>
      <x:c r="J469" s="64"/>
      <x:c r="K469" s="64"/>
      <x:c r="L469" s="64"/>
      <x:c r="M469" s="64"/>
      <x:c r="N469" s="64"/>
      <x:c r="O469" s="64"/>
      <x:c r="P469" s="64"/>
      <x:c r="Q469" s="64"/>
      <x:c r="R469" s="64"/>
      <x:c r="S469" s="64"/>
      <x:c r="T469" s="64"/>
      <x:c r="U469" s="64"/>
      <x:c r="V469" s="64"/>
      <x:c r="W469" s="64"/>
      <x:c r="X469" s="64"/>
      <x:c r="Y469" s="64"/>
      <x:c r="Z469" s="64"/>
      <x:c r="AA469" s="64"/>
      <x:c r="AB469" s="64"/>
      <x:c r="AC469" s="64"/>
      <x:c r="AD469" s="64"/>
      <x:c r="AE469" s="64"/>
      <x:c r="AF469" s="64"/>
      <x:c r="AG469" s="64"/>
    </x:row>
    <x:row r="470">
      <x:c r="A470" s="64"/>
      <x:c r="B470" s="64"/>
      <x:c r="C470" s="64"/>
      <x:c r="D470" s="64"/>
      <x:c r="E470" s="64"/>
      <x:c r="F470" s="64"/>
      <x:c r="G470" s="64"/>
      <x:c r="H470" s="64"/>
      <x:c r="I470" s="64"/>
      <x:c r="J470" s="64"/>
      <x:c r="K470" s="64"/>
      <x:c r="L470" s="64"/>
      <x:c r="M470" s="64"/>
      <x:c r="N470" s="64"/>
      <x:c r="O470" s="64"/>
      <x:c r="P470" s="64"/>
      <x:c r="Q470" s="64"/>
      <x:c r="R470" s="64"/>
      <x:c r="S470" s="64"/>
      <x:c r="T470" s="64"/>
      <x:c r="U470" s="64"/>
      <x:c r="V470" s="64"/>
      <x:c r="W470" s="64"/>
      <x:c r="X470" s="64"/>
      <x:c r="Y470" s="64"/>
      <x:c r="Z470" s="64"/>
      <x:c r="AA470" s="64"/>
      <x:c r="AB470" s="64"/>
      <x:c r="AC470" s="64"/>
      <x:c r="AD470" s="64"/>
      <x:c r="AE470" s="64"/>
      <x:c r="AF470" s="64"/>
      <x:c r="AG470" s="64"/>
    </x:row>
    <x:row r="471">
      <x:c r="A471" s="64"/>
      <x:c r="B471" s="64"/>
      <x:c r="C471" s="64"/>
      <x:c r="D471" s="64"/>
      <x:c r="E471" s="64"/>
      <x:c r="F471" s="64"/>
      <x:c r="G471" s="64"/>
      <x:c r="H471" s="64"/>
      <x:c r="I471" s="64"/>
      <x:c r="J471" s="64"/>
      <x:c r="K471" s="64"/>
      <x:c r="L471" s="64"/>
      <x:c r="M471" s="64"/>
      <x:c r="N471" s="64"/>
      <x:c r="O471" s="64"/>
      <x:c r="P471" s="64"/>
      <x:c r="Q471" s="64"/>
      <x:c r="R471" s="64"/>
      <x:c r="S471" s="64"/>
      <x:c r="T471" s="64"/>
      <x:c r="U471" s="64"/>
      <x:c r="V471" s="64"/>
      <x:c r="W471" s="64"/>
      <x:c r="X471" s="64"/>
      <x:c r="Y471" s="64"/>
      <x:c r="Z471" s="64"/>
      <x:c r="AA471" s="64"/>
      <x:c r="AB471" s="64"/>
      <x:c r="AC471" s="64"/>
      <x:c r="AD471" s="64"/>
      <x:c r="AE471" s="64"/>
      <x:c r="AF471" s="64"/>
      <x:c r="AG471" s="64"/>
    </x:row>
    <x:row r="472">
      <x:c r="A472" s="64"/>
      <x:c r="B472" s="64"/>
      <x:c r="C472" s="64"/>
      <x:c r="D472" s="64"/>
      <x:c r="E472" s="64"/>
      <x:c r="F472" s="64"/>
      <x:c r="G472" s="64"/>
      <x:c r="H472" s="64"/>
      <x:c r="I472" s="64"/>
      <x:c r="J472" s="64"/>
      <x:c r="K472" s="64"/>
      <x:c r="L472" s="64"/>
      <x:c r="M472" s="64"/>
      <x:c r="N472" s="64"/>
      <x:c r="O472" s="64"/>
      <x:c r="P472" s="64"/>
      <x:c r="Q472" s="64"/>
      <x:c r="R472" s="64"/>
      <x:c r="S472" s="64"/>
      <x:c r="T472" s="64"/>
      <x:c r="U472" s="64"/>
      <x:c r="V472" s="64"/>
      <x:c r="W472" s="64"/>
      <x:c r="X472" s="64"/>
      <x:c r="Y472" s="64"/>
      <x:c r="Z472" s="64"/>
      <x:c r="AA472" s="64"/>
      <x:c r="AB472" s="64"/>
      <x:c r="AC472" s="64"/>
      <x:c r="AD472" s="64"/>
      <x:c r="AE472" s="64"/>
      <x:c r="AF472" s="64"/>
      <x:c r="AG472" s="64"/>
    </x:row>
    <x:row r="473">
      <x:c r="A473" s="64"/>
      <x:c r="B473" s="64"/>
      <x:c r="C473" s="64"/>
      <x:c r="D473" s="64"/>
      <x:c r="E473" s="64"/>
      <x:c r="F473" s="64"/>
      <x:c r="G473" s="64"/>
      <x:c r="H473" s="64"/>
      <x:c r="I473" s="64"/>
      <x:c r="J473" s="64"/>
      <x:c r="K473" s="64"/>
      <x:c r="L473" s="64"/>
      <x:c r="M473" s="64"/>
      <x:c r="N473" s="64"/>
      <x:c r="O473" s="64"/>
      <x:c r="P473" s="64"/>
      <x:c r="Q473" s="64"/>
      <x:c r="R473" s="64"/>
      <x:c r="S473" s="64"/>
      <x:c r="T473" s="64"/>
      <x:c r="U473" s="64"/>
      <x:c r="V473" s="64"/>
      <x:c r="W473" s="64"/>
      <x:c r="X473" s="64"/>
      <x:c r="Y473" s="64"/>
      <x:c r="Z473" s="64"/>
      <x:c r="AA473" s="64"/>
      <x:c r="AB473" s="64"/>
      <x:c r="AC473" s="64"/>
      <x:c r="AD473" s="64"/>
      <x:c r="AE473" s="64"/>
      <x:c r="AF473" s="64"/>
      <x:c r="AG473" s="64"/>
    </x:row>
    <x:row r="474">
      <x:c r="A474" s="64"/>
      <x:c r="B474" s="64"/>
      <x:c r="C474" s="64"/>
      <x:c r="D474" s="64"/>
      <x:c r="E474" s="64"/>
      <x:c r="F474" s="64"/>
      <x:c r="G474" s="64"/>
      <x:c r="H474" s="64"/>
      <x:c r="I474" s="64"/>
      <x:c r="J474" s="64"/>
      <x:c r="K474" s="64"/>
      <x:c r="L474" s="64"/>
      <x:c r="M474" s="64"/>
      <x:c r="N474" s="64"/>
      <x:c r="O474" s="64"/>
      <x:c r="P474" s="64"/>
      <x:c r="Q474" s="64"/>
      <x:c r="R474" s="64"/>
      <x:c r="S474" s="64"/>
      <x:c r="T474" s="64"/>
      <x:c r="U474" s="64"/>
      <x:c r="V474" s="64"/>
      <x:c r="W474" s="64"/>
      <x:c r="X474" s="64"/>
      <x:c r="Y474" s="64"/>
      <x:c r="Z474" s="64"/>
      <x:c r="AA474" s="64"/>
      <x:c r="AB474" s="64"/>
      <x:c r="AC474" s="64"/>
      <x:c r="AD474" s="64"/>
      <x:c r="AE474" s="64"/>
      <x:c r="AF474" s="64"/>
      <x:c r="AG474" s="64"/>
    </x:row>
    <x:row r="475">
      <x:c r="A475" s="64"/>
      <x:c r="B475" s="64"/>
      <x:c r="C475" s="64"/>
      <x:c r="D475" s="64"/>
      <x:c r="E475" s="64"/>
      <x:c r="F475" s="64"/>
      <x:c r="G475" s="64"/>
      <x:c r="H475" s="64"/>
      <x:c r="I475" s="64"/>
      <x:c r="J475" s="64"/>
      <x:c r="K475" s="64"/>
      <x:c r="L475" s="64"/>
      <x:c r="M475" s="64"/>
      <x:c r="N475" s="64"/>
      <x:c r="O475" s="64"/>
      <x:c r="P475" s="64"/>
      <x:c r="Q475" s="64"/>
      <x:c r="R475" s="64"/>
      <x:c r="S475" s="64"/>
      <x:c r="T475" s="64"/>
      <x:c r="U475" s="64"/>
      <x:c r="V475" s="64"/>
      <x:c r="W475" s="64"/>
      <x:c r="X475" s="64"/>
      <x:c r="Y475" s="64"/>
      <x:c r="Z475" s="64"/>
      <x:c r="AA475" s="64"/>
      <x:c r="AB475" s="64"/>
      <x:c r="AC475" s="64"/>
      <x:c r="AD475" s="64"/>
      <x:c r="AE475" s="64"/>
      <x:c r="AF475" s="64"/>
      <x:c r="AG475" s="64"/>
    </x:row>
    <x:row r="476">
      <x:c r="A476" s="64"/>
      <x:c r="B476" s="64"/>
      <x:c r="C476" s="64"/>
      <x:c r="D476" s="64"/>
      <x:c r="E476" s="64"/>
      <x:c r="F476" s="64"/>
      <x:c r="G476" s="64"/>
      <x:c r="H476" s="64"/>
      <x:c r="I476" s="64"/>
      <x:c r="J476" s="64"/>
      <x:c r="K476" s="64"/>
      <x:c r="L476" s="64"/>
      <x:c r="M476" s="64"/>
      <x:c r="N476" s="64"/>
      <x:c r="O476" s="64"/>
      <x:c r="P476" s="64"/>
      <x:c r="Q476" s="64"/>
      <x:c r="R476" s="64"/>
      <x:c r="S476" s="64"/>
      <x:c r="T476" s="64"/>
      <x:c r="U476" s="64"/>
      <x:c r="V476" s="64"/>
      <x:c r="W476" s="64"/>
      <x:c r="X476" s="64"/>
      <x:c r="Y476" s="64"/>
      <x:c r="Z476" s="64"/>
      <x:c r="AA476" s="64"/>
      <x:c r="AB476" s="64"/>
      <x:c r="AC476" s="64"/>
      <x:c r="AD476" s="64"/>
      <x:c r="AE476" s="64"/>
      <x:c r="AF476" s="64"/>
      <x:c r="AG476" s="64"/>
    </x:row>
    <x:row r="477">
      <x:c r="A477" s="64"/>
      <x:c r="B477" s="64"/>
      <x:c r="C477" s="64"/>
      <x:c r="D477" s="64"/>
      <x:c r="E477" s="64"/>
      <x:c r="F477" s="64"/>
      <x:c r="G477" s="64"/>
      <x:c r="H477" s="64"/>
      <x:c r="I477" s="64"/>
      <x:c r="J477" s="64"/>
      <x:c r="K477" s="64"/>
      <x:c r="L477" s="64"/>
      <x:c r="M477" s="64"/>
      <x:c r="N477" s="64"/>
      <x:c r="O477" s="64"/>
      <x:c r="P477" s="64"/>
      <x:c r="Q477" s="64"/>
      <x:c r="R477" s="64"/>
      <x:c r="S477" s="64"/>
      <x:c r="T477" s="64"/>
      <x:c r="U477" s="64"/>
      <x:c r="V477" s="64"/>
      <x:c r="W477" s="64"/>
      <x:c r="X477" s="64"/>
      <x:c r="Y477" s="64"/>
      <x:c r="Z477" s="64"/>
      <x:c r="AA477" s="64"/>
      <x:c r="AB477" s="64"/>
      <x:c r="AC477" s="64"/>
      <x:c r="AD477" s="64"/>
      <x:c r="AE477" s="64"/>
      <x:c r="AF477" s="64"/>
      <x:c r="AG477" s="64"/>
    </x:row>
    <x:row r="478">
      <x:c r="A478" s="64"/>
      <x:c r="B478" s="64"/>
      <x:c r="C478" s="64"/>
      <x:c r="D478" s="64"/>
      <x:c r="E478" s="64"/>
      <x:c r="F478" s="64"/>
      <x:c r="G478" s="64"/>
      <x:c r="H478" s="64"/>
      <x:c r="I478" s="64"/>
      <x:c r="J478" s="64"/>
      <x:c r="K478" s="64"/>
      <x:c r="L478" s="64"/>
      <x:c r="M478" s="64"/>
      <x:c r="N478" s="64"/>
      <x:c r="O478" s="64"/>
      <x:c r="P478" s="64"/>
      <x:c r="Q478" s="64"/>
      <x:c r="R478" s="64"/>
      <x:c r="S478" s="64"/>
      <x:c r="T478" s="64"/>
      <x:c r="U478" s="64"/>
      <x:c r="V478" s="64"/>
      <x:c r="W478" s="64"/>
      <x:c r="X478" s="64"/>
      <x:c r="Y478" s="64"/>
      <x:c r="Z478" s="64"/>
      <x:c r="AA478" s="64"/>
      <x:c r="AB478" s="64"/>
      <x:c r="AC478" s="64"/>
      <x:c r="AD478" s="64"/>
      <x:c r="AE478" s="64"/>
      <x:c r="AF478" s="64"/>
      <x:c r="AG478" s="64"/>
    </x:row>
    <x:row r="479">
      <x:c r="A479" s="64"/>
      <x:c r="B479" s="64"/>
      <x:c r="C479" s="64"/>
      <x:c r="D479" s="64"/>
      <x:c r="E479" s="64"/>
      <x:c r="F479" s="64"/>
      <x:c r="G479" s="64"/>
      <x:c r="H479" s="64"/>
      <x:c r="I479" s="64"/>
      <x:c r="J479" s="64"/>
      <x:c r="K479" s="64"/>
      <x:c r="L479" s="64"/>
      <x:c r="M479" s="64"/>
      <x:c r="N479" s="64"/>
      <x:c r="O479" s="64"/>
      <x:c r="P479" s="64"/>
      <x:c r="Q479" s="64"/>
      <x:c r="R479" s="64"/>
      <x:c r="S479" s="64"/>
      <x:c r="T479" s="64"/>
      <x:c r="U479" s="64"/>
      <x:c r="V479" s="64"/>
      <x:c r="W479" s="64"/>
      <x:c r="X479" s="64"/>
      <x:c r="Y479" s="64"/>
      <x:c r="Z479" s="64"/>
      <x:c r="AA479" s="64"/>
      <x:c r="AB479" s="64"/>
      <x:c r="AC479" s="64"/>
      <x:c r="AD479" s="64"/>
      <x:c r="AE479" s="64"/>
      <x:c r="AF479" s="64"/>
      <x:c r="AG479" s="64"/>
    </x:row>
    <x:row r="480">
      <x:c r="A480" s="64"/>
      <x:c r="B480" s="64"/>
      <x:c r="C480" s="64"/>
      <x:c r="D480" s="64"/>
      <x:c r="E480" s="64"/>
      <x:c r="F480" s="64"/>
      <x:c r="G480" s="64"/>
      <x:c r="H480" s="64"/>
      <x:c r="I480" s="64"/>
      <x:c r="J480" s="64"/>
      <x:c r="K480" s="64"/>
      <x:c r="L480" s="64"/>
      <x:c r="M480" s="64"/>
      <x:c r="N480" s="64"/>
      <x:c r="O480" s="64"/>
      <x:c r="P480" s="64"/>
      <x:c r="Q480" s="64"/>
      <x:c r="R480" s="64"/>
      <x:c r="S480" s="64"/>
      <x:c r="T480" s="64"/>
      <x:c r="U480" s="64"/>
      <x:c r="V480" s="64"/>
      <x:c r="W480" s="64"/>
      <x:c r="X480" s="64"/>
      <x:c r="Y480" s="64"/>
      <x:c r="Z480" s="64"/>
      <x:c r="AA480" s="64"/>
      <x:c r="AB480" s="64"/>
      <x:c r="AC480" s="64"/>
      <x:c r="AD480" s="64"/>
      <x:c r="AE480" s="64"/>
      <x:c r="AF480" s="64"/>
      <x:c r="AG480" s="64"/>
    </x:row>
    <x:row r="481">
      <x:c r="A481" s="64"/>
      <x:c r="B481" s="64"/>
      <x:c r="C481" s="64"/>
      <x:c r="D481" s="64"/>
      <x:c r="E481" s="64"/>
      <x:c r="F481" s="64"/>
      <x:c r="G481" s="64"/>
      <x:c r="H481" s="64"/>
      <x:c r="I481" s="64"/>
      <x:c r="J481" s="64"/>
      <x:c r="K481" s="64"/>
      <x:c r="L481" s="64"/>
      <x:c r="M481" s="64"/>
      <x:c r="N481" s="64"/>
      <x:c r="O481" s="64"/>
      <x:c r="P481" s="64"/>
      <x:c r="Q481" s="64"/>
      <x:c r="R481" s="64"/>
      <x:c r="S481" s="64"/>
      <x:c r="T481" s="64"/>
      <x:c r="U481" s="64"/>
      <x:c r="V481" s="64"/>
      <x:c r="W481" s="64"/>
      <x:c r="X481" s="64"/>
      <x:c r="Y481" s="64"/>
      <x:c r="Z481" s="64"/>
      <x:c r="AA481" s="64"/>
      <x:c r="AB481" s="64"/>
      <x:c r="AC481" s="64"/>
      <x:c r="AD481" s="64"/>
      <x:c r="AE481" s="64"/>
      <x:c r="AF481" s="64"/>
      <x:c r="AG481" s="64"/>
    </x:row>
    <x:row r="482">
      <x:c r="A482" s="64"/>
      <x:c r="B482" s="64"/>
      <x:c r="C482" s="64"/>
      <x:c r="D482" s="64"/>
      <x:c r="E482" s="64"/>
      <x:c r="F482" s="64"/>
      <x:c r="G482" s="64"/>
      <x:c r="H482" s="64"/>
      <x:c r="I482" s="64"/>
      <x:c r="J482" s="64"/>
      <x:c r="K482" s="64"/>
      <x:c r="L482" s="64"/>
      <x:c r="M482" s="64"/>
      <x:c r="N482" s="64"/>
      <x:c r="O482" s="64"/>
      <x:c r="P482" s="64"/>
      <x:c r="Q482" s="64"/>
      <x:c r="R482" s="64"/>
      <x:c r="S482" s="64"/>
      <x:c r="T482" s="64"/>
      <x:c r="U482" s="64"/>
      <x:c r="V482" s="64"/>
      <x:c r="W482" s="64"/>
      <x:c r="X482" s="64"/>
      <x:c r="Y482" s="64"/>
      <x:c r="Z482" s="64"/>
      <x:c r="AA482" s="64"/>
      <x:c r="AB482" s="64"/>
      <x:c r="AC482" s="64"/>
      <x:c r="AD482" s="64"/>
      <x:c r="AE482" s="64"/>
      <x:c r="AF482" s="64"/>
      <x:c r="AG482" s="64"/>
    </x:row>
    <x:row r="483">
      <x:c r="A483" s="64"/>
      <x:c r="B483" s="64"/>
      <x:c r="C483" s="64"/>
      <x:c r="D483" s="64"/>
      <x:c r="E483" s="64"/>
      <x:c r="F483" s="64"/>
      <x:c r="G483" s="64"/>
      <x:c r="H483" s="64"/>
      <x:c r="I483" s="64"/>
      <x:c r="J483" s="64"/>
      <x:c r="K483" s="64"/>
      <x:c r="L483" s="64"/>
      <x:c r="M483" s="64"/>
      <x:c r="N483" s="64"/>
      <x:c r="O483" s="64"/>
      <x:c r="P483" s="64"/>
      <x:c r="Q483" s="64"/>
      <x:c r="R483" s="64"/>
      <x:c r="S483" s="64"/>
      <x:c r="T483" s="64"/>
      <x:c r="U483" s="64"/>
      <x:c r="V483" s="64"/>
      <x:c r="W483" s="64"/>
      <x:c r="X483" s="64"/>
      <x:c r="Y483" s="64"/>
      <x:c r="Z483" s="64"/>
      <x:c r="AA483" s="64"/>
      <x:c r="AB483" s="64"/>
      <x:c r="AC483" s="64"/>
      <x:c r="AD483" s="64"/>
      <x:c r="AE483" s="64"/>
      <x:c r="AF483" s="64"/>
      <x:c r="AG483" s="64"/>
    </x:row>
    <x:row r="484">
      <x:c r="A484" s="64"/>
      <x:c r="B484" s="64"/>
      <x:c r="C484" s="64"/>
      <x:c r="D484" s="64"/>
      <x:c r="E484" s="64"/>
      <x:c r="F484" s="64"/>
      <x:c r="G484" s="64"/>
      <x:c r="H484" s="64"/>
      <x:c r="I484" s="64"/>
      <x:c r="J484" s="64"/>
      <x:c r="K484" s="64"/>
      <x:c r="L484" s="64"/>
      <x:c r="M484" s="64"/>
      <x:c r="N484" s="64"/>
      <x:c r="O484" s="64"/>
      <x:c r="P484" s="64"/>
      <x:c r="Q484" s="64"/>
      <x:c r="R484" s="64"/>
      <x:c r="S484" s="64"/>
      <x:c r="T484" s="64"/>
      <x:c r="U484" s="64"/>
      <x:c r="V484" s="64"/>
      <x:c r="W484" s="64"/>
      <x:c r="X484" s="64"/>
      <x:c r="Y484" s="64"/>
      <x:c r="Z484" s="64"/>
      <x:c r="AA484" s="64"/>
      <x:c r="AB484" s="64"/>
      <x:c r="AC484" s="64"/>
      <x:c r="AD484" s="64"/>
      <x:c r="AE484" s="64"/>
      <x:c r="AF484" s="64"/>
      <x:c r="AG484" s="64"/>
    </x:row>
    <x:row r="485">
      <x:c r="A485" s="64"/>
      <x:c r="B485" s="64"/>
      <x:c r="C485" s="64"/>
      <x:c r="D485" s="64"/>
      <x:c r="E485" s="64"/>
      <x:c r="F485" s="64"/>
      <x:c r="G485" s="64"/>
      <x:c r="H485" s="64"/>
      <x:c r="I485" s="64"/>
      <x:c r="J485" s="64"/>
      <x:c r="K485" s="64"/>
      <x:c r="L485" s="64"/>
      <x:c r="M485" s="64"/>
      <x:c r="N485" s="64"/>
      <x:c r="O485" s="64"/>
      <x:c r="P485" s="64"/>
      <x:c r="Q485" s="64"/>
      <x:c r="R485" s="64"/>
      <x:c r="S485" s="64"/>
      <x:c r="T485" s="64"/>
      <x:c r="U485" s="64"/>
      <x:c r="V485" s="64"/>
      <x:c r="W485" s="64"/>
      <x:c r="X485" s="64"/>
      <x:c r="Y485" s="64"/>
      <x:c r="Z485" s="64"/>
      <x:c r="AA485" s="64"/>
      <x:c r="AB485" s="64"/>
      <x:c r="AC485" s="64"/>
      <x:c r="AD485" s="64"/>
      <x:c r="AE485" s="64"/>
      <x:c r="AF485" s="64"/>
      <x:c r="AG485" s="64"/>
    </x:row>
    <x:row r="486">
      <x:c r="A486" s="64"/>
      <x:c r="B486" s="64"/>
      <x:c r="C486" s="64"/>
      <x:c r="D486" s="64"/>
      <x:c r="E486" s="64"/>
      <x:c r="F486" s="64"/>
      <x:c r="G486" s="64"/>
      <x:c r="H486" s="64"/>
      <x:c r="I486" s="64"/>
      <x:c r="J486" s="64"/>
      <x:c r="K486" s="64"/>
      <x:c r="L486" s="64"/>
      <x:c r="M486" s="64"/>
      <x:c r="N486" s="64"/>
      <x:c r="O486" s="64"/>
      <x:c r="P486" s="64"/>
      <x:c r="Q486" s="64"/>
      <x:c r="R486" s="64"/>
      <x:c r="S486" s="64"/>
      <x:c r="T486" s="64"/>
      <x:c r="U486" s="64"/>
      <x:c r="V486" s="64"/>
      <x:c r="W486" s="64"/>
      <x:c r="X486" s="64"/>
      <x:c r="Y486" s="64"/>
      <x:c r="Z486" s="64"/>
      <x:c r="AA486" s="64"/>
      <x:c r="AB486" s="64"/>
      <x:c r="AC486" s="64"/>
      <x:c r="AD486" s="64"/>
      <x:c r="AE486" s="64"/>
      <x:c r="AF486" s="64"/>
      <x:c r="AG486" s="64"/>
    </x:row>
    <x:row r="487">
      <x:c r="A487" s="64"/>
      <x:c r="B487" s="64"/>
      <x:c r="C487" s="64"/>
      <x:c r="D487" s="64"/>
      <x:c r="E487" s="64"/>
      <x:c r="F487" s="64"/>
      <x:c r="G487" s="64"/>
      <x:c r="H487" s="64"/>
      <x:c r="I487" s="64"/>
      <x:c r="J487" s="64"/>
      <x:c r="K487" s="64"/>
      <x:c r="L487" s="64"/>
      <x:c r="M487" s="64"/>
      <x:c r="N487" s="64"/>
      <x:c r="O487" s="64"/>
      <x:c r="P487" s="64"/>
      <x:c r="Q487" s="64"/>
      <x:c r="R487" s="64"/>
      <x:c r="S487" s="64"/>
      <x:c r="T487" s="64"/>
      <x:c r="U487" s="64"/>
      <x:c r="V487" s="64"/>
      <x:c r="W487" s="64"/>
      <x:c r="X487" s="64"/>
      <x:c r="Y487" s="64"/>
      <x:c r="Z487" s="64"/>
      <x:c r="AA487" s="64"/>
      <x:c r="AB487" s="64"/>
      <x:c r="AC487" s="64"/>
      <x:c r="AD487" s="64"/>
      <x:c r="AE487" s="64"/>
      <x:c r="AF487" s="64"/>
      <x:c r="AG487" s="64"/>
    </x:row>
    <x:row r="488">
      <x:c r="A488" s="64"/>
      <x:c r="B488" s="64"/>
      <x:c r="C488" s="64"/>
      <x:c r="D488" s="64"/>
      <x:c r="E488" s="64"/>
      <x:c r="F488" s="64"/>
      <x:c r="G488" s="64"/>
      <x:c r="H488" s="64"/>
      <x:c r="I488" s="64"/>
      <x:c r="J488" s="64"/>
      <x:c r="K488" s="64"/>
      <x:c r="L488" s="64"/>
      <x:c r="M488" s="64"/>
      <x:c r="N488" s="64"/>
      <x:c r="O488" s="64"/>
      <x:c r="P488" s="64"/>
      <x:c r="Q488" s="64"/>
      <x:c r="R488" s="64"/>
      <x:c r="S488" s="64"/>
      <x:c r="T488" s="64"/>
      <x:c r="U488" s="64"/>
      <x:c r="V488" s="64"/>
      <x:c r="W488" s="64"/>
      <x:c r="X488" s="64"/>
      <x:c r="Y488" s="64"/>
      <x:c r="Z488" s="64"/>
      <x:c r="AA488" s="64"/>
      <x:c r="AB488" s="64"/>
      <x:c r="AC488" s="64"/>
      <x:c r="AD488" s="64"/>
      <x:c r="AE488" s="64"/>
      <x:c r="AF488" s="64"/>
      <x:c r="AG488" s="64"/>
    </x:row>
    <x:row r="489">
      <x:c r="A489" s="64"/>
      <x:c r="B489" s="64"/>
      <x:c r="C489" s="64"/>
      <x:c r="D489" s="64"/>
      <x:c r="E489" s="64"/>
      <x:c r="F489" s="64"/>
      <x:c r="G489" s="64"/>
      <x:c r="H489" s="64"/>
      <x:c r="I489" s="64"/>
      <x:c r="J489" s="64"/>
      <x:c r="K489" s="64"/>
      <x:c r="L489" s="64"/>
      <x:c r="M489" s="64"/>
      <x:c r="N489" s="64"/>
      <x:c r="O489" s="64"/>
      <x:c r="P489" s="64"/>
      <x:c r="Q489" s="64"/>
      <x:c r="R489" s="64"/>
      <x:c r="S489" s="64"/>
      <x:c r="T489" s="64"/>
      <x:c r="U489" s="64"/>
      <x:c r="V489" s="64"/>
      <x:c r="W489" s="64"/>
      <x:c r="X489" s="64"/>
      <x:c r="Y489" s="64"/>
      <x:c r="Z489" s="64"/>
      <x:c r="AA489" s="64"/>
      <x:c r="AB489" s="64"/>
      <x:c r="AC489" s="64"/>
      <x:c r="AD489" s="64"/>
      <x:c r="AE489" s="64"/>
      <x:c r="AF489" s="64"/>
      <x:c r="AG489" s="64"/>
    </x:row>
    <x:row r="490">
      <x:c r="A490" s="64"/>
      <x:c r="B490" s="64"/>
      <x:c r="C490" s="64"/>
      <x:c r="D490" s="64"/>
      <x:c r="E490" s="64"/>
      <x:c r="F490" s="64"/>
      <x:c r="G490" s="64"/>
      <x:c r="H490" s="64"/>
      <x:c r="I490" s="64"/>
      <x:c r="J490" s="64"/>
      <x:c r="K490" s="64"/>
      <x:c r="L490" s="64"/>
      <x:c r="M490" s="64"/>
      <x:c r="N490" s="64"/>
      <x:c r="O490" s="64"/>
      <x:c r="P490" s="64"/>
      <x:c r="Q490" s="64"/>
      <x:c r="R490" s="64"/>
      <x:c r="S490" s="64"/>
      <x:c r="T490" s="64"/>
      <x:c r="U490" s="64"/>
      <x:c r="V490" s="64"/>
      <x:c r="W490" s="64"/>
      <x:c r="X490" s="64"/>
      <x:c r="Y490" s="64"/>
      <x:c r="Z490" s="64"/>
      <x:c r="AA490" s="64"/>
      <x:c r="AB490" s="64"/>
      <x:c r="AC490" s="64"/>
      <x:c r="AD490" s="64"/>
      <x:c r="AE490" s="64"/>
      <x:c r="AF490" s="64"/>
      <x:c r="AG490" s="64"/>
    </x:row>
    <x:row r="491">
      <x:c r="A491" s="64"/>
      <x:c r="B491" s="64"/>
      <x:c r="C491" s="64"/>
      <x:c r="D491" s="64"/>
      <x:c r="E491" s="64"/>
      <x:c r="F491" s="64"/>
      <x:c r="G491" s="64"/>
      <x:c r="H491" s="64"/>
      <x:c r="I491" s="64"/>
      <x:c r="J491" s="64"/>
      <x:c r="K491" s="64"/>
      <x:c r="L491" s="64"/>
      <x:c r="M491" s="64"/>
      <x:c r="N491" s="64"/>
      <x:c r="O491" s="64"/>
      <x:c r="P491" s="64"/>
      <x:c r="Q491" s="64"/>
      <x:c r="R491" s="64"/>
      <x:c r="S491" s="64"/>
      <x:c r="T491" s="64"/>
      <x:c r="U491" s="64"/>
      <x:c r="V491" s="64"/>
      <x:c r="W491" s="64"/>
      <x:c r="X491" s="64"/>
      <x:c r="Y491" s="64"/>
      <x:c r="Z491" s="64"/>
      <x:c r="AA491" s="64"/>
      <x:c r="AB491" s="64"/>
      <x:c r="AC491" s="64"/>
      <x:c r="AD491" s="64"/>
      <x:c r="AE491" s="64"/>
      <x:c r="AF491" s="64"/>
      <x:c r="AG491" s="64"/>
    </x:row>
    <x:row r="492">
      <x:c r="A492" s="64"/>
      <x:c r="B492" s="64"/>
      <x:c r="C492" s="64"/>
      <x:c r="D492" s="64"/>
      <x:c r="E492" s="64"/>
      <x:c r="F492" s="64"/>
      <x:c r="G492" s="64"/>
      <x:c r="H492" s="64"/>
      <x:c r="I492" s="64"/>
      <x:c r="J492" s="64"/>
      <x:c r="K492" s="64"/>
      <x:c r="L492" s="64"/>
      <x:c r="M492" s="64"/>
      <x:c r="N492" s="64"/>
      <x:c r="O492" s="64"/>
      <x:c r="P492" s="64"/>
      <x:c r="Q492" s="64"/>
      <x:c r="R492" s="64"/>
      <x:c r="S492" s="64"/>
      <x:c r="T492" s="64"/>
      <x:c r="U492" s="64"/>
      <x:c r="V492" s="64"/>
      <x:c r="W492" s="64"/>
      <x:c r="X492" s="64"/>
      <x:c r="Y492" s="64"/>
      <x:c r="Z492" s="64"/>
      <x:c r="AA492" s="64"/>
      <x:c r="AB492" s="64"/>
      <x:c r="AC492" s="64"/>
      <x:c r="AD492" s="64"/>
      <x:c r="AE492" s="64"/>
      <x:c r="AF492" s="64"/>
      <x:c r="AG492" s="64"/>
    </x:row>
    <x:row r="493">
      <x:c r="A493" s="64"/>
      <x:c r="B493" s="64"/>
      <x:c r="C493" s="64"/>
      <x:c r="D493" s="64"/>
      <x:c r="E493" s="64"/>
      <x:c r="F493" s="64"/>
      <x:c r="G493" s="64"/>
      <x:c r="H493" s="64"/>
      <x:c r="I493" s="64"/>
      <x:c r="J493" s="64"/>
      <x:c r="K493" s="64"/>
      <x:c r="L493" s="64"/>
      <x:c r="M493" s="64"/>
      <x:c r="N493" s="64"/>
      <x:c r="O493" s="64"/>
      <x:c r="P493" s="64"/>
      <x:c r="Q493" s="64"/>
      <x:c r="R493" s="64"/>
      <x:c r="S493" s="64"/>
      <x:c r="T493" s="64"/>
      <x:c r="U493" s="64"/>
      <x:c r="V493" s="64"/>
      <x:c r="W493" s="64"/>
      <x:c r="X493" s="64"/>
      <x:c r="Y493" s="64"/>
      <x:c r="Z493" s="64"/>
      <x:c r="AA493" s="64"/>
      <x:c r="AB493" s="64"/>
      <x:c r="AC493" s="64"/>
      <x:c r="AD493" s="64"/>
      <x:c r="AE493" s="64"/>
      <x:c r="AF493" s="64"/>
      <x:c r="AG493" s="64"/>
    </x:row>
    <x:row r="494">
      <x:c r="A494" s="64"/>
      <x:c r="B494" s="64"/>
      <x:c r="C494" s="64"/>
      <x:c r="D494" s="64"/>
      <x:c r="E494" s="64"/>
      <x:c r="F494" s="64"/>
      <x:c r="G494" s="64"/>
      <x:c r="H494" s="64"/>
      <x:c r="I494" s="64"/>
      <x:c r="J494" s="64"/>
      <x:c r="K494" s="64"/>
      <x:c r="L494" s="64"/>
      <x:c r="M494" s="64"/>
      <x:c r="N494" s="64"/>
      <x:c r="O494" s="64"/>
      <x:c r="P494" s="64"/>
      <x:c r="Q494" s="64"/>
      <x:c r="R494" s="64"/>
      <x:c r="S494" s="64"/>
      <x:c r="T494" s="64"/>
      <x:c r="U494" s="64"/>
      <x:c r="V494" s="64"/>
      <x:c r="W494" s="64"/>
      <x:c r="X494" s="64"/>
      <x:c r="Y494" s="64"/>
      <x:c r="Z494" s="64"/>
      <x:c r="AA494" s="64"/>
      <x:c r="AB494" s="64"/>
      <x:c r="AC494" s="64"/>
      <x:c r="AD494" s="64"/>
      <x:c r="AE494" s="64"/>
      <x:c r="AF494" s="64"/>
      <x:c r="AG494" s="64"/>
    </x:row>
    <x:row r="495">
      <x:c r="A495" s="64"/>
      <x:c r="B495" s="64"/>
      <x:c r="C495" s="64"/>
      <x:c r="D495" s="64"/>
      <x:c r="E495" s="64"/>
      <x:c r="F495" s="64"/>
      <x:c r="G495" s="64"/>
      <x:c r="H495" s="64"/>
      <x:c r="I495" s="64"/>
      <x:c r="J495" s="64"/>
      <x:c r="K495" s="64"/>
      <x:c r="L495" s="64"/>
      <x:c r="M495" s="64"/>
      <x:c r="N495" s="64"/>
      <x:c r="O495" s="64"/>
      <x:c r="P495" s="64"/>
      <x:c r="Q495" s="64"/>
      <x:c r="R495" s="64"/>
      <x:c r="S495" s="64"/>
      <x:c r="T495" s="64"/>
      <x:c r="U495" s="64"/>
      <x:c r="V495" s="64"/>
      <x:c r="W495" s="64"/>
      <x:c r="X495" s="64"/>
      <x:c r="Y495" s="64"/>
      <x:c r="Z495" s="64"/>
      <x:c r="AA495" s="64"/>
      <x:c r="AB495" s="64"/>
      <x:c r="AC495" s="64"/>
      <x:c r="AD495" s="64"/>
      <x:c r="AE495" s="64"/>
      <x:c r="AF495" s="64"/>
      <x:c r="AG495" s="64"/>
    </x:row>
    <x:row r="496">
      <x:c r="A496" s="64"/>
      <x:c r="B496" s="64"/>
      <x:c r="C496" s="64"/>
      <x:c r="D496" s="64"/>
      <x:c r="E496" s="64"/>
      <x:c r="F496" s="64"/>
      <x:c r="G496" s="64"/>
      <x:c r="H496" s="64"/>
      <x:c r="I496" s="64"/>
      <x:c r="J496" s="64"/>
      <x:c r="K496" s="64"/>
      <x:c r="L496" s="64"/>
      <x:c r="M496" s="64"/>
      <x:c r="N496" s="64"/>
      <x:c r="O496" s="64"/>
      <x:c r="P496" s="64"/>
      <x:c r="Q496" s="64"/>
      <x:c r="R496" s="64"/>
      <x:c r="S496" s="64"/>
      <x:c r="T496" s="64"/>
      <x:c r="U496" s="64"/>
      <x:c r="V496" s="64"/>
      <x:c r="W496" s="64"/>
      <x:c r="X496" s="64"/>
      <x:c r="Y496" s="64"/>
      <x:c r="Z496" s="64"/>
      <x:c r="AA496" s="64"/>
      <x:c r="AB496" s="64"/>
      <x:c r="AC496" s="64"/>
      <x:c r="AD496" s="64"/>
      <x:c r="AE496" s="64"/>
      <x:c r="AF496" s="64"/>
      <x:c r="AG496" s="64"/>
    </x:row>
    <x:row r="497">
      <x:c r="A497" s="64"/>
      <x:c r="B497" s="64"/>
      <x:c r="C497" s="64"/>
      <x:c r="D497" s="64"/>
      <x:c r="E497" s="64"/>
      <x:c r="F497" s="64"/>
      <x:c r="G497" s="64"/>
      <x:c r="H497" s="64"/>
      <x:c r="I497" s="64"/>
      <x:c r="J497" s="64"/>
      <x:c r="K497" s="64"/>
      <x:c r="L497" s="64"/>
      <x:c r="M497" s="64"/>
      <x:c r="N497" s="64"/>
      <x:c r="O497" s="64"/>
      <x:c r="P497" s="64"/>
      <x:c r="Q497" s="64"/>
      <x:c r="R497" s="64"/>
      <x:c r="S497" s="64"/>
      <x:c r="T497" s="64"/>
      <x:c r="U497" s="64"/>
      <x:c r="V497" s="64"/>
      <x:c r="W497" s="64"/>
      <x:c r="X497" s="64"/>
      <x:c r="Y497" s="64"/>
      <x:c r="Z497" s="64"/>
      <x:c r="AA497" s="64"/>
      <x:c r="AB497" s="64"/>
      <x:c r="AC497" s="64"/>
      <x:c r="AD497" s="64"/>
      <x:c r="AE497" s="64"/>
      <x:c r="AF497" s="64"/>
      <x:c r="AG497" s="64"/>
    </x:row>
    <x:row r="498">
      <x:c r="A498" s="64"/>
      <x:c r="B498" s="64"/>
      <x:c r="C498" s="64"/>
      <x:c r="D498" s="64"/>
      <x:c r="E498" s="64"/>
      <x:c r="F498" s="64"/>
      <x:c r="G498" s="64"/>
      <x:c r="H498" s="64"/>
      <x:c r="I498" s="64"/>
      <x:c r="J498" s="64"/>
      <x:c r="K498" s="64"/>
      <x:c r="L498" s="64"/>
      <x:c r="M498" s="64"/>
      <x:c r="N498" s="64"/>
      <x:c r="O498" s="64"/>
      <x:c r="P498" s="64"/>
      <x:c r="Q498" s="64"/>
      <x:c r="R498" s="64"/>
      <x:c r="S498" s="64"/>
      <x:c r="T498" s="64"/>
      <x:c r="U498" s="64"/>
      <x:c r="V498" s="64"/>
      <x:c r="W498" s="64"/>
      <x:c r="X498" s="64"/>
      <x:c r="Y498" s="64"/>
      <x:c r="Z498" s="64"/>
      <x:c r="AA498" s="64"/>
      <x:c r="AB498" s="64"/>
      <x:c r="AC498" s="64"/>
      <x:c r="AD498" s="64"/>
      <x:c r="AE498" s="64"/>
      <x:c r="AF498" s="64"/>
      <x:c r="AG498" s="64"/>
    </x:row>
    <x:row r="499">
      <x:c r="A499" s="64"/>
      <x:c r="B499" s="64"/>
      <x:c r="C499" s="64"/>
      <x:c r="D499" s="64"/>
      <x:c r="E499" s="64"/>
      <x:c r="F499" s="64"/>
      <x:c r="G499" s="64"/>
      <x:c r="H499" s="64"/>
      <x:c r="I499" s="64"/>
      <x:c r="J499" s="64"/>
      <x:c r="K499" s="64"/>
      <x:c r="L499" s="64"/>
      <x:c r="M499" s="64"/>
      <x:c r="N499" s="64"/>
      <x:c r="O499" s="64"/>
      <x:c r="P499" s="64"/>
      <x:c r="Q499" s="64"/>
      <x:c r="R499" s="64"/>
      <x:c r="S499" s="64"/>
      <x:c r="T499" s="64"/>
      <x:c r="U499" s="64"/>
      <x:c r="V499" s="64"/>
      <x:c r="W499" s="64"/>
      <x:c r="X499" s="64"/>
      <x:c r="Y499" s="64"/>
      <x:c r="Z499" s="64"/>
      <x:c r="AA499" s="64"/>
      <x:c r="AB499" s="64"/>
      <x:c r="AC499" s="64"/>
      <x:c r="AD499" s="64"/>
      <x:c r="AE499" s="64"/>
      <x:c r="AF499" s="64"/>
      <x:c r="AG499" s="64"/>
    </x:row>
    <x:row r="500">
      <x:c r="A500" s="64"/>
      <x:c r="B500" s="64"/>
      <x:c r="C500" s="64"/>
      <x:c r="D500" s="64"/>
      <x:c r="E500" s="64"/>
      <x:c r="F500" s="64"/>
      <x:c r="G500" s="64"/>
      <x:c r="H500" s="64"/>
      <x:c r="I500" s="64"/>
      <x:c r="J500" s="64"/>
      <x:c r="K500" s="64"/>
      <x:c r="L500" s="64"/>
      <x:c r="M500" s="64"/>
      <x:c r="N500" s="64"/>
      <x:c r="O500" s="64"/>
      <x:c r="P500" s="64"/>
      <x:c r="Q500" s="64"/>
      <x:c r="R500" s="64"/>
      <x:c r="S500" s="64"/>
      <x:c r="T500" s="64"/>
      <x:c r="U500" s="64"/>
      <x:c r="V500" s="64"/>
      <x:c r="W500" s="64"/>
      <x:c r="X500" s="64"/>
      <x:c r="Y500" s="64"/>
      <x:c r="Z500" s="64"/>
      <x:c r="AA500" s="64"/>
      <x:c r="AB500" s="64"/>
      <x:c r="AC500" s="64"/>
      <x:c r="AD500" s="64"/>
      <x:c r="AE500" s="64"/>
      <x:c r="AF500" s="64"/>
      <x:c r="AG500" s="64"/>
    </x:row>
    <x:row r="501">
      <x:c r="A501" s="64"/>
      <x:c r="B501" s="64"/>
      <x:c r="C501" s="64"/>
      <x:c r="D501" s="64"/>
      <x:c r="E501" s="64"/>
      <x:c r="F501" s="64"/>
      <x:c r="G501" s="64"/>
      <x:c r="H501" s="64"/>
      <x:c r="I501" s="64"/>
      <x:c r="J501" s="64"/>
      <x:c r="K501" s="64"/>
      <x:c r="L501" s="64"/>
      <x:c r="M501" s="64"/>
      <x:c r="N501" s="64"/>
      <x:c r="O501" s="64"/>
      <x:c r="P501" s="64"/>
      <x:c r="Q501" s="64"/>
      <x:c r="R501" s="64"/>
      <x:c r="S501" s="64"/>
      <x:c r="T501" s="64"/>
      <x:c r="U501" s="64"/>
      <x:c r="V501" s="64"/>
      <x:c r="W501" s="64"/>
      <x:c r="X501" s="64"/>
      <x:c r="Y501" s="64"/>
      <x:c r="Z501" s="64"/>
      <x:c r="AA501" s="64"/>
      <x:c r="AB501" s="64"/>
      <x:c r="AC501" s="64"/>
      <x:c r="AD501" s="64"/>
      <x:c r="AE501" s="64"/>
      <x:c r="AF501" s="64"/>
      <x:c r="AG501" s="64"/>
    </x:row>
    <x:row r="502">
      <x:c r="A502" s="64"/>
      <x:c r="B502" s="64"/>
      <x:c r="C502" s="64"/>
      <x:c r="D502" s="64"/>
      <x:c r="E502" s="64"/>
      <x:c r="F502" s="64"/>
      <x:c r="G502" s="64"/>
      <x:c r="H502" s="64"/>
      <x:c r="I502" s="64"/>
      <x:c r="J502" s="64"/>
      <x:c r="K502" s="64"/>
      <x:c r="L502" s="64"/>
      <x:c r="M502" s="64"/>
      <x:c r="N502" s="64"/>
      <x:c r="O502" s="64"/>
      <x:c r="P502" s="64"/>
      <x:c r="Q502" s="64"/>
      <x:c r="R502" s="64"/>
      <x:c r="S502" s="64"/>
      <x:c r="T502" s="64"/>
      <x:c r="U502" s="64"/>
      <x:c r="V502" s="64"/>
      <x:c r="W502" s="64"/>
      <x:c r="X502" s="64"/>
      <x:c r="Y502" s="64"/>
      <x:c r="Z502" s="64"/>
      <x:c r="AA502" s="64"/>
      <x:c r="AB502" s="64"/>
      <x:c r="AC502" s="64"/>
      <x:c r="AD502" s="64"/>
      <x:c r="AE502" s="64"/>
      <x:c r="AF502" s="64"/>
      <x:c r="AG502" s="64"/>
    </x:row>
    <x:row r="503">
      <x:c r="A503" s="64"/>
      <x:c r="B503" s="64"/>
      <x:c r="C503" s="64"/>
      <x:c r="D503" s="64"/>
      <x:c r="E503" s="64"/>
      <x:c r="F503" s="64"/>
      <x:c r="G503" s="64"/>
      <x:c r="H503" s="64"/>
      <x:c r="I503" s="64"/>
      <x:c r="J503" s="64"/>
      <x:c r="K503" s="64"/>
      <x:c r="L503" s="64"/>
      <x:c r="M503" s="64"/>
      <x:c r="N503" s="64"/>
      <x:c r="O503" s="64"/>
      <x:c r="P503" s="64"/>
      <x:c r="Q503" s="64"/>
      <x:c r="R503" s="64"/>
      <x:c r="S503" s="64"/>
      <x:c r="T503" s="64"/>
      <x:c r="U503" s="64"/>
      <x:c r="V503" s="64"/>
      <x:c r="W503" s="64"/>
      <x:c r="X503" s="64"/>
      <x:c r="Y503" s="64"/>
      <x:c r="Z503" s="64"/>
      <x:c r="AA503" s="64"/>
      <x:c r="AB503" s="64"/>
      <x:c r="AC503" s="64"/>
      <x:c r="AD503" s="64"/>
      <x:c r="AE503" s="64"/>
      <x:c r="AF503" s="64"/>
      <x:c r="AG503" s="64"/>
    </x:row>
    <x:row r="504">
      <x:c r="A504" s="64"/>
      <x:c r="B504" s="64"/>
      <x:c r="C504" s="64"/>
      <x:c r="D504" s="64"/>
      <x:c r="E504" s="64"/>
      <x:c r="F504" s="64"/>
      <x:c r="G504" s="64"/>
      <x:c r="H504" s="64"/>
      <x:c r="I504" s="64"/>
      <x:c r="J504" s="64"/>
      <x:c r="K504" s="64"/>
      <x:c r="L504" s="64"/>
      <x:c r="M504" s="64"/>
      <x:c r="N504" s="64"/>
      <x:c r="O504" s="64"/>
      <x:c r="P504" s="64"/>
      <x:c r="Q504" s="64"/>
      <x:c r="R504" s="64"/>
      <x:c r="S504" s="64"/>
      <x:c r="T504" s="64"/>
      <x:c r="U504" s="64"/>
      <x:c r="V504" s="64"/>
      <x:c r="W504" s="64"/>
      <x:c r="X504" s="64"/>
      <x:c r="Y504" s="64"/>
      <x:c r="Z504" s="64"/>
      <x:c r="AA504" s="64"/>
      <x:c r="AB504" s="64"/>
      <x:c r="AC504" s="64"/>
      <x:c r="AD504" s="64"/>
      <x:c r="AE504" s="64"/>
      <x:c r="AF504" s="64"/>
      <x:c r="AG504" s="64"/>
    </x:row>
  </x:sheetData>
  <x:mergeCells>
    <x:mergeCell ref="A1:D1"/>
    <x:mergeCell ref="A2:D2"/>
  </x:mergeCells>
  <x:pageMargins left="0.7" right="0.7" top="0.75" bottom="0.75" header="0.3" footer="0.3"/>
</x:worksheet>
</file>