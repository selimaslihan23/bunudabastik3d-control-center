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15f82a63cb140f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yarlar" sheetId="1" r:id="R3d98f173eecf430d"/>
    <x:sheet xmlns:r="http://schemas.openxmlformats.org/officeDocument/2006/relationships" name="Fiyat Hesaplama" sheetId="2" r:id="Rb277d7689c8a4c03"/>
    <x:sheet xmlns:r="http://schemas.openxmlformats.org/officeDocument/2006/relationships" name="Sipariş Formu" sheetId="3" r:id="Rf754b792c1264c98"/>
    <x:sheet xmlns:r="http://schemas.openxmlformats.org/officeDocument/2006/relationships" name="Üretim Takip" sheetId="4" r:id="Re63149ba14f54edc"/>
    <x:sheet xmlns:r="http://schemas.openxmlformats.org/officeDocument/2006/relationships" name="Stok" sheetId="5" r:id="R6cdecba1173a4896"/>
    <x:sheet xmlns:r="http://schemas.openxmlformats.org/officeDocument/2006/relationships" name="Kalite Kontrol" sheetId="6" r:id="R3b02c313edd64ddf"/>
    <x:sheet xmlns:r="http://schemas.openxmlformats.org/officeDocument/2006/relationships" name="Mesaj Şablonları" sheetId="7" r:id="R15ba033e75e64daa"/>
    <x:sheet xmlns:r="http://schemas.openxmlformats.org/officeDocument/2006/relationships" name="İçerik Takvimi" sheetId="8" r:id="R93d2da040dca4202"/>
    <x:sheet xmlns:r="http://schemas.openxmlformats.org/officeDocument/2006/relationships" name="Dashboard" sheetId="9" r:id="Rf524ab3a0579499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0">
    <x:numFmt numFmtId="200" formatCode="0%"/>
    <x:numFmt numFmtId="201" formatCode="#,##0.00"/>
    <x:numFmt numFmtId="202" formatCode="#,##0"/>
    <x:numFmt numFmtId="203" formatCode="#,##0.000"/>
    <x:numFmt numFmtId="204" formatCode="yyyy-mm-dd"/>
    <x:numFmt numFmtId="205" formatCode="#,##0.00 ₺"/>
    <x:numFmt numFmtId="206" formatCode="#,##0 ₺"/>
    <x:numFmt numFmtId="207" formatCode="yyyy-mm-dd hh:mm"/>
    <x:numFmt numFmtId="208" formatCode="0.00"/>
    <x:numFmt numFmtId="209" formatCode="#,##0.000 ₺"/>
  </x:numFmts>
  <x:fonts count="10">
    <x:font>
      <x:sz val="11"/>
      <x:name val="Carlito"/>
    </x:font>
    <x:font>
      <x:b/>
      <x:sz val="15"/>
      <x:color rgb="FFFFFF"/>
      <x:name val="Carlito"/>
    </x:font>
    <x:font>
      <x:b/>
      <x:sz val="11"/>
      <x:color rgb="FFFFFF"/>
      <x:name val="Carlito"/>
    </x:font>
    <x:font>
      <x:sz val="11"/>
      <x:color rgb="334155"/>
      <x:name val="Carlito"/>
    </x:font>
    <x:font>
      <x:b/>
      <x:sz val="11"/>
      <x:color rgb="4C1D95"/>
      <x:name val="Carlito"/>
    </x:font>
    <x:font>
      <x:b/>
      <x:sz val="10"/>
      <x:color rgb="FFFFFF"/>
      <x:name val="Arial"/>
    </x:font>
    <x:font>
      <x:sz val="10"/>
      <x:name val="Arial"/>
    </x:font>
    <x:font>
      <x:sz val="10"/>
      <x:color rgb="334155"/>
      <x:name val="Arial"/>
    </x:font>
    <x:font>
      <x:b/>
      <x:sz val="10"/>
      <x:color rgb="4C1D95"/>
      <x:name val="Arial"/>
    </x:font>
    <x:font>
      <x:b/>
      <x:sz val="15"/>
      <x:color rgb="FFFFFF"/>
      <x:name val="Arial"/>
    </x:font>
  </x:fonts>
  <x:fills count="6">
    <x:fill>
      <x:patternFill patternType="none"/>
    </x:fill>
    <x:fill>
      <x:patternFill patternType="gray125"/>
    </x:fill>
    <x:fill>
      <x:patternFill patternType="solid">
        <x:fgColor rgb="4C1D95"/>
      </x:patternFill>
    </x:fill>
    <x:fill>
      <x:patternFill patternType="solid">
        <x:fgColor rgb="6D28D9"/>
      </x:patternFill>
    </x:fill>
    <x:fill>
      <x:patternFill patternType="solid">
        <x:fgColor rgb="F8FAFC"/>
      </x:patternFill>
    </x:fill>
    <x:fill>
      <x:patternFill patternType="solid">
        <x:fgColor rgb="EDE9FE"/>
      </x:patternFill>
    </x:fill>
  </x:fills>
  <x:borders count="2">
    <x:border/>
    <x:border/>
  </x:borders>
  <x:cellStyleXfs count="1">
    <x:xf numFmtId="0" fontId="0" fillId="0" borderId="0"/>
  </x:cellStyleXfs>
  <x:cellXfs count="12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wrapText="1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202" fontId="0" fillId="0" borderId="0" xfId="0" applyNumberFormat="1" applyFont="1" applyFill="1" applyBorder="1"/>
    <x:xf numFmtId="202" fontId="0" fillId="0" borderId="1" xfId="0" applyNumberFormat="1" applyFont="1" applyFill="1" applyBorder="1"/>
    <x:xf numFmtId="203" fontId="0" fillId="0" borderId="0" xfId="0" applyNumberFormat="1" applyFont="1" applyFill="1" applyBorder="1"/>
    <x:xf numFmtId="203" fontId="0" fillId="0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201" fontId="0" fillId="0" borderId="0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202" fontId="0" fillId="0" borderId="0" xfId="0" applyNumberFormat="1" applyFont="1" applyFill="1" applyBorder="1" applyAlignment="1">
      <x:alignment wrapText="1"/>
    </x:xf>
    <x:xf numFmtId="203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201" fontId="0" fillId="0" borderId="1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202" fontId="0" fillId="0" borderId="1" xfId="0" applyNumberFormat="1" applyFont="1" applyFill="1" applyBorder="1" applyAlignment="1">
      <x:alignment wrapText="1"/>
    </x:xf>
    <x:xf numFmtId="203" fontId="0" fillId="0" borderId="1" xfId="0" applyNumberFormat="1" applyFont="1" applyFill="1" applyBorder="1" applyAlignment="1">
      <x:alignment wrapText="1"/>
    </x:xf>
    <x:xf numFmtId="204" fontId="0" fillId="0" borderId="0" xfId="0" applyNumberFormat="1" applyFont="1" applyFill="1" applyBorder="1"/>
    <x:xf numFmtId="204" fontId="0" fillId="0" borderId="1" xfId="0" applyNumberFormat="1" applyFont="1" applyFill="1" applyBorder="1"/>
    <x:xf numFmtId="205" fontId="0" fillId="0" borderId="0" xfId="0" applyNumberFormat="1" applyFont="1" applyFill="1" applyBorder="1"/>
    <x:xf numFmtId="205" fontId="0" fillId="0" borderId="1" xfId="0" applyNumberFormat="1" applyFont="1" applyFill="1" applyBorder="1"/>
    <x:xf numFmtId="206" fontId="0" fillId="0" borderId="0" xfId="0" applyNumberFormat="1" applyFont="1" applyFill="1" applyBorder="1"/>
    <x:xf numFmtId="206" fontId="0" fillId="0" borderId="1" xfId="0" applyNumberFormat="1" applyFont="1" applyFill="1" applyBorder="1"/>
    <x:xf numFmtId="204" fontId="0" fillId="0" borderId="0" xfId="0" applyNumberFormat="1" applyFont="1" applyFill="1" applyBorder="1" applyAlignment="1">
      <x:alignment wrapText="1"/>
    </x:xf>
    <x:xf numFmtId="205" fontId="0" fillId="0" borderId="0" xfId="0" applyNumberFormat="1" applyFont="1" applyFill="1" applyBorder="1" applyAlignment="1">
      <x:alignment wrapText="1"/>
    </x:xf>
    <x:xf numFmtId="206" fontId="0" fillId="0" borderId="0" xfId="0" applyNumberFormat="1" applyFont="1" applyFill="1" applyBorder="1" applyAlignment="1">
      <x:alignment wrapText="1"/>
    </x:xf>
    <x:xf numFmtId="204" fontId="0" fillId="0" borderId="1" xfId="0" applyNumberFormat="1" applyFont="1" applyFill="1" applyBorder="1" applyAlignment="1">
      <x:alignment wrapText="1"/>
    </x:xf>
    <x:xf numFmtId="205" fontId="0" fillId="0" borderId="1" xfId="0" applyNumberFormat="1" applyFont="1" applyFill="1" applyBorder="1" applyAlignment="1">
      <x:alignment wrapText="1"/>
    </x:xf>
    <x:xf numFmtId="206" fontId="0" fillId="0" borderId="1" xfId="0" applyNumberFormat="1" applyFont="1" applyFill="1" applyBorder="1" applyAlignment="1">
      <x:alignment wrapText="1"/>
    </x:xf>
    <x:xf numFmtId="207" fontId="0" fillId="0" borderId="0" xfId="0" applyNumberFormat="1" applyFont="1" applyFill="1" applyBorder="1"/>
    <x:xf numFmtId="207" fontId="0" fillId="0" borderId="1" xfId="0" applyNumberFormat="1" applyFont="1" applyFill="1" applyBorder="1"/>
    <x:xf numFmtId="208" fontId="0" fillId="0" borderId="0" xfId="0" applyNumberFormat="1" applyFont="1" applyFill="1" applyBorder="1"/>
    <x:xf numFmtId="208" fontId="0" fillId="0" borderId="1" xfId="0" applyNumberFormat="1" applyFont="1" applyFill="1" applyBorder="1"/>
    <x:xf numFmtId="207" fontId="0" fillId="0" borderId="0" xfId="0" applyNumberFormat="1" applyFont="1" applyFill="1" applyBorder="1" applyAlignment="1">
      <x:alignment wrapText="1"/>
    </x:xf>
    <x:xf numFmtId="208" fontId="0" fillId="0" borderId="0" xfId="0" applyNumberFormat="1" applyFont="1" applyFill="1" applyBorder="1" applyAlignment="1">
      <x:alignment wrapText="1"/>
    </x:xf>
    <x:xf numFmtId="207" fontId="0" fillId="0" borderId="1" xfId="0" applyNumberFormat="1" applyFont="1" applyFill="1" applyBorder="1" applyAlignment="1">
      <x:alignment wrapText="1"/>
    </x:xf>
    <x:xf numFmtId="208" fontId="0" fillId="0" borderId="1" xfId="0" applyNumberFormat="1" applyFont="1" applyFill="1" applyBorder="1" applyAlignment="1">
      <x:alignment wrapText="1"/>
    </x:xf>
    <x:xf numFmtId="209" fontId="0" fillId="0" borderId="0" xfId="0" applyNumberFormat="1" applyFont="1" applyFill="1" applyBorder="1"/>
    <x:xf numFmtId="209" fontId="0" fillId="0" borderId="1" xfId="0" applyNumberFormat="1" applyFont="1" applyFill="1" applyBorder="1"/>
    <x:xf numFmtId="209" fontId="0" fillId="0" borderId="0" xfId="0" applyNumberFormat="1" applyFont="1" applyFill="1" applyBorder="1" applyAlignment="1">
      <x:alignment wrapText="1"/>
    </x:xf>
    <x:xf numFmtId="209" fontId="0" fillId="0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vertical="top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vertical="top"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horizontal="left"/>
    </x:xf>
    <x:xf numFmtId="0" fontId="4" fillId="5" borderId="0" xfId="0" applyNumberFormat="1" applyFont="1" applyFill="1" applyBorder="1" applyAlignment="1">
      <x:alignment horizontal="left" vertical="center"/>
    </x:xf>
    <x:xf numFmtId="0" fontId="0" fillId="5" borderId="1" xfId="0" applyNumberFormat="1" applyFont="1" applyFill="1" applyBorder="1"/>
    <x:xf numFmtId="0" fontId="4" fillId="5" borderId="1" xfId="0" applyNumberFormat="1" applyFont="1" applyFill="1" applyBorder="1"/>
    <x:xf numFmtId="0" fontId="4" fillId="5" borderId="1" xfId="0" applyNumberFormat="1" applyFont="1" applyFill="1" applyBorder="1" applyAlignment="1">
      <x:alignment horizontal="left"/>
    </x:xf>
    <x:xf numFmtId="0" fontId="4" fillId="5" borderId="1" xfId="0" applyNumberFormat="1" applyFont="1" applyFill="1" applyBorder="1" applyAlignment="1">
      <x:alignment horizontal="left" vertical="center"/>
    </x:xf>
    <x:xf numFmtId="0" fontId="4" fillId="0" borderId="0" xfId="0" applyNumberFormat="1" applyFont="1" applyFill="1" applyBorder="1" applyAlignment="1">
      <x:alignment wrapText="1"/>
    </x:xf>
    <x:xf numFmtId="206" fontId="4" fillId="0" borderId="0" xfId="0" applyNumberFormat="1" applyFont="1" applyFill="1" applyBorder="1" applyAlignment="1">
      <x:alignment wrapText="1"/>
    </x:xf>
    <x:xf numFmtId="0" fontId="4" fillId="0" borderId="1" xfId="0" applyNumberFormat="1" applyFont="1" applyFill="1" applyBorder="1" applyAlignment="1">
      <x:alignment wrapText="1"/>
    </x:xf>
    <x:xf numFmtId="206" fontId="4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center" wrapText="1"/>
    </x:xf>
    <x:xf numFmtId="0" fontId="4" fillId="0" borderId="0" xfId="0" applyNumberFormat="1" applyFont="1" applyFill="1" applyBorder="1" applyAlignment="1">
      <x:alignment vertical="center" wrapText="1"/>
    </x:xf>
    <x:xf numFmtId="206" fontId="4" fillId="0" borderId="0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center" wrapText="1"/>
    </x:xf>
    <x:xf numFmtId="0" fontId="4" fillId="0" borderId="1" xfId="0" applyNumberFormat="1" applyFont="1" applyFill="1" applyBorder="1" applyAlignment="1">
      <x:alignment vertical="center" wrapText="1"/>
    </x:xf>
    <x:xf numFmtId="206" fontId="4" fillId="0" borderId="1" xfId="0" applyNumberFormat="1" applyFont="1" applyFill="1" applyBorder="1" applyAlignment="1">
      <x:alignment vertical="center" wrapText="1"/>
    </x:xf>
    <x:xf numFmtId="0" fontId="5" fillId="2" borderId="0" xfId="0" applyNumberFormat="1" applyFont="1" applyFill="1" applyBorder="1" applyAlignment="1">
      <x:alignment horizontal="center" vertical="center"/>
    </x:xf>
    <x:xf numFmtId="0" fontId="6" fillId="0" borderId="0" xfId="0" applyNumberFormat="1" applyFont="1" applyFill="1" applyBorder="1"/>
    <x:xf numFmtId="0" fontId="7" fillId="4" borderId="0" xfId="0" applyNumberFormat="1" applyFont="1" applyFill="1" applyBorder="1" applyAlignment="1">
      <x:alignment vertical="top" wrapText="1"/>
    </x:xf>
    <x:xf numFmtId="0" fontId="5" fillId="3" borderId="0" xfId="0" applyNumberFormat="1" applyFont="1" applyFill="1" applyBorder="1" applyAlignment="1">
      <x:alignment horizontal="center" vertical="center" wrapText="1"/>
    </x:xf>
    <x:xf numFmtId="0" fontId="6" fillId="0" borderId="0" xfId="0" applyNumberFormat="1" applyFont="1" applyFill="1" applyBorder="1" applyAlignment="1">
      <x:alignment vertical="center" wrapText="1"/>
    </x:xf>
    <x:xf numFmtId="0" fontId="8" fillId="0" borderId="0" xfId="0" applyNumberFormat="1" applyFont="1" applyFill="1" applyBorder="1" applyAlignment="1">
      <x:alignment vertical="center" wrapText="1"/>
    </x:xf>
    <x:xf numFmtId="206" fontId="8" fillId="0" borderId="0" xfId="0" applyNumberFormat="1" applyFont="1" applyFill="1" applyBorder="1" applyAlignment="1">
      <x:alignment vertical="center" wrapText="1"/>
    </x:xf>
    <x:xf numFmtId="0" fontId="6" fillId="0" borderId="0" xfId="0" applyNumberFormat="1" applyFont="1" applyFill="1" applyBorder="1" applyAlignment="1">
      <x:alignment wrapText="1"/>
    </x:xf>
    <x:xf numFmtId="0" fontId="8" fillId="5" borderId="0" xfId="0" applyNumberFormat="1" applyFont="1" applyFill="1" applyBorder="1" applyAlignment="1">
      <x:alignment horizontal="left" vertical="center"/>
    </x:xf>
    <x:xf numFmtId="0" fontId="5" fillId="2" borderId="1" xfId="0" applyNumberFormat="1" applyFont="1" applyFill="1" applyBorder="1" applyAlignment="1">
      <x:alignment horizontal="center" vertical="center"/>
    </x:xf>
    <x:xf numFmtId="0" fontId="6" fillId="0" borderId="1" xfId="0" applyNumberFormat="1" applyFont="1" applyFill="1" applyBorder="1"/>
    <x:xf numFmtId="0" fontId="7" fillId="4" borderId="1" xfId="0" applyNumberFormat="1" applyFont="1" applyFill="1" applyBorder="1" applyAlignment="1">
      <x:alignment vertical="top" wrapText="1"/>
    </x:xf>
    <x:xf numFmtId="0" fontId="5" fillId="3" borderId="1" xfId="0" applyNumberFormat="1" applyFont="1" applyFill="1" applyBorder="1" applyAlignment="1">
      <x:alignment horizontal="center" vertical="center" wrapText="1"/>
    </x:xf>
    <x:xf numFmtId="0" fontId="6" fillId="0" borderId="1" xfId="0" applyNumberFormat="1" applyFont="1" applyFill="1" applyBorder="1" applyAlignment="1">
      <x:alignment vertical="center" wrapText="1"/>
    </x:xf>
    <x:xf numFmtId="0" fontId="8" fillId="0" borderId="1" xfId="0" applyNumberFormat="1" applyFont="1" applyFill="1" applyBorder="1" applyAlignment="1">
      <x:alignment vertical="center" wrapText="1"/>
    </x:xf>
    <x:xf numFmtId="206" fontId="8" fillId="0" borderId="1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wrapText="1"/>
    </x:xf>
    <x:xf numFmtId="0" fontId="8" fillId="5" borderId="1" xfId="0" applyNumberFormat="1" applyFont="1" applyFill="1" applyBorder="1" applyAlignment="1">
      <x:alignment horizontal="left" vertical="center"/>
    </x:xf>
    <x:xf numFmtId="201" fontId="6" fillId="0" borderId="0" xfId="0" applyNumberFormat="1" applyFont="1" applyFill="1" applyBorder="1" applyAlignment="1">
      <x:alignment wrapText="1"/>
    </x:xf>
    <x:xf numFmtId="200" fontId="6" fillId="0" borderId="0" xfId="0" applyNumberFormat="1" applyFont="1" applyFill="1" applyBorder="1" applyAlignment="1">
      <x:alignment wrapText="1"/>
    </x:xf>
    <x:xf numFmtId="202" fontId="6" fillId="0" borderId="0" xfId="0" applyNumberFormat="1" applyFont="1" applyFill="1" applyBorder="1" applyAlignment="1">
      <x:alignment wrapText="1"/>
    </x:xf>
    <x:xf numFmtId="203" fontId="6" fillId="0" borderId="0" xfId="0" applyNumberFormat="1" applyFont="1" applyFill="1" applyBorder="1" applyAlignment="1">
      <x:alignment wrapText="1"/>
    </x:xf>
    <x:xf numFmtId="201" fontId="6" fillId="0" borderId="1" xfId="0" applyNumberFormat="1" applyFont="1" applyFill="1" applyBorder="1" applyAlignment="1">
      <x:alignment wrapText="1"/>
    </x:xf>
    <x:xf numFmtId="200" fontId="6" fillId="0" borderId="1" xfId="0" applyNumberFormat="1" applyFont="1" applyFill="1" applyBorder="1" applyAlignment="1">
      <x:alignment wrapText="1"/>
    </x:xf>
    <x:xf numFmtId="202" fontId="6" fillId="0" borderId="1" xfId="0" applyNumberFormat="1" applyFont="1" applyFill="1" applyBorder="1" applyAlignment="1">
      <x:alignment wrapText="1"/>
    </x:xf>
    <x:xf numFmtId="203" fontId="6" fillId="0" borderId="1" xfId="0" applyNumberFormat="1" applyFont="1" applyFill="1" applyBorder="1" applyAlignment="1">
      <x:alignment wrapText="1"/>
    </x:xf>
    <x:xf numFmtId="204" fontId="6" fillId="0" borderId="0" xfId="0" applyNumberFormat="1" applyFont="1" applyFill="1" applyBorder="1" applyAlignment="1">
      <x:alignment wrapText="1"/>
    </x:xf>
    <x:xf numFmtId="205" fontId="6" fillId="0" borderId="0" xfId="0" applyNumberFormat="1" applyFont="1" applyFill="1" applyBorder="1" applyAlignment="1">
      <x:alignment wrapText="1"/>
    </x:xf>
    <x:xf numFmtId="206" fontId="6" fillId="0" borderId="0" xfId="0" applyNumberFormat="1" applyFont="1" applyFill="1" applyBorder="1" applyAlignment="1">
      <x:alignment wrapText="1"/>
    </x:xf>
    <x:xf numFmtId="204" fontId="6" fillId="0" borderId="1" xfId="0" applyNumberFormat="1" applyFont="1" applyFill="1" applyBorder="1" applyAlignment="1">
      <x:alignment wrapText="1"/>
    </x:xf>
    <x:xf numFmtId="205" fontId="6" fillId="0" borderId="1" xfId="0" applyNumberFormat="1" applyFont="1" applyFill="1" applyBorder="1" applyAlignment="1">
      <x:alignment wrapText="1"/>
    </x:xf>
    <x:xf numFmtId="206" fontId="6" fillId="0" borderId="1" xfId="0" applyNumberFormat="1" applyFont="1" applyFill="1" applyBorder="1" applyAlignment="1">
      <x:alignment wrapText="1"/>
    </x:xf>
    <x:xf numFmtId="207" fontId="6" fillId="0" borderId="0" xfId="0" applyNumberFormat="1" applyFont="1" applyFill="1" applyBorder="1" applyAlignment="1">
      <x:alignment wrapText="1"/>
    </x:xf>
    <x:xf numFmtId="208" fontId="6" fillId="0" borderId="0" xfId="0" applyNumberFormat="1" applyFont="1" applyFill="1" applyBorder="1" applyAlignment="1">
      <x:alignment wrapText="1"/>
    </x:xf>
    <x:xf numFmtId="207" fontId="6" fillId="0" borderId="1" xfId="0" applyNumberFormat="1" applyFont="1" applyFill="1" applyBorder="1" applyAlignment="1">
      <x:alignment wrapText="1"/>
    </x:xf>
    <x:xf numFmtId="208" fontId="6" fillId="0" borderId="1" xfId="0" applyNumberFormat="1" applyFont="1" applyFill="1" applyBorder="1" applyAlignment="1">
      <x:alignment wrapText="1"/>
    </x:xf>
    <x:xf numFmtId="209" fontId="6" fillId="0" borderId="0" xfId="0" applyNumberFormat="1" applyFont="1" applyFill="1" applyBorder="1" applyAlignment="1">
      <x:alignment wrapText="1"/>
    </x:xf>
    <x:xf numFmtId="209" fontId="6" fillId="0" borderId="1" xfId="0" applyNumberFormat="1" applyFont="1" applyFill="1" applyBorder="1" applyAlignment="1">
      <x:alignment wrapText="1"/>
    </x:xf>
    <x:xf numFmtId="0" fontId="9" fillId="2" borderId="0" xfId="0" applyNumberFormat="1" applyFont="1" applyFill="1" applyBorder="1" applyAlignment="1">
      <x:alignment horizontal="center" vertical="center"/>
    </x:xf>
    <x:xf numFmtId="0" fontId="9" fillId="2" borderId="1" xfId="0" applyNumberFormat="1" applyFont="1" applyFill="1" applyBorder="1" applyAlignment="1">
      <x:alignment horizontal="center" vertical="center"/>
    </x:xf>
  </x:cellXfs>
  <x:cellStyles count="1">
    <x:cellStyle name="Normal" xfId="0"/>
  </x:cellStyles>
  <x:dxfs count="17">
    <x:dxf>
      <x:fill>
        <x:patternFill patternType="solid">
          <x:bgColor rgb="DCFCE7"/>
        </x:patternFill>
      </x:fill>
    </x:dxf>
    <x:dxf>
      <x:fill>
        <x:patternFill patternType="solid">
          <x:bgColor rgb="DBEAFE"/>
        </x:patternFill>
      </x:fill>
    </x:dxf>
    <x:dxf>
      <x:fill>
        <x:patternFill patternType="solid">
          <x:bgColor rgb="FEE2E2"/>
        </x:patternFill>
      </x:fill>
    </x:dxf>
    <x:dxf>
      <x:fill>
        <x:patternFill patternType="solid">
          <x:bgColor rgb="FEF9C3"/>
        </x:patternFill>
      </x:fill>
    </x:dxf>
    <x:dxf>
      <x:fill>
        <x:patternFill patternType="solid">
          <x:bgColor rgb="DBEAFE"/>
        </x:patternFill>
      </x:fill>
    </x:dxf>
    <x:dxf>
      <x:fill>
        <x:patternFill patternType="solid">
          <x:bgColor rgb="DCFCE7"/>
        </x:patternFill>
      </x:fill>
    </x:dxf>
    <x:dxf>
      <x:fill>
        <x:patternFill patternType="solid">
          <x:bgColor rgb="FEE2E2"/>
        </x:patternFill>
      </x:fill>
    </x:dxf>
    <x:dxf>
      <x:fill>
        <x:patternFill patternType="solid">
          <x:bgColor rgb="FEE2E2"/>
        </x:patternFill>
      </x:fill>
    </x:dxf>
    <x:dxf>
      <x:fill>
        <x:patternFill patternType="solid">
          <x:bgColor rgb="FEE2E2"/>
        </x:patternFill>
      </x:fill>
    </x:dxf>
    <x:dxf>
      <x:fill>
        <x:patternFill patternType="solid">
          <x:bgColor rgb="FEF9C3"/>
        </x:patternFill>
      </x:fill>
    </x:dxf>
    <x:dxf>
      <x:fill>
        <x:patternFill patternType="solid">
          <x:bgColor rgb="DCFCE7"/>
        </x:patternFill>
      </x:fill>
    </x:dxf>
    <x:dxf>
      <x:fill>
        <x:patternFill patternType="solid">
          <x:bgColor rgb="DCFCE7"/>
        </x:patternFill>
      </x:fill>
    </x:dxf>
    <x:dxf>
      <x:fill>
        <x:patternFill patternType="solid">
          <x:bgColor rgb="FEF9C3"/>
        </x:patternFill>
      </x:fill>
    </x:dxf>
    <x:dxf>
      <x:fill>
        <x:patternFill patternType="solid">
          <x:bgColor rgb="FEE2E2"/>
        </x:patternFill>
      </x:fill>
    </x:dxf>
    <x:dxf>
      <x:fill>
        <x:patternFill patternType="solid">
          <x:bgColor rgb="DCFCE7"/>
        </x:patternFill>
      </x:fill>
    </x:dxf>
    <x:dxf>
      <x:fill>
        <x:patternFill patternType="solid">
          <x:bgColor rgb="DBEAFE"/>
        </x:patternFill>
      </x:fill>
    </x:dxf>
    <x:dxf>
      <x:fill>
        <x:patternFill patternType="solid">
          <x:bgColor rgb="FEE2E2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43f4eced62e4e7c" /><Relationship Type="http://schemas.openxmlformats.org/officeDocument/2006/relationships/theme" Target="/xl/theme/theme1.xml" Id="R9b34c2f6dadc4852" /><Relationship Type="http://schemas.openxmlformats.org/officeDocument/2006/relationships/sharedStrings" Target="/xl/sharedStrings.xml" Id="Rcc9f1f019735475f" /><Relationship Type="http://schemas.openxmlformats.org/officeDocument/2006/relationships/worksheet" Target="/xl/worksheets/sheet1.xml" Id="R3d98f173eecf430d" /><Relationship Type="http://schemas.openxmlformats.org/officeDocument/2006/relationships/worksheet" Target="/xl/worksheets/sheet2.xml" Id="Rb277d7689c8a4c03" /><Relationship Type="http://schemas.openxmlformats.org/officeDocument/2006/relationships/worksheet" Target="/xl/worksheets/sheet3.xml" Id="Rf754b792c1264c98" /><Relationship Type="http://schemas.openxmlformats.org/officeDocument/2006/relationships/worksheet" Target="/xl/worksheets/sheet4.xml" Id="Re63149ba14f54edc" /><Relationship Type="http://schemas.openxmlformats.org/officeDocument/2006/relationships/worksheet" Target="/xl/worksheets/sheet5.xml" Id="R6cdecba1173a4896" /><Relationship Type="http://schemas.openxmlformats.org/officeDocument/2006/relationships/worksheet" Target="/xl/worksheets/sheet6.xml" Id="R3b02c313edd64ddf" /><Relationship Type="http://schemas.openxmlformats.org/officeDocument/2006/relationships/worksheet" Target="/xl/worksheets/sheet7.xml" Id="R15ba033e75e64daa" /><Relationship Type="http://schemas.openxmlformats.org/officeDocument/2006/relationships/worksheet" Target="/xl/worksheets/sheet8.xml" Id="R93d2da040dca4202" /><Relationship Type="http://schemas.openxmlformats.org/officeDocument/2006/relationships/worksheet" Target="/xl/worksheets/sheet9.xml" Id="Rf524ab3a0579499f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758fde33ea3c4c40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Teklif Durumu Dağılımı</a:t>
            </a:r>
          </a:p>
        </c:rich>
      </c:tx>
      <c:overlay val="0"/>
    </c:title>
    <c:autoTitleDeleted val="0"/>
    <c:plotArea>
      <c:layout/>
      <c:barChart>
        <c:barDir val="col"/>
        <c:varyColors val="0"/>
        <c:ser>
          <c:idx val="0"/>
          <c:order val="0"/>
          <c:tx>
            <c:v>Adet</c:v>
          </c:tx>
          <c:cat>
            <c:strRef>
              <c:f>'Dashboard'!$D$5:$D$13</c:f>
              <c:strCache>
                <c:ptCount val="0"/>
              </c:strCache>
            </c:strRef>
          </c:cat>
          <c:val>
            <c:numRef>
              <c:f>'Dashboard'!$E$5:$E$13</c:f>
              <c:numCache>
                <c:formatCode/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crossAx val="48650112"/>
        <c:crosses val="autoZero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6</xdr:col>
      <xdr:colOff>0</xdr:colOff>
      <xdr:row>3</xdr:row>
      <xdr:rowOff>0</xdr:rowOff>
    </xdr:from>
    <xdr:to>
      <xdr:col>14</xdr:col>
      <xdr:colOff>0</xdr:colOff>
      <xdr:row>18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758fde33ea3c4c40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PricingTable" displayName="PricingTable" ref="A2:Z102" headerRowCount="1">
  <x:tableColumns count="26">
    <x:tableColumn id="1" name="Teklif No"/>
    <x:tableColumn id="2" name="Tarih"/>
    <x:tableColumn id="3" name="Müşteri"/>
    <x:tableColumn id="4" name="Ürün / Parça"/>
    <x:tableColumn id="5" name="Malzeme"/>
    <x:tableColumn id="6" name="Renk"/>
    <x:tableColumn id="7" name="Model Gramajı (g)"/>
    <x:tableColumn id="8" name="Destek Gramajı (g)"/>
    <x:tableColumn id="9" name="Baskı Süresi (saat)"/>
    <x:tableColumn id="10" name="Adet"/>
    <x:tableColumn id="11" name="Tasarım Süresi (saat)"/>
    <x:tableColumn id="12" name="Son İşlem (saat)"/>
    <x:tableColumn id="13" name="Ekstra Maliyet (TL)"/>
    <x:tableColumn id="14" name="Malzeme Maliyeti"/>
    <x:tableColumn id="15" name="Destek Maliyeti"/>
    <x:tableColumn id="16" name="Elektrik"/>
    <x:tableColumn id="17" name="Makine Payı"/>
    <x:tableColumn id="18" name="İşçilik"/>
    <x:tableColumn id="19" name="Ara Toplam"/>
    <x:tableColumn id="20" name="Kâr Oranı"/>
    <x:tableColumn id="21" name="Önerilen Fiyat"/>
    <x:tableColumn id="22" name="Uygulanan Fiyat"/>
    <x:tableColumn id="23" name="Kapora"/>
    <x:tableColumn id="24" name="Kalan Ödeme"/>
    <x:tableColumn id="25" name="Durum"/>
    <x:tableColumn id="26" name="Not"/>
  </x:tableColumns>
  <x:tableStyleInfo name="TableStyleMedium2" showRowStripes="1"/>
</x:table>
</file>

<file path=xl/tables/table2.xml><?xml version="1.0" encoding="utf-8"?>
<x:table xmlns:x="http://schemas.openxmlformats.org/spreadsheetml/2006/main" id="2" name="OrderFormTable" displayName="OrderFormTable" ref="A3:F16" headerRowCount="1">
  <x:tableColumns count="6">
    <x:tableColumn id="1" name="Soru / Alan"/>
    <x:tableColumn id="2" name="Tip"/>
    <x:tableColumn id="3" name="Zorunlu mu?"/>
    <x:tableColumn id="4" name="Seçenekler / Açıklama"/>
    <x:tableColumn id="5" name="Nereye Aktarılır?"/>
    <x:tableColumn id="6" name="Müşteriye Görünen Not"/>
  </x:tableColumns>
  <x:tableStyleInfo name="TableStyleMedium2" showRowStripes="1"/>
</x:table>
</file>

<file path=xl/tables/table3.xml><?xml version="1.0" encoding="utf-8"?>
<x:table xmlns:x="http://schemas.openxmlformats.org/spreadsheetml/2006/main" id="3" name="ProductionTable" displayName="ProductionTable" ref="A2:Q102" headerRowCount="1">
  <x:tableColumns count="17">
    <x:tableColumn id="1" name="İş No"/>
    <x:tableColumn id="2" name="Teklif No"/>
    <x:tableColumn id="3" name="Müşteri"/>
    <x:tableColumn id="4" name="Parça"/>
    <x:tableColumn id="5" name="Yazıcı"/>
    <x:tableColumn id="6" name="Malzeme"/>
    <x:tableColumn id="7" name="Renk"/>
    <x:tableColumn id="8" name="Başlangıç"/>
    <x:tableColumn id="9" name="Bitiş"/>
    <x:tableColumn id="10" name="Baskı Süresi"/>
    <x:tableColumn id="11" name="Durum"/>
    <x:tableColumn id="12" name="Öncelik"/>
    <x:tableColumn id="13" name="Sorumlu"/>
    <x:tableColumn id="14" name="STL/3MF Linki"/>
    <x:tableColumn id="15" name="Fotoğraf Linki"/>
    <x:tableColumn id="16" name="Teslim Tarihi"/>
    <x:tableColumn id="17" name="Not"/>
  </x:tableColumns>
  <x:tableStyleInfo name="TableStyleMedium2" showRowStripes="1"/>
</x:table>
</file>

<file path=xl/tables/table4.xml><?xml version="1.0" encoding="utf-8"?>
<x:table xmlns:x="http://schemas.openxmlformats.org/spreadsheetml/2006/main" id="4" name="StockTable" displayName="StockTable" ref="A2:L102" headerRowCount="1">
  <x:tableColumns count="12">
    <x:tableColumn id="1" name="Malzeme"/>
    <x:tableColumn id="2" name="Renk"/>
    <x:tableColumn id="3" name="Marka"/>
    <x:tableColumn id="4" name="Makara Başlangıç (g)"/>
    <x:tableColumn id="5" name="Kalan (g)"/>
    <x:tableColumn id="6" name="Ayrılan (g)"/>
    <x:tableColumn id="7" name="Kritik Eşik (g)"/>
    <x:tableColumn id="8" name="Durum"/>
    <x:tableColumn id="9" name="KG Fiyatı"/>
    <x:tableColumn id="10" name="Gram Maliyeti"/>
    <x:tableColumn id="11" name="Son Alım Tarihi"/>
    <x:tableColumn id="12" name="Not"/>
  </x:tableColumns>
  <x:tableStyleInfo name="TableStyleMedium2" showRowStripes="1"/>
</x:table>
</file>

<file path=xl/tables/table5.xml><?xml version="1.0" encoding="utf-8"?>
<x:table xmlns:x="http://schemas.openxmlformats.org/spreadsheetml/2006/main" id="5" name="QCTable" displayName="QCTable" ref="A3:H103" headerRowCount="1">
  <x:tableColumns count="8">
    <x:tableColumn id="1" name="İş No"/>
    <x:tableColumn id="2" name="Teklif No"/>
    <x:tableColumn id="3" name="Kontrol Maddesi"/>
    <x:tableColumn id="4" name="Sonuç"/>
    <x:tableColumn id="5" name="Ölçüm / Değer"/>
    <x:tableColumn id="6" name="Sorumlu"/>
    <x:tableColumn id="7" name="Tarih"/>
    <x:tableColumn id="8" name="Not"/>
  </x:tableColumns>
  <x:tableStyleInfo name="TableStyleMedium2" showRowStripes="1"/>
</x:table>
</file>

<file path=xl/tables/table6.xml><?xml version="1.0" encoding="utf-8"?>
<x:table xmlns:x="http://schemas.openxmlformats.org/spreadsheetml/2006/main" id="6" name="MessagesTable" displayName="MessagesTable" ref="A3:E12" headerRowCount="1">
  <x:tableColumns count="5">
    <x:tableColumn id="1" name="Aşama"/>
    <x:tableColumn id="2" name="Kanal"/>
    <x:tableColumn id="3" name="Hazır Mesaj"/>
    <x:tableColumn id="4" name="Ne Zaman Kullanılır?"/>
    <x:tableColumn id="5" name="Not"/>
  </x:tableColumns>
  <x:tableStyleInfo name="TableStyleMedium2" showRowStripes="1"/>
</x:table>
</file>

<file path=xl/tables/table7.xml><?xml version="1.0" encoding="utf-8"?>
<x:table xmlns:x="http://schemas.openxmlformats.org/spreadsheetml/2006/main" id="7" name="ContentTable" displayName="ContentTable" ref="A3:I103" headerRowCount="1">
  <x:tableColumns count="9">
    <x:tableColumn id="1" name="Tarih"/>
    <x:tableColumn id="2" name="Platform"/>
    <x:tableColumn id="3" name="İçerik Türü"/>
    <x:tableColumn id="4" name="Konu"/>
    <x:tableColumn id="5" name="Çekim Notu"/>
    <x:tableColumn id="6" name="Durum"/>
    <x:tableColumn id="7" name="Yayın Saati"/>
    <x:tableColumn id="8" name="CTA"/>
    <x:tableColumn id="9" name="Not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b2426ed076dc4ded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8a20b069b3764810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aaf630ce71e5455a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4f301d1ec6a84484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3a94c840518c4cdf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1150c956f7464192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9658889692c0412a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drawing" Target="/xl/drawings/drawing1.xml" Id="R68e9f2d2b3b348b7" /></Relationships>
</file>

<file path=xl/worksheets/sheet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4" hidden="0" customWidth="1"/>
    <x:col min="3" max="3" width="14" hidden="0" customWidth="1"/>
    <x:col min="4" max="4" width="36" hidden="0" customWidth="1"/>
    <x:col min="5" max="5" width="22" hidden="0" customWidth="1"/>
    <x:col min="7" max="7" width="18" hidden="0" customWidth="1"/>
    <x:col min="8" max="8" width="22" hidden="0" customWidth="1"/>
    <x:col min="9" max="9" width="18" hidden="0" customWidth="1"/>
    <x:col min="10" max="10" width="18" hidden="0" customWidth="1"/>
    <x:col min="11" max="11" width="12" hidden="0" customWidth="1"/>
  </x:cols>
  <x:sheetData>
    <x:row r="1">
      <x:c r="A1" s="126" t="str">
        <x:v>BunuDaBastık3D - Entegrasyon Ayarları</x:v>
      </x:c>
      <x:c r="B1" s="126"/>
      <x:c r="C1" s="126"/>
      <x:c r="D1" s="126"/>
      <x:c r="E1" s="126"/>
      <x:c r="F1" s="89"/>
      <x:c r="G1" s="89"/>
      <x:c r="H1" s="89"/>
      <x:c r="I1" s="89"/>
      <x:c r="J1" s="89"/>
      <x:c r="K1" s="89"/>
      <x:c r="L1" s="89"/>
      <x:c r="M1" s="89"/>
      <x:c r="N1" s="89"/>
      <x:c r="O1" s="89"/>
      <x:c r="P1" s="89"/>
      <x:c r="Q1" s="89"/>
      <x:c r="R1" s="89"/>
      <x:c r="S1" s="89"/>
      <x:c r="T1" s="89"/>
      <x:c r="U1" s="89"/>
      <x:c r="V1" s="89"/>
      <x:c r="W1" s="89"/>
      <x:c r="X1" s="89"/>
      <x:c r="Y1" s="89"/>
      <x:c r="Z1" s="89"/>
    </x:row>
    <x:row r="2">
      <x:c r="A2" s="89"/>
      <x:c r="B2" s="89"/>
      <x:c r="C2" s="89"/>
      <x:c r="D2" s="89"/>
      <x:c r="E2" s="89"/>
      <x:c r="F2" s="89"/>
      <x:c r="G2" s="89"/>
      <x:c r="H2" s="89"/>
      <x:c r="I2" s="89"/>
      <x:c r="J2" s="89"/>
      <x:c r="K2" s="89"/>
      <x:c r="L2" s="89"/>
      <x:c r="M2" s="89"/>
      <x:c r="N2" s="89"/>
      <x:c r="O2" s="89"/>
      <x:c r="P2" s="89"/>
      <x:c r="Q2" s="89"/>
      <x:c r="R2" s="89"/>
      <x:c r="S2" s="89"/>
      <x:c r="T2" s="89"/>
      <x:c r="U2" s="89"/>
      <x:c r="V2" s="89"/>
      <x:c r="W2" s="89"/>
      <x:c r="X2" s="89"/>
      <x:c r="Y2" s="89"/>
      <x:c r="Z2" s="89"/>
    </x:row>
    <x:row r="3">
      <x:c r="A3" s="91" t="str">
        <x:v>Genel Ayarlar</x:v>
      </x:c>
      <x:c r="B3" s="91" t="str">
        <x:v>Değer</x:v>
      </x:c>
      <x:c r="C3" s="91" t="str">
        <x:v>Birim</x:v>
      </x:c>
      <x:c r="D3" s="91" t="str">
        <x:v>Açıklama</x:v>
      </x:c>
      <x:c r="E3" s="91" t="str">
        <x:v>Kullanım</x:v>
      </x:c>
      <x:c r="F3" s="89"/>
      <x:c r="G3" s="91" t="str">
        <x:v>Malzeme Listesi</x:v>
      </x:c>
      <x:c r="H3" s="91" t="str">
        <x:v>Teklif Durumu</x:v>
      </x:c>
      <x:c r="I3" s="91" t="str">
        <x:v>Üretim Durumu</x:v>
      </x:c>
      <x:c r="J3" s="91" t="str">
        <x:v>Ödeme Durumu</x:v>
      </x:c>
      <x:c r="K3" s="91" t="str">
        <x:v>Öncelik</x:v>
      </x:c>
      <x:c r="L3" s="89"/>
      <x:c r="M3" s="89"/>
      <x:c r="N3" s="89"/>
      <x:c r="O3" s="89"/>
      <x:c r="P3" s="89"/>
      <x:c r="Q3" s="89"/>
      <x:c r="R3" s="89"/>
      <x:c r="S3" s="89"/>
      <x:c r="T3" s="89"/>
      <x:c r="U3" s="89"/>
      <x:c r="V3" s="89"/>
      <x:c r="W3" s="89"/>
      <x:c r="X3" s="89"/>
      <x:c r="Y3" s="89"/>
      <x:c r="Z3" s="89"/>
    </x:row>
    <x:row r="4">
      <x:c r="A4" s="95" t="str">
        <x:v>Minimum Sipariş Tutarı</x:v>
      </x:c>
      <x:c r="B4" s="106" t="n">
        <x:v>250</x:v>
      </x:c>
      <x:c r="C4" s="95" t="str">
        <x:v>TL</x:v>
      </x:c>
      <x:c r="D4" s="95" t="str">
        <x:v>Bu tutarın altındaki fiyat otomatik minimuma çekilir.</x:v>
      </x:c>
      <x:c r="E4" s="95" t="str">
        <x:v>Fiyat Hesaplama</x:v>
      </x:c>
      <x:c r="F4" s="89"/>
      <x:c r="G4" s="89" t="str">
        <x:v>PLA</x:v>
      </x:c>
      <x:c r="H4" s="89" t="str">
        <x:v>Yeni Talep</x:v>
      </x:c>
      <x:c r="I4" s="89" t="str">
        <x:v>Dosya Kontrol</x:v>
      </x:c>
      <x:c r="J4" s="89" t="str">
        <x:v>Ödeme Bekliyor</x:v>
      </x:c>
      <x:c r="K4" s="89" t="str">
        <x:v>Düşük</x:v>
      </x:c>
      <x:c r="L4" s="89"/>
      <x:c r="M4" s="89"/>
      <x:c r="N4" s="89"/>
      <x:c r="O4" s="89"/>
      <x:c r="P4" s="89"/>
      <x:c r="Q4" s="89"/>
      <x:c r="R4" s="89"/>
      <x:c r="S4" s="89"/>
      <x:c r="T4" s="89"/>
      <x:c r="U4" s="89"/>
      <x:c r="V4" s="89"/>
      <x:c r="W4" s="89"/>
      <x:c r="X4" s="89"/>
      <x:c r="Y4" s="89"/>
      <x:c r="Z4" s="89"/>
    </x:row>
    <x:row r="5">
      <x:c r="A5" s="95" t="str">
        <x:v>Makine Saat Ücreti</x:v>
      </x:c>
      <x:c r="B5" s="106" t="n">
        <x:v>70</x:v>
      </x:c>
      <x:c r="C5" s="95" t="str">
        <x:v>TL/saat</x:v>
      </x:c>
      <x:c r="D5" s="95" t="str">
        <x:v>Yazıcı kullanım, bakım ve amortisman payı.</x:v>
      </x:c>
      <x:c r="E5" s="95" t="str">
        <x:v>Fiyat Hesaplama</x:v>
      </x:c>
      <x:c r="F5" s="89"/>
      <x:c r="G5" s="89" t="str">
        <x:v>PETG</x:v>
      </x:c>
      <x:c r="H5" s="89" t="str">
        <x:v>Teklif Hazırlanıyor</x:v>
      </x:c>
      <x:c r="I5" s="89" t="str">
        <x:v>Baskıya Hazır</x:v>
      </x:c>
      <x:c r="J5" s="89" t="str">
        <x:v>Kısmi Ödendi</x:v>
      </x:c>
      <x:c r="K5" s="89" t="str">
        <x:v>Normal</x:v>
      </x:c>
      <x:c r="L5" s="89"/>
      <x:c r="M5" s="89"/>
      <x:c r="N5" s="89"/>
      <x:c r="O5" s="89"/>
      <x:c r="P5" s="89"/>
      <x:c r="Q5" s="89"/>
      <x:c r="R5" s="89"/>
      <x:c r="S5" s="89"/>
      <x:c r="T5" s="89"/>
      <x:c r="U5" s="89"/>
      <x:c r="V5" s="89"/>
      <x:c r="W5" s="89"/>
      <x:c r="X5" s="89"/>
      <x:c r="Y5" s="89"/>
      <x:c r="Z5" s="89"/>
    </x:row>
    <x:row r="6">
      <x:c r="A6" s="95" t="str">
        <x:v>Elektrik Birim Fiyatı</x:v>
      </x:c>
      <x:c r="B6" s="106" t="n">
        <x:v>4</x:v>
      </x:c>
      <x:c r="C6" s="95" t="str">
        <x:v>TL/kWh</x:v>
      </x:c>
      <x:c r="D6" s="95" t="str">
        <x:v>Gerekirse yerel tarifeye göre güncelle.</x:v>
      </x:c>
      <x:c r="E6" s="95" t="str">
        <x:v>Fiyat Hesaplama</x:v>
      </x:c>
      <x:c r="F6" s="89"/>
      <x:c r="G6" s="89" t="str">
        <x:v>ABS</x:v>
      </x:c>
      <x:c r="H6" s="89" t="str">
        <x:v>Teklif Verildi</x:v>
      </x:c>
      <x:c r="I6" s="89" t="str">
        <x:v>Baskıda</x:v>
      </x:c>
      <x:c r="J6" s="89" t="str">
        <x:v>Ödendi</x:v>
      </x:c>
      <x:c r="K6" s="89" t="str">
        <x:v>Yüksek</x:v>
      </x:c>
      <x:c r="L6" s="89"/>
      <x:c r="M6" s="89"/>
      <x:c r="N6" s="89"/>
      <x:c r="O6" s="89"/>
      <x:c r="P6" s="89"/>
      <x:c r="Q6" s="89"/>
      <x:c r="R6" s="89"/>
      <x:c r="S6" s="89"/>
      <x:c r="T6" s="89"/>
      <x:c r="U6" s="89"/>
      <x:c r="V6" s="89"/>
      <x:c r="W6" s="89"/>
      <x:c r="X6" s="89"/>
      <x:c r="Y6" s="89"/>
      <x:c r="Z6" s="89"/>
    </x:row>
    <x:row r="7">
      <x:c r="A7" s="95" t="str">
        <x:v>Yazıcı Ortalama Güç</x:v>
      </x:c>
      <x:c r="B7" s="106" t="n">
        <x:v>0.25</x:v>
      </x:c>
      <x:c r="C7" s="95" t="str">
        <x:v>kW</x:v>
      </x:c>
      <x:c r="D7" s="95" t="str">
        <x:v>Tahmini güç tüketimi. İlk ölçümlerde güncelle.</x:v>
      </x:c>
      <x:c r="E7" s="95" t="str">
        <x:v>Fiyat Hesaplama</x:v>
      </x:c>
      <x:c r="F7" s="89"/>
      <x:c r="G7" s="89" t="str">
        <x:v>ASA</x:v>
      </x:c>
      <x:c r="H7" s="89" t="str">
        <x:v>Onay Bekliyor</x:v>
      </x:c>
      <x:c r="I7" s="89" t="str">
        <x:v>Son İşlem</x:v>
      </x:c>
      <x:c r="J7" s="89" t="str">
        <x:v>Kapora Alındı</x:v>
      </x:c>
      <x:c r="K7" s="89" t="str">
        <x:v>Acil</x:v>
      </x:c>
      <x:c r="L7" s="89"/>
      <x:c r="M7" s="89"/>
      <x:c r="N7" s="89"/>
      <x:c r="O7" s="89"/>
      <x:c r="P7" s="89"/>
      <x:c r="Q7" s="89"/>
      <x:c r="R7" s="89"/>
      <x:c r="S7" s="89"/>
      <x:c r="T7" s="89"/>
      <x:c r="U7" s="89"/>
      <x:c r="V7" s="89"/>
      <x:c r="W7" s="89"/>
      <x:c r="X7" s="89"/>
      <x:c r="Y7" s="89"/>
      <x:c r="Z7" s="89"/>
    </x:row>
    <x:row r="8">
      <x:c r="A8" s="95" t="str">
        <x:v>İşçilik Saat Ücreti</x:v>
      </x:c>
      <x:c r="B8" s="106" t="n">
        <x:v>180</x:v>
      </x:c>
      <x:c r="C8" s="95" t="str">
        <x:v>TL/saat</x:v>
      </x:c>
      <x:c r="D8" s="95" t="str">
        <x:v>Tasarım, destek sökme, temizlik ve paketleme için.</x:v>
      </x:c>
      <x:c r="E8" s="95" t="str">
        <x:v>Fiyat Hesaplama</x:v>
      </x:c>
      <x:c r="F8" s="89"/>
      <x:c r="G8" s="89" t="str">
        <x:v>TPU 95A</x:v>
      </x:c>
      <x:c r="H8" s="89" t="str">
        <x:v>Onaylandı</x:v>
      </x:c>
      <x:c r="I8" s="89" t="str">
        <x:v>Paketlendi</x:v>
      </x:c>
      <x:c r="J8" s="89" t="str">
        <x:v>İade/İptal</x:v>
      </x:c>
      <x:c r="K8" s="89" t="str"/>
      <x:c r="L8" s="89"/>
      <x:c r="M8" s="89"/>
      <x:c r="N8" s="89"/>
      <x:c r="O8" s="89"/>
      <x:c r="P8" s="89"/>
      <x:c r="Q8" s="89"/>
      <x:c r="R8" s="89"/>
      <x:c r="S8" s="89"/>
      <x:c r="T8" s="89"/>
      <x:c r="U8" s="89"/>
      <x:c r="V8" s="89"/>
      <x:c r="W8" s="89"/>
      <x:c r="X8" s="89"/>
      <x:c r="Y8" s="89"/>
      <x:c r="Z8" s="89"/>
    </x:row>
    <x:row r="9">
      <x:c r="A9" s="95" t="str">
        <x:v>Varsayılan Kâr Oranı</x:v>
      </x:c>
      <x:c r="B9" s="107" t="n">
        <x:v>0.45</x:v>
      </x:c>
      <x:c r="C9" s="95" t="str">
        <x:v>%</x:v>
      </x:c>
      <x:c r="D9" s="95" t="str">
        <x:v>Tekliflerde önerilen kâr oranı.</x:v>
      </x:c>
      <x:c r="E9" s="95" t="str">
        <x:v>Fiyat Hesaplama</x:v>
      </x:c>
      <x:c r="F9" s="89"/>
      <x:c r="G9" s="89" t="str">
        <x:v>PA-CF</x:v>
      </x:c>
      <x:c r="H9" s="89" t="str">
        <x:v>Baskıya Hazır</x:v>
      </x:c>
      <x:c r="I9" s="89" t="str">
        <x:v>Teslim Edildi</x:v>
      </x:c>
      <x:c r="J9" s="89" t="str"/>
      <x:c r="K9" s="89" t="str"/>
      <x:c r="L9" s="89"/>
      <x:c r="M9" s="89"/>
      <x:c r="N9" s="89"/>
      <x:c r="O9" s="89"/>
      <x:c r="P9" s="89"/>
      <x:c r="Q9" s="89"/>
      <x:c r="R9" s="89"/>
      <x:c r="S9" s="89"/>
      <x:c r="T9" s="89"/>
      <x:c r="U9" s="89"/>
      <x:c r="V9" s="89"/>
      <x:c r="W9" s="89"/>
      <x:c r="X9" s="89"/>
      <x:c r="Y9" s="89"/>
      <x:c r="Z9" s="89"/>
    </x:row>
    <x:row r="10">
      <x:c r="A10" s="95" t="str">
        <x:v>Fire Payı</x:v>
      </x:c>
      <x:c r="B10" s="107" t="n">
        <x:v>0.08</x:v>
      </x:c>
      <x:c r="C10" s="95" t="str">
        <x:v>%</x:v>
      </x:c>
      <x:c r="D10" s="95" t="str">
        <x:v>Gramaj üstüne eklenen baskı fire payı.</x:v>
      </x:c>
      <x:c r="E10" s="95" t="str">
        <x:v>Fiyat Hesaplama</x:v>
      </x:c>
      <x:c r="F10" s="89"/>
      <x:c r="G10" s="89" t="str">
        <x:v>Support</x:v>
      </x:c>
      <x:c r="H10" s="89" t="str">
        <x:v>Baskıda</x:v>
      </x:c>
      <x:c r="I10" s="89" t="str">
        <x:v>İptal</x:v>
      </x:c>
      <x:c r="J10" s="89" t="str"/>
      <x:c r="K10" s="89" t="str"/>
      <x:c r="L10" s="89"/>
      <x:c r="M10" s="89"/>
      <x:c r="N10" s="89"/>
      <x:c r="O10" s="89"/>
      <x:c r="P10" s="89"/>
      <x:c r="Q10" s="89"/>
      <x:c r="R10" s="89"/>
      <x:c r="S10" s="89"/>
      <x:c r="T10" s="89"/>
      <x:c r="U10" s="89"/>
      <x:c r="V10" s="89"/>
      <x:c r="W10" s="89"/>
      <x:c r="X10" s="89"/>
      <x:c r="Y10" s="89"/>
      <x:c r="Z10" s="89"/>
    </x:row>
    <x:row r="11">
      <x:c r="A11" s="95" t="str">
        <x:v>Kapora Oranı Önerisi</x:v>
      </x:c>
      <x:c r="B11" s="108" t="n">
        <x:v>0.5</x:v>
      </x:c>
      <x:c r="C11" s="95" t="str">
        <x:v>%</x:v>
      </x:c>
      <x:c r="D11" s="95" t="str">
        <x:v>Özel işlerde önerilen kapora oranı.</x:v>
      </x:c>
      <x:c r="E11" s="95" t="str">
        <x:v>Ödeme</x:v>
      </x:c>
      <x:c r="F11" s="89"/>
      <x:c r="G11" s="89" t="str"/>
      <x:c r="H11" s="89" t="str">
        <x:v>Teslim Edildi</x:v>
      </x:c>
      <x:c r="I11" s="89" t="str"/>
      <x:c r="J11" s="89" t="str"/>
      <x:c r="K11" s="89" t="str"/>
      <x:c r="L11" s="89"/>
      <x:c r="M11" s="89"/>
      <x:c r="N11" s="89"/>
      <x:c r="O11" s="89"/>
      <x:c r="P11" s="89"/>
      <x:c r="Q11" s="89"/>
      <x:c r="R11" s="89"/>
      <x:c r="S11" s="89"/>
      <x:c r="T11" s="89"/>
      <x:c r="U11" s="89"/>
      <x:c r="V11" s="89"/>
      <x:c r="W11" s="89"/>
      <x:c r="X11" s="89"/>
      <x:c r="Y11" s="89"/>
      <x:c r="Z11" s="89"/>
    </x:row>
    <x:row r="12">
      <x:c r="A12" s="95" t="str">
        <x:v>Standart Teslim Süresi</x:v>
      </x:c>
      <x:c r="B12" s="108" t="n">
        <x:v>3</x:v>
      </x:c>
      <x:c r="C12" s="95" t="str">
        <x:v>gün</x:v>
      </x:c>
      <x:c r="D12" s="95" t="str">
        <x:v>Basit baskılar için hedef teslim süresi.</x:v>
      </x:c>
      <x:c r="E12" s="95" t="str">
        <x:v>Üretim Takip</x:v>
      </x:c>
      <x:c r="F12" s="89"/>
      <x:c r="G12" s="89" t="str"/>
      <x:c r="H12" s="89" t="str">
        <x:v>İptal</x:v>
      </x:c>
      <x:c r="I12" s="89" t="str"/>
      <x:c r="J12" s="89" t="str"/>
      <x:c r="K12" s="89" t="str"/>
      <x:c r="L12" s="89"/>
      <x:c r="M12" s="89"/>
      <x:c r="N12" s="89"/>
      <x:c r="O12" s="89"/>
      <x:c r="P12" s="89"/>
      <x:c r="Q12" s="89"/>
      <x:c r="R12" s="89"/>
      <x:c r="S12" s="89"/>
      <x:c r="T12" s="89"/>
      <x:c r="U12" s="89"/>
      <x:c r="V12" s="89"/>
      <x:c r="W12" s="89"/>
      <x:c r="X12" s="89"/>
      <x:c r="Y12" s="89"/>
      <x:c r="Z12" s="89"/>
    </x:row>
    <x:row r="13">
      <x:c r="A13" s="95"/>
      <x:c r="B13" s="95"/>
      <x:c r="C13" s="95"/>
      <x:c r="D13" s="95"/>
      <x:c r="E13" s="95"/>
      <x:c r="F13" s="89"/>
      <x:c r="G13" s="89"/>
      <x:c r="H13" s="89"/>
      <x:c r="I13" s="89"/>
      <x:c r="J13" s="89"/>
      <x:c r="K13" s="89"/>
      <x:c r="L13" s="89"/>
      <x:c r="M13" s="89"/>
      <x:c r="N13" s="89"/>
      <x:c r="O13" s="89"/>
      <x:c r="P13" s="89"/>
      <x:c r="Q13" s="89"/>
      <x:c r="R13" s="89"/>
      <x:c r="S13" s="89"/>
      <x:c r="T13" s="89"/>
      <x:c r="U13" s="89"/>
      <x:c r="V13" s="89"/>
      <x:c r="W13" s="89"/>
      <x:c r="X13" s="89"/>
      <x:c r="Y13" s="89"/>
      <x:c r="Z13" s="89"/>
    </x:row>
    <x:row r="14">
      <x:c r="A14" s="95"/>
      <x:c r="B14" s="95"/>
      <x:c r="C14" s="95"/>
      <x:c r="D14" s="95"/>
      <x:c r="E14" s="95"/>
      <x:c r="F14" s="89"/>
      <x:c r="G14" s="89"/>
      <x:c r="H14" s="89"/>
      <x:c r="I14" s="89"/>
      <x:c r="J14" s="89"/>
      <x:c r="K14" s="89"/>
      <x:c r="L14" s="89"/>
      <x:c r="M14" s="89"/>
      <x:c r="N14" s="89"/>
      <x:c r="O14" s="89"/>
      <x:c r="P14" s="89"/>
      <x:c r="Q14" s="89"/>
      <x:c r="R14" s="89"/>
      <x:c r="S14" s="89"/>
      <x:c r="T14" s="89"/>
      <x:c r="U14" s="89"/>
      <x:c r="V14" s="89"/>
      <x:c r="W14" s="89"/>
      <x:c r="X14" s="89"/>
      <x:c r="Y14" s="89"/>
      <x:c r="Z14" s="89"/>
    </x:row>
    <x:row r="15">
      <x:c r="A15" s="91" t="str">
        <x:v>Malzeme</x:v>
      </x:c>
      <x:c r="B15" s="91" t="str">
        <x:v>KG Fiyatı</x:v>
      </x:c>
      <x:c r="C15" s="91" t="str">
        <x:v>Gram Maliyeti</x:v>
      </x:c>
      <x:c r="D15" s="91" t="str">
        <x:v>Önerilen Kullanım</x:v>
      </x:c>
      <x:c r="E15" s="91" t="str">
        <x:v>Not</x:v>
      </x:c>
      <x:c r="F15" s="89"/>
      <x:c r="G15" s="89"/>
      <x:c r="H15" s="89"/>
      <x:c r="I15" s="89"/>
      <x:c r="J15" s="89"/>
      <x:c r="K15" s="89"/>
      <x:c r="L15" s="89"/>
      <x:c r="M15" s="89"/>
      <x:c r="N15" s="89"/>
      <x:c r="O15" s="89"/>
      <x:c r="P15" s="89"/>
      <x:c r="Q15" s="89"/>
      <x:c r="R15" s="89"/>
      <x:c r="S15" s="89"/>
      <x:c r="T15" s="89"/>
      <x:c r="U15" s="89"/>
      <x:c r="V15" s="89"/>
      <x:c r="W15" s="89"/>
      <x:c r="X15" s="89"/>
      <x:c r="Y15" s="89"/>
      <x:c r="Z15" s="89"/>
    </x:row>
    <x:row r="16">
      <x:c r="A16" s="95" t="str">
        <x:v>PLA</x:v>
      </x:c>
      <x:c r="B16" s="109" t="n">
        <x:v>600</x:v>
      </x:c>
      <x:c r="C16" s="109" t="n">
        <x:f>B16/1000</x:f>
        <x:v>0.6</x:v>
      </x:c>
      <x:c r="D16" s="95" t="str">
        <x:v>Dekor, figür, maket, hızlı prototip</x:v>
      </x:c>
      <x:c r="E16" s="95" t="str">
        <x:v>En güvenli başlangıç malzemesi</x:v>
      </x:c>
      <x:c r="F16" s="89"/>
      <x:c r="G16" s="89"/>
      <x:c r="H16" s="89"/>
      <x:c r="I16" s="89"/>
      <x:c r="J16" s="89"/>
      <x:c r="K16" s="89"/>
      <x:c r="L16" s="89"/>
      <x:c r="M16" s="89"/>
      <x:c r="N16" s="89"/>
      <x:c r="O16" s="89"/>
      <x:c r="P16" s="89"/>
      <x:c r="Q16" s="89"/>
      <x:c r="R16" s="89"/>
      <x:c r="S16" s="89"/>
      <x:c r="T16" s="89"/>
      <x:c r="U16" s="89"/>
      <x:c r="V16" s="89"/>
      <x:c r="W16" s="89"/>
      <x:c r="X16" s="89"/>
      <x:c r="Y16" s="89"/>
      <x:c r="Z16" s="89"/>
    </x:row>
    <x:row r="17">
      <x:c r="A17" s="95" t="str">
        <x:v>PETG</x:v>
      </x:c>
      <x:c r="B17" s="109" t="n">
        <x:v>750</x:v>
      </x:c>
      <x:c r="C17" s="109" t="n">
        <x:f>B17/1000</x:f>
        <x:v>0.75</x:v>
      </x:c>
      <x:c r="D17" s="95" t="str">
        <x:v>Aparat, tutucu, mekanik parça</x:v>
      </x:c>
      <x:c r="E17" s="95" t="str">
        <x:v>Dayanım/kolay baskı dengesi iyi</x:v>
      </x:c>
      <x:c r="F17" s="89"/>
      <x:c r="G17" s="89"/>
      <x:c r="H17" s="89"/>
      <x:c r="I17" s="89"/>
      <x:c r="J17" s="89"/>
      <x:c r="K17" s="89"/>
      <x:c r="L17" s="89"/>
      <x:c r="M17" s="89"/>
      <x:c r="N17" s="89"/>
      <x:c r="O17" s="89"/>
      <x:c r="P17" s="89"/>
      <x:c r="Q17" s="89"/>
      <x:c r="R17" s="89"/>
      <x:c r="S17" s="89"/>
      <x:c r="T17" s="89"/>
      <x:c r="U17" s="89"/>
      <x:c r="V17" s="89"/>
      <x:c r="W17" s="89"/>
      <x:c r="X17" s="89"/>
      <x:c r="Y17" s="89"/>
      <x:c r="Z17" s="89"/>
    </x:row>
    <x:row r="18">
      <x:c r="A18" s="95" t="str">
        <x:v>ABS</x:v>
      </x:c>
      <x:c r="B18" s="109" t="n">
        <x:v>850</x:v>
      </x:c>
      <x:c r="C18" s="109" t="n">
        <x:f>B18/1000</x:f>
        <x:v>0.85</x:v>
      </x:c>
      <x:c r="D18" s="95" t="str">
        <x:v>Isıya dayanıklı teknik parça</x:v>
      </x:c>
      <x:c r="E18" s="95" t="str">
        <x:v>Kapalı kabin ve havalandırma gerekir</x:v>
      </x:c>
      <x:c r="F18" s="89"/>
      <x:c r="G18" s="89"/>
      <x:c r="H18" s="89"/>
      <x:c r="I18" s="89"/>
      <x:c r="J18" s="89"/>
      <x:c r="K18" s="89"/>
      <x:c r="L18" s="89"/>
      <x:c r="M18" s="89"/>
      <x:c r="N18" s="89"/>
      <x:c r="O18" s="89"/>
      <x:c r="P18" s="89"/>
      <x:c r="Q18" s="89"/>
      <x:c r="R18" s="89"/>
      <x:c r="S18" s="89"/>
      <x:c r="T18" s="89"/>
      <x:c r="U18" s="89"/>
      <x:c r="V18" s="89"/>
      <x:c r="W18" s="89"/>
      <x:c r="X18" s="89"/>
      <x:c r="Y18" s="89"/>
      <x:c r="Z18" s="89"/>
    </x:row>
    <x:row r="19">
      <x:c r="A19" s="95" t="str">
        <x:v>ASA</x:v>
      </x:c>
      <x:c r="B19" s="109" t="n">
        <x:v>950</x:v>
      </x:c>
      <x:c r="C19" s="109" t="n">
        <x:f>B19/1000</x:f>
        <x:v>0.95</x:v>
      </x:c>
      <x:c r="D19" s="95" t="str">
        <x:v>Dış ortam, UV dayanımı</x:v>
      </x:c>
      <x:c r="E19" s="95" t="str">
        <x:v>Araç, dış mekân ve aparat işleri</x:v>
      </x:c>
      <x:c r="F19" s="89"/>
      <x:c r="G19" s="89"/>
      <x:c r="H19" s="89"/>
      <x:c r="I19" s="89"/>
      <x:c r="J19" s="89"/>
      <x:c r="K19" s="89"/>
      <x:c r="L19" s="89"/>
      <x:c r="M19" s="89"/>
      <x:c r="N19" s="89"/>
      <x:c r="O19" s="89"/>
      <x:c r="P19" s="89"/>
      <x:c r="Q19" s="89"/>
      <x:c r="R19" s="89"/>
      <x:c r="S19" s="89"/>
      <x:c r="T19" s="89"/>
      <x:c r="U19" s="89"/>
      <x:c r="V19" s="89"/>
      <x:c r="W19" s="89"/>
      <x:c r="X19" s="89"/>
      <x:c r="Y19" s="89"/>
      <x:c r="Z19" s="89"/>
    </x:row>
    <x:row r="20">
      <x:c r="A20" s="95" t="str">
        <x:v>TPU 95A</x:v>
      </x:c>
      <x:c r="B20" s="109" t="n">
        <x:v>1000</x:v>
      </x:c>
      <x:c r="C20" s="109" t="n">
        <x:f>B20/1000</x:f>
        <x:v>1</x:v>
      </x:c>
      <x:c r="D20" s="95" t="str">
        <x:v>Esnek parça, tampon, kılıf</x:v>
      </x:c>
      <x:c r="E20" s="95" t="str">
        <x:v>Yavaş ve kontrollü baskı önerilir</x:v>
      </x:c>
      <x:c r="F20" s="89"/>
      <x:c r="G20" s="89"/>
      <x:c r="H20" s="89"/>
      <x:c r="I20" s="89"/>
      <x:c r="J20" s="89"/>
      <x:c r="K20" s="89"/>
      <x:c r="L20" s="89"/>
      <x:c r="M20" s="89"/>
      <x:c r="N20" s="89"/>
      <x:c r="O20" s="89"/>
      <x:c r="P20" s="89"/>
      <x:c r="Q20" s="89"/>
      <x:c r="R20" s="89"/>
      <x:c r="S20" s="89"/>
      <x:c r="T20" s="89"/>
      <x:c r="U20" s="89"/>
      <x:c r="V20" s="89"/>
      <x:c r="W20" s="89"/>
      <x:c r="X20" s="89"/>
      <x:c r="Y20" s="89"/>
      <x:c r="Z20" s="89"/>
    </x:row>
    <x:row r="21">
      <x:c r="A21" s="95" t="str">
        <x:v>PA-CF</x:v>
      </x:c>
      <x:c r="B21" s="109" t="n">
        <x:v>1800</x:v>
      </x:c>
      <x:c r="C21" s="109" t="n">
        <x:f>B21/1000</x:f>
        <x:v>1.8</x:v>
      </x:c>
      <x:c r="D21" s="95" t="str">
        <x:v>Yüksek dayanım, teknik prototip</x:v>
      </x:c>
      <x:c r="E21" s="95" t="str">
        <x:v>Nozzle aşınmasına dikkat</x:v>
      </x:c>
      <x:c r="F21" s="89"/>
      <x:c r="G21" s="89"/>
      <x:c r="H21" s="89"/>
      <x:c r="I21" s="89"/>
      <x:c r="J21" s="89"/>
      <x:c r="K21" s="89"/>
      <x:c r="L21" s="89"/>
      <x:c r="M21" s="89"/>
      <x:c r="N21" s="89"/>
      <x:c r="O21" s="89"/>
      <x:c r="P21" s="89"/>
      <x:c r="Q21" s="89"/>
      <x:c r="R21" s="89"/>
      <x:c r="S21" s="89"/>
      <x:c r="T21" s="89"/>
      <x:c r="U21" s="89"/>
      <x:c r="V21" s="89"/>
      <x:c r="W21" s="89"/>
      <x:c r="X21" s="89"/>
      <x:c r="Y21" s="89"/>
      <x:c r="Z21" s="89"/>
    </x:row>
    <x:row r="22">
      <x:c r="A22" s="95" t="str">
        <x:v>Support</x:v>
      </x:c>
      <x:c r="B22" s="109" t="n">
        <x:v>1200</x:v>
      </x:c>
      <x:c r="C22" s="109" t="n">
        <x:f>B22/1000</x:f>
        <x:v>1.2</x:v>
      </x:c>
      <x:c r="D22" s="95" t="str">
        <x:v>Destek ara yüzü / çift nozzle destek</x:v>
      </x:c>
      <x:c r="E22" s="95" t="str">
        <x:v>Suda çözünen destekse fiyatı ayrıca güncelle</x:v>
      </x:c>
      <x:c r="F22" s="89"/>
      <x:c r="G22" s="89"/>
      <x:c r="H22" s="89"/>
      <x:c r="I22" s="89"/>
      <x:c r="J22" s="89"/>
      <x:c r="K22" s="89"/>
      <x:c r="L22" s="89"/>
      <x:c r="M22" s="89"/>
      <x:c r="N22" s="89"/>
      <x:c r="O22" s="89"/>
      <x:c r="P22" s="89"/>
      <x:c r="Q22" s="89"/>
      <x:c r="R22" s="89"/>
      <x:c r="S22" s="89"/>
      <x:c r="T22" s="89"/>
      <x:c r="U22" s="89"/>
      <x:c r="V22" s="89"/>
      <x:c r="W22" s="89"/>
      <x:c r="X22" s="89"/>
      <x:c r="Y22" s="89"/>
      <x:c r="Z22" s="89"/>
    </x:row>
    <x:row r="23">
      <x:c r="A23" s="89"/>
      <x:c r="B23" s="89"/>
      <x:c r="C23" s="89"/>
      <x:c r="D23" s="89"/>
      <x:c r="E23" s="89"/>
      <x:c r="F23" s="89"/>
      <x:c r="G23" s="89"/>
      <x:c r="H23" s="89"/>
      <x:c r="I23" s="89"/>
      <x:c r="J23" s="89"/>
      <x:c r="K23" s="89"/>
      <x:c r="L23" s="89"/>
      <x:c r="M23" s="89"/>
      <x:c r="N23" s="89"/>
      <x:c r="O23" s="89"/>
      <x:c r="P23" s="89"/>
      <x:c r="Q23" s="89"/>
      <x:c r="R23" s="89"/>
      <x:c r="S23" s="89"/>
      <x:c r="T23" s="89"/>
      <x:c r="U23" s="89"/>
      <x:c r="V23" s="89"/>
      <x:c r="W23" s="89"/>
      <x:c r="X23" s="89"/>
      <x:c r="Y23" s="89"/>
      <x:c r="Z23" s="89"/>
    </x:row>
    <x:row r="24">
      <x:c r="A24" s="89"/>
      <x:c r="B24" s="89"/>
      <x:c r="C24" s="89"/>
      <x:c r="D24" s="89"/>
      <x:c r="E24" s="89"/>
      <x:c r="F24" s="89"/>
      <x:c r="G24" s="89"/>
      <x:c r="H24" s="89"/>
      <x:c r="I24" s="89"/>
      <x:c r="J24" s="89"/>
      <x:c r="K24" s="89"/>
      <x:c r="L24" s="89"/>
      <x:c r="M24" s="89"/>
      <x:c r="N24" s="89"/>
      <x:c r="O24" s="89"/>
      <x:c r="P24" s="89"/>
      <x:c r="Q24" s="89"/>
      <x:c r="R24" s="89"/>
      <x:c r="S24" s="89"/>
      <x:c r="T24" s="89"/>
      <x:c r="U24" s="89"/>
      <x:c r="V24" s="89"/>
      <x:c r="W24" s="89"/>
      <x:c r="X24" s="89"/>
      <x:c r="Y24" s="89"/>
      <x:c r="Z24" s="89"/>
    </x:row>
    <x:row r="25">
      <x:c r="A25" s="89"/>
      <x:c r="B25" s="89"/>
      <x:c r="C25" s="89"/>
      <x:c r="D25" s="89"/>
      <x:c r="E25" s="89"/>
      <x:c r="F25" s="89"/>
      <x:c r="G25" s="89"/>
      <x:c r="H25" s="89"/>
      <x:c r="I25" s="89"/>
      <x:c r="J25" s="89"/>
      <x:c r="K25" s="89"/>
      <x:c r="L25" s="89"/>
      <x:c r="M25" s="89"/>
      <x:c r="N25" s="89"/>
      <x:c r="O25" s="89"/>
      <x:c r="P25" s="89"/>
      <x:c r="Q25" s="89"/>
      <x:c r="R25" s="89"/>
      <x:c r="S25" s="89"/>
      <x:c r="T25" s="89"/>
      <x:c r="U25" s="89"/>
      <x:c r="V25" s="89"/>
      <x:c r="W25" s="89"/>
      <x:c r="X25" s="89"/>
      <x:c r="Y25" s="89"/>
      <x:c r="Z25" s="89"/>
    </x:row>
    <x:row r="26">
      <x:c r="A26" s="89"/>
      <x:c r="B26" s="89"/>
      <x:c r="C26" s="89"/>
      <x:c r="D26" s="89"/>
      <x:c r="E26" s="89"/>
      <x:c r="F26" s="89"/>
      <x:c r="G26" s="89"/>
      <x:c r="H26" s="89"/>
      <x:c r="I26" s="89"/>
      <x:c r="J26" s="89"/>
      <x:c r="K26" s="89"/>
      <x:c r="L26" s="89"/>
      <x:c r="M26" s="89"/>
      <x:c r="N26" s="89"/>
      <x:c r="O26" s="89"/>
      <x:c r="P26" s="89"/>
      <x:c r="Q26" s="89"/>
      <x:c r="R26" s="89"/>
      <x:c r="S26" s="89"/>
      <x:c r="T26" s="89"/>
      <x:c r="U26" s="89"/>
      <x:c r="V26" s="89"/>
      <x:c r="W26" s="89"/>
      <x:c r="X26" s="89"/>
      <x:c r="Y26" s="89"/>
      <x:c r="Z26" s="89"/>
    </x:row>
    <x:row r="27">
      <x:c r="A27" s="89"/>
      <x:c r="B27" s="89"/>
      <x:c r="C27" s="89"/>
      <x:c r="D27" s="89"/>
      <x:c r="E27" s="89"/>
      <x:c r="F27" s="89"/>
      <x:c r="G27" s="89"/>
      <x:c r="H27" s="89"/>
      <x:c r="I27" s="89"/>
      <x:c r="J27" s="89"/>
      <x:c r="K27" s="89"/>
      <x:c r="L27" s="89"/>
      <x:c r="M27" s="89"/>
      <x:c r="N27" s="89"/>
      <x:c r="O27" s="89"/>
      <x:c r="P27" s="89"/>
      <x:c r="Q27" s="89"/>
      <x:c r="R27" s="89"/>
      <x:c r="S27" s="89"/>
      <x:c r="T27" s="89"/>
      <x:c r="U27" s="89"/>
      <x:c r="V27" s="89"/>
      <x:c r="W27" s="89"/>
      <x:c r="X27" s="89"/>
      <x:c r="Y27" s="89"/>
      <x:c r="Z27" s="89"/>
    </x:row>
    <x:row r="28">
      <x:c r="A28" s="89"/>
      <x:c r="B28" s="89"/>
      <x:c r="C28" s="89"/>
      <x:c r="D28" s="89"/>
      <x:c r="E28" s="89"/>
      <x:c r="F28" s="89"/>
      <x:c r="G28" s="89"/>
      <x:c r="H28" s="89"/>
      <x:c r="I28" s="89"/>
      <x:c r="J28" s="89"/>
      <x:c r="K28" s="89"/>
      <x:c r="L28" s="89"/>
      <x:c r="M28" s="89"/>
      <x:c r="N28" s="89"/>
      <x:c r="O28" s="89"/>
      <x:c r="P28" s="89"/>
      <x:c r="Q28" s="89"/>
      <x:c r="R28" s="89"/>
      <x:c r="S28" s="89"/>
      <x:c r="T28" s="89"/>
      <x:c r="U28" s="89"/>
      <x:c r="V28" s="89"/>
      <x:c r="W28" s="89"/>
      <x:c r="X28" s="89"/>
      <x:c r="Y28" s="89"/>
      <x:c r="Z28" s="89"/>
    </x:row>
    <x:row r="29">
      <x:c r="A29" s="89"/>
      <x:c r="B29" s="89"/>
      <x:c r="C29" s="89"/>
      <x:c r="D29" s="89"/>
      <x:c r="E29" s="89"/>
      <x:c r="F29" s="89"/>
      <x:c r="G29" s="89"/>
      <x:c r="H29" s="89"/>
      <x:c r="I29" s="89"/>
      <x:c r="J29" s="89"/>
      <x:c r="K29" s="89"/>
      <x:c r="L29" s="89"/>
      <x:c r="M29" s="89"/>
      <x:c r="N29" s="89"/>
      <x:c r="O29" s="89"/>
      <x:c r="P29" s="89"/>
      <x:c r="Q29" s="89"/>
      <x:c r="R29" s="89"/>
      <x:c r="S29" s="89"/>
      <x:c r="T29" s="89"/>
      <x:c r="U29" s="89"/>
      <x:c r="V29" s="89"/>
      <x:c r="W29" s="89"/>
      <x:c r="X29" s="89"/>
      <x:c r="Y29" s="89"/>
      <x:c r="Z29" s="89"/>
    </x:row>
    <x:row r="30">
      <x:c r="A30" s="89"/>
      <x:c r="B30" s="89"/>
      <x:c r="C30" s="89"/>
      <x:c r="D30" s="89"/>
      <x:c r="E30" s="89"/>
      <x:c r="F30" s="89"/>
      <x:c r="G30" s="89"/>
      <x:c r="H30" s="89"/>
      <x:c r="I30" s="89"/>
      <x:c r="J30" s="89"/>
      <x:c r="K30" s="89"/>
      <x:c r="L30" s="89"/>
      <x:c r="M30" s="89"/>
      <x:c r="N30" s="89"/>
      <x:c r="O30" s="89"/>
      <x:c r="P30" s="89"/>
      <x:c r="Q30" s="89"/>
      <x:c r="R30" s="89"/>
      <x:c r="S30" s="89"/>
      <x:c r="T30" s="89"/>
      <x:c r="U30" s="89"/>
      <x:c r="V30" s="89"/>
      <x:c r="W30" s="89"/>
      <x:c r="X30" s="89"/>
      <x:c r="Y30" s="89"/>
      <x:c r="Z30" s="89"/>
    </x:row>
    <x:row r="31">
      <x:c r="A31" s="89"/>
      <x:c r="B31" s="89"/>
      <x:c r="C31" s="89"/>
      <x:c r="D31" s="89"/>
      <x:c r="E31" s="89"/>
      <x:c r="F31" s="89"/>
      <x:c r="G31" s="89"/>
      <x:c r="H31" s="89"/>
      <x:c r="I31" s="89"/>
      <x:c r="J31" s="89"/>
      <x:c r="K31" s="89"/>
      <x:c r="L31" s="89"/>
      <x:c r="M31" s="89"/>
      <x:c r="N31" s="89"/>
      <x:c r="O31" s="89"/>
      <x:c r="P31" s="89"/>
      <x:c r="Q31" s="89"/>
      <x:c r="R31" s="89"/>
      <x:c r="S31" s="89"/>
      <x:c r="T31" s="89"/>
      <x:c r="U31" s="89"/>
      <x:c r="V31" s="89"/>
      <x:c r="W31" s="89"/>
      <x:c r="X31" s="89"/>
      <x:c r="Y31" s="89"/>
      <x:c r="Z31" s="89"/>
    </x:row>
    <x:row r="32">
      <x:c r="A32" s="89"/>
      <x:c r="B32" s="89"/>
      <x:c r="C32" s="89"/>
      <x:c r="D32" s="89"/>
      <x:c r="E32" s="89"/>
      <x:c r="F32" s="89"/>
      <x:c r="G32" s="89"/>
      <x:c r="H32" s="89"/>
      <x:c r="I32" s="89"/>
      <x:c r="J32" s="89"/>
      <x:c r="K32" s="89"/>
      <x:c r="L32" s="89"/>
      <x:c r="M32" s="89"/>
      <x:c r="N32" s="89"/>
      <x:c r="O32" s="89"/>
      <x:c r="P32" s="89"/>
      <x:c r="Q32" s="89"/>
      <x:c r="R32" s="89"/>
      <x:c r="S32" s="89"/>
      <x:c r="T32" s="89"/>
      <x:c r="U32" s="89"/>
      <x:c r="V32" s="89"/>
      <x:c r="W32" s="89"/>
      <x:c r="X32" s="89"/>
      <x:c r="Y32" s="89"/>
      <x:c r="Z32" s="89"/>
    </x:row>
    <x:row r="33">
      <x:c r="A33" s="89"/>
      <x:c r="B33" s="89"/>
      <x:c r="C33" s="89"/>
      <x:c r="D33" s="89"/>
      <x:c r="E33" s="89"/>
      <x:c r="F33" s="89"/>
      <x:c r="G33" s="89"/>
      <x:c r="H33" s="89"/>
      <x:c r="I33" s="89"/>
      <x:c r="J33" s="89"/>
      <x:c r="K33" s="89"/>
      <x:c r="L33" s="89"/>
      <x:c r="M33" s="89"/>
      <x:c r="N33" s="89"/>
      <x:c r="O33" s="89"/>
      <x:c r="P33" s="89"/>
      <x:c r="Q33" s="89"/>
      <x:c r="R33" s="89"/>
      <x:c r="S33" s="89"/>
      <x:c r="T33" s="89"/>
      <x:c r="U33" s="89"/>
      <x:c r="V33" s="89"/>
      <x:c r="W33" s="89"/>
      <x:c r="X33" s="89"/>
      <x:c r="Y33" s="89"/>
      <x:c r="Z33" s="89"/>
    </x:row>
    <x:row r="34">
      <x:c r="A34" s="89"/>
      <x:c r="B34" s="89"/>
      <x:c r="C34" s="89"/>
      <x:c r="D34" s="89"/>
      <x:c r="E34" s="89"/>
      <x:c r="F34" s="89"/>
      <x:c r="G34" s="89"/>
      <x:c r="H34" s="89"/>
      <x:c r="I34" s="89"/>
      <x:c r="J34" s="89"/>
      <x:c r="K34" s="89"/>
      <x:c r="L34" s="89"/>
      <x:c r="M34" s="89"/>
      <x:c r="N34" s="89"/>
      <x:c r="O34" s="89"/>
      <x:c r="P34" s="89"/>
      <x:c r="Q34" s="89"/>
      <x:c r="R34" s="89"/>
      <x:c r="S34" s="89"/>
      <x:c r="T34" s="89"/>
      <x:c r="U34" s="89"/>
      <x:c r="V34" s="89"/>
      <x:c r="W34" s="89"/>
      <x:c r="X34" s="89"/>
      <x:c r="Y34" s="89"/>
      <x:c r="Z34" s="89"/>
    </x:row>
    <x:row r="35">
      <x:c r="A35" s="89"/>
      <x:c r="B35" s="89"/>
      <x:c r="C35" s="89"/>
      <x:c r="D35" s="89"/>
      <x:c r="E35" s="89"/>
      <x:c r="F35" s="89"/>
      <x:c r="G35" s="89"/>
      <x:c r="H35" s="89"/>
      <x:c r="I35" s="89"/>
      <x:c r="J35" s="89"/>
      <x:c r="K35" s="89"/>
      <x:c r="L35" s="89"/>
      <x:c r="M35" s="89"/>
      <x:c r="N35" s="89"/>
      <x:c r="O35" s="89"/>
      <x:c r="P35" s="89"/>
      <x:c r="Q35" s="89"/>
      <x:c r="R35" s="89"/>
      <x:c r="S35" s="89"/>
      <x:c r="T35" s="89"/>
      <x:c r="U35" s="89"/>
      <x:c r="V35" s="89"/>
      <x:c r="W35" s="89"/>
      <x:c r="X35" s="89"/>
      <x:c r="Y35" s="89"/>
      <x:c r="Z35" s="89"/>
    </x:row>
    <x:row r="36">
      <x:c r="A36" s="89"/>
      <x:c r="B36" s="89"/>
      <x:c r="C36" s="89"/>
      <x:c r="D36" s="89"/>
      <x:c r="E36" s="89"/>
      <x:c r="F36" s="89"/>
      <x:c r="G36" s="89"/>
      <x:c r="H36" s="89"/>
      <x:c r="I36" s="89"/>
      <x:c r="J36" s="89"/>
      <x:c r="K36" s="89"/>
      <x:c r="L36" s="89"/>
      <x:c r="M36" s="89"/>
      <x:c r="N36" s="89"/>
      <x:c r="O36" s="89"/>
      <x:c r="P36" s="89"/>
      <x:c r="Q36" s="89"/>
      <x:c r="R36" s="89"/>
      <x:c r="S36" s="89"/>
      <x:c r="T36" s="89"/>
      <x:c r="U36" s="89"/>
      <x:c r="V36" s="89"/>
      <x:c r="W36" s="89"/>
      <x:c r="X36" s="89"/>
      <x:c r="Y36" s="89"/>
      <x:c r="Z36" s="89"/>
    </x:row>
    <x:row r="37">
      <x:c r="A37" s="89"/>
      <x:c r="B37" s="89"/>
      <x:c r="C37" s="89"/>
      <x:c r="D37" s="89"/>
      <x:c r="E37" s="89"/>
      <x:c r="F37" s="89"/>
      <x:c r="G37" s="89"/>
      <x:c r="H37" s="89"/>
      <x:c r="I37" s="89"/>
      <x:c r="J37" s="89"/>
      <x:c r="K37" s="89"/>
      <x:c r="L37" s="89"/>
      <x:c r="M37" s="89"/>
      <x:c r="N37" s="89"/>
      <x:c r="O37" s="89"/>
      <x:c r="P37" s="89"/>
      <x:c r="Q37" s="89"/>
      <x:c r="R37" s="89"/>
      <x:c r="S37" s="89"/>
      <x:c r="T37" s="89"/>
      <x:c r="U37" s="89"/>
      <x:c r="V37" s="89"/>
      <x:c r="W37" s="89"/>
      <x:c r="X37" s="89"/>
      <x:c r="Y37" s="89"/>
      <x:c r="Z37" s="89"/>
    </x:row>
    <x:row r="38">
      <x:c r="A38" s="89"/>
      <x:c r="B38" s="89"/>
      <x:c r="C38" s="89"/>
      <x:c r="D38" s="89"/>
      <x:c r="E38" s="89"/>
      <x:c r="F38" s="89"/>
      <x:c r="G38" s="89"/>
      <x:c r="H38" s="89"/>
      <x:c r="I38" s="89"/>
      <x:c r="J38" s="89"/>
      <x:c r="K38" s="89"/>
      <x:c r="L38" s="89"/>
      <x:c r="M38" s="89"/>
      <x:c r="N38" s="89"/>
      <x:c r="O38" s="89"/>
      <x:c r="P38" s="89"/>
      <x:c r="Q38" s="89"/>
      <x:c r="R38" s="89"/>
      <x:c r="S38" s="89"/>
      <x:c r="T38" s="89"/>
      <x:c r="U38" s="89"/>
      <x:c r="V38" s="89"/>
      <x:c r="W38" s="89"/>
      <x:c r="X38" s="89"/>
      <x:c r="Y38" s="89"/>
      <x:c r="Z38" s="89"/>
    </x:row>
    <x:row r="39">
      <x:c r="A39" s="89"/>
      <x:c r="B39" s="89"/>
      <x:c r="C39" s="89"/>
      <x:c r="D39" s="89"/>
      <x:c r="E39" s="89"/>
      <x:c r="F39" s="89"/>
      <x:c r="G39" s="89"/>
      <x:c r="H39" s="89"/>
      <x:c r="I39" s="89"/>
      <x:c r="J39" s="89"/>
      <x:c r="K39" s="89"/>
      <x:c r="L39" s="89"/>
      <x:c r="M39" s="89"/>
      <x:c r="N39" s="89"/>
      <x:c r="O39" s="89"/>
      <x:c r="P39" s="89"/>
      <x:c r="Q39" s="89"/>
      <x:c r="R39" s="89"/>
      <x:c r="S39" s="89"/>
      <x:c r="T39" s="89"/>
      <x:c r="U39" s="89"/>
      <x:c r="V39" s="89"/>
      <x:c r="W39" s="89"/>
      <x:c r="X39" s="89"/>
      <x:c r="Y39" s="89"/>
      <x:c r="Z39" s="89"/>
    </x:row>
    <x:row r="40">
      <x:c r="A40" s="89"/>
      <x:c r="B40" s="89"/>
      <x:c r="C40" s="89"/>
      <x:c r="D40" s="89"/>
      <x:c r="E40" s="89"/>
      <x:c r="F40" s="89"/>
      <x:c r="G40" s="89"/>
      <x:c r="H40" s="89"/>
      <x:c r="I40" s="89"/>
      <x:c r="J40" s="89"/>
      <x:c r="K40" s="89"/>
      <x:c r="L40" s="89"/>
      <x:c r="M40" s="89"/>
      <x:c r="N40" s="89"/>
      <x:c r="O40" s="89"/>
      <x:c r="P40" s="89"/>
      <x:c r="Q40" s="89"/>
      <x:c r="R40" s="89"/>
      <x:c r="S40" s="89"/>
      <x:c r="T40" s="89"/>
      <x:c r="U40" s="89"/>
      <x:c r="V40" s="89"/>
      <x:c r="W40" s="89"/>
      <x:c r="X40" s="89"/>
      <x:c r="Y40" s="89"/>
      <x:c r="Z40" s="89"/>
    </x:row>
    <x:row r="41">
      <x:c r="A41" s="89"/>
      <x:c r="B41" s="89"/>
      <x:c r="C41" s="89"/>
      <x:c r="D41" s="89"/>
      <x:c r="E41" s="89"/>
      <x:c r="F41" s="89"/>
      <x:c r="G41" s="89"/>
      <x:c r="H41" s="89"/>
      <x:c r="I41" s="89"/>
      <x:c r="J41" s="89"/>
      <x:c r="K41" s="89"/>
      <x:c r="L41" s="89"/>
      <x:c r="M41" s="89"/>
      <x:c r="N41" s="89"/>
      <x:c r="O41" s="89"/>
      <x:c r="P41" s="89"/>
      <x:c r="Q41" s="89"/>
      <x:c r="R41" s="89"/>
      <x:c r="S41" s="89"/>
      <x:c r="T41" s="89"/>
      <x:c r="U41" s="89"/>
      <x:c r="V41" s="89"/>
      <x:c r="W41" s="89"/>
      <x:c r="X41" s="89"/>
      <x:c r="Y41" s="89"/>
      <x:c r="Z41" s="89"/>
    </x:row>
    <x:row r="42">
      <x:c r="A42" s="89"/>
      <x:c r="B42" s="89"/>
      <x:c r="C42" s="89"/>
      <x:c r="D42" s="89"/>
      <x:c r="E42" s="89"/>
      <x:c r="F42" s="89"/>
      <x:c r="G42" s="89"/>
      <x:c r="H42" s="89"/>
      <x:c r="I42" s="89"/>
      <x:c r="J42" s="89"/>
      <x:c r="K42" s="89"/>
      <x:c r="L42" s="89"/>
      <x:c r="M42" s="89"/>
      <x:c r="N42" s="89"/>
      <x:c r="O42" s="89"/>
      <x:c r="P42" s="89"/>
      <x:c r="Q42" s="89"/>
      <x:c r="R42" s="89"/>
      <x:c r="S42" s="89"/>
      <x:c r="T42" s="89"/>
      <x:c r="U42" s="89"/>
      <x:c r="V42" s="89"/>
      <x:c r="W42" s="89"/>
      <x:c r="X42" s="89"/>
      <x:c r="Y42" s="89"/>
      <x:c r="Z42" s="89"/>
    </x:row>
    <x:row r="43">
      <x:c r="A43" s="89"/>
      <x:c r="B43" s="89"/>
      <x:c r="C43" s="89"/>
      <x:c r="D43" s="89"/>
      <x:c r="E43" s="89"/>
      <x:c r="F43" s="89"/>
      <x:c r="G43" s="89"/>
      <x:c r="H43" s="89"/>
      <x:c r="I43" s="89"/>
      <x:c r="J43" s="89"/>
      <x:c r="K43" s="89"/>
      <x:c r="L43" s="89"/>
      <x:c r="M43" s="89"/>
      <x:c r="N43" s="89"/>
      <x:c r="O43" s="89"/>
      <x:c r="P43" s="89"/>
      <x:c r="Q43" s="89"/>
      <x:c r="R43" s="89"/>
      <x:c r="S43" s="89"/>
      <x:c r="T43" s="89"/>
      <x:c r="U43" s="89"/>
      <x:c r="V43" s="89"/>
      <x:c r="W43" s="89"/>
      <x:c r="X43" s="89"/>
      <x:c r="Y43" s="89"/>
      <x:c r="Z43" s="89"/>
    </x:row>
    <x:row r="44">
      <x:c r="A44" s="89"/>
      <x:c r="B44" s="89"/>
      <x:c r="C44" s="89"/>
      <x:c r="D44" s="89"/>
      <x:c r="E44" s="89"/>
      <x:c r="F44" s="89"/>
      <x:c r="G44" s="89"/>
      <x:c r="H44" s="89"/>
      <x:c r="I44" s="89"/>
      <x:c r="J44" s="89"/>
      <x:c r="K44" s="89"/>
      <x:c r="L44" s="89"/>
      <x:c r="M44" s="89"/>
      <x:c r="N44" s="89"/>
      <x:c r="O44" s="89"/>
      <x:c r="P44" s="89"/>
      <x:c r="Q44" s="89"/>
      <x:c r="R44" s="89"/>
      <x:c r="S44" s="89"/>
      <x:c r="T44" s="89"/>
      <x:c r="U44" s="89"/>
      <x:c r="V44" s="89"/>
      <x:c r="W44" s="89"/>
      <x:c r="X44" s="89"/>
      <x:c r="Y44" s="89"/>
      <x:c r="Z44" s="89"/>
    </x:row>
    <x:row r="45">
      <x:c r="A45" s="89"/>
      <x:c r="B45" s="89"/>
      <x:c r="C45" s="89"/>
      <x:c r="D45" s="89"/>
      <x:c r="E45" s="89"/>
      <x:c r="F45" s="89"/>
      <x:c r="G45" s="89"/>
      <x:c r="H45" s="89"/>
      <x:c r="I45" s="89"/>
      <x:c r="J45" s="89"/>
      <x:c r="K45" s="89"/>
      <x:c r="L45" s="89"/>
      <x:c r="M45" s="89"/>
      <x:c r="N45" s="89"/>
      <x:c r="O45" s="89"/>
      <x:c r="P45" s="89"/>
      <x:c r="Q45" s="89"/>
      <x:c r="R45" s="89"/>
      <x:c r="S45" s="89"/>
      <x:c r="T45" s="89"/>
      <x:c r="U45" s="89"/>
      <x:c r="V45" s="89"/>
      <x:c r="W45" s="89"/>
      <x:c r="X45" s="89"/>
      <x:c r="Y45" s="89"/>
      <x:c r="Z45" s="89"/>
    </x:row>
    <x:row r="46">
      <x:c r="A46" s="89"/>
      <x:c r="B46" s="89"/>
      <x:c r="C46" s="89"/>
      <x:c r="D46" s="89"/>
      <x:c r="E46" s="89"/>
      <x:c r="F46" s="89"/>
      <x:c r="G46" s="89"/>
      <x:c r="H46" s="89"/>
      <x:c r="I46" s="89"/>
      <x:c r="J46" s="89"/>
      <x:c r="K46" s="89"/>
      <x:c r="L46" s="89"/>
      <x:c r="M46" s="89"/>
      <x:c r="N46" s="89"/>
      <x:c r="O46" s="89"/>
      <x:c r="P46" s="89"/>
      <x:c r="Q46" s="89"/>
      <x:c r="R46" s="89"/>
      <x:c r="S46" s="89"/>
      <x:c r="T46" s="89"/>
      <x:c r="U46" s="89"/>
      <x:c r="V46" s="89"/>
      <x:c r="W46" s="89"/>
      <x:c r="X46" s="89"/>
      <x:c r="Y46" s="89"/>
      <x:c r="Z46" s="89"/>
    </x:row>
    <x:row r="47">
      <x:c r="A47" s="89"/>
      <x:c r="B47" s="89"/>
      <x:c r="C47" s="89"/>
      <x:c r="D47" s="89"/>
      <x:c r="E47" s="89"/>
      <x:c r="F47" s="89"/>
      <x:c r="G47" s="89"/>
      <x:c r="H47" s="89"/>
      <x:c r="I47" s="89"/>
      <x:c r="J47" s="89"/>
      <x:c r="K47" s="89"/>
      <x:c r="L47" s="89"/>
      <x:c r="M47" s="89"/>
      <x:c r="N47" s="89"/>
      <x:c r="O47" s="89"/>
      <x:c r="P47" s="89"/>
      <x:c r="Q47" s="89"/>
      <x:c r="R47" s="89"/>
      <x:c r="S47" s="89"/>
      <x:c r="T47" s="89"/>
      <x:c r="U47" s="89"/>
      <x:c r="V47" s="89"/>
      <x:c r="W47" s="89"/>
      <x:c r="X47" s="89"/>
      <x:c r="Y47" s="89"/>
      <x:c r="Z47" s="89"/>
    </x:row>
    <x:row r="48">
      <x:c r="A48" s="89"/>
      <x:c r="B48" s="89"/>
      <x:c r="C48" s="89"/>
      <x:c r="D48" s="89"/>
      <x:c r="E48" s="89"/>
      <x:c r="F48" s="89"/>
      <x:c r="G48" s="89"/>
      <x:c r="H48" s="89"/>
      <x:c r="I48" s="89"/>
      <x:c r="J48" s="89"/>
      <x:c r="K48" s="89"/>
      <x:c r="L48" s="89"/>
      <x:c r="M48" s="89"/>
      <x:c r="N48" s="89"/>
      <x:c r="O48" s="89"/>
      <x:c r="P48" s="89"/>
      <x:c r="Q48" s="89"/>
      <x:c r="R48" s="89"/>
      <x:c r="S48" s="89"/>
      <x:c r="T48" s="89"/>
      <x:c r="U48" s="89"/>
      <x:c r="V48" s="89"/>
      <x:c r="W48" s="89"/>
      <x:c r="X48" s="89"/>
      <x:c r="Y48" s="89"/>
      <x:c r="Z48" s="89"/>
    </x:row>
    <x:row r="49">
      <x:c r="A49" s="89"/>
      <x:c r="B49" s="89"/>
      <x:c r="C49" s="89"/>
      <x:c r="D49" s="89"/>
      <x:c r="E49" s="89"/>
      <x:c r="F49" s="89"/>
      <x:c r="G49" s="89"/>
      <x:c r="H49" s="89"/>
      <x:c r="I49" s="89"/>
      <x:c r="J49" s="89"/>
      <x:c r="K49" s="89"/>
      <x:c r="L49" s="89"/>
      <x:c r="M49" s="89"/>
      <x:c r="N49" s="89"/>
      <x:c r="O49" s="89"/>
      <x:c r="P49" s="89"/>
      <x:c r="Q49" s="89"/>
      <x:c r="R49" s="89"/>
      <x:c r="S49" s="89"/>
      <x:c r="T49" s="89"/>
      <x:c r="U49" s="89"/>
      <x:c r="V49" s="89"/>
      <x:c r="W49" s="89"/>
      <x:c r="X49" s="89"/>
      <x:c r="Y49" s="89"/>
      <x:c r="Z49" s="89"/>
    </x:row>
    <x:row r="50">
      <x:c r="A50" s="89"/>
      <x:c r="B50" s="89"/>
      <x:c r="C50" s="89"/>
      <x:c r="D50" s="89"/>
      <x:c r="E50" s="89"/>
      <x:c r="F50" s="89"/>
      <x:c r="G50" s="89"/>
      <x:c r="H50" s="89"/>
      <x:c r="I50" s="89"/>
      <x:c r="J50" s="89"/>
      <x:c r="K50" s="89"/>
      <x:c r="L50" s="89"/>
      <x:c r="M50" s="89"/>
      <x:c r="N50" s="89"/>
      <x:c r="O50" s="89"/>
      <x:c r="P50" s="89"/>
      <x:c r="Q50" s="89"/>
      <x:c r="R50" s="89"/>
      <x:c r="S50" s="89"/>
      <x:c r="T50" s="89"/>
      <x:c r="U50" s="89"/>
      <x:c r="V50" s="89"/>
      <x:c r="W50" s="89"/>
      <x:c r="X50" s="89"/>
      <x:c r="Y50" s="89"/>
      <x:c r="Z50" s="89"/>
    </x:row>
    <x:row r="51">
      <x:c r="A51" s="89"/>
      <x:c r="B51" s="89"/>
      <x:c r="C51" s="89"/>
      <x:c r="D51" s="89"/>
      <x:c r="E51" s="89"/>
      <x:c r="F51" s="89"/>
      <x:c r="G51" s="89"/>
      <x:c r="H51" s="89"/>
      <x:c r="I51" s="89"/>
      <x:c r="J51" s="89"/>
      <x:c r="K51" s="89"/>
      <x:c r="L51" s="89"/>
      <x:c r="M51" s="89"/>
      <x:c r="N51" s="89"/>
      <x:c r="O51" s="89"/>
      <x:c r="P51" s="89"/>
      <x:c r="Q51" s="89"/>
      <x:c r="R51" s="89"/>
      <x:c r="S51" s="89"/>
      <x:c r="T51" s="89"/>
      <x:c r="U51" s="89"/>
      <x:c r="V51" s="89"/>
      <x:c r="W51" s="89"/>
      <x:c r="X51" s="89"/>
      <x:c r="Y51" s="89"/>
      <x:c r="Z51" s="89"/>
    </x:row>
    <x:row r="52">
      <x:c r="A52" s="89"/>
      <x:c r="B52" s="89"/>
      <x:c r="C52" s="89"/>
      <x:c r="D52" s="89"/>
      <x:c r="E52" s="89"/>
      <x:c r="F52" s="89"/>
      <x:c r="G52" s="89"/>
      <x:c r="H52" s="89"/>
      <x:c r="I52" s="89"/>
      <x:c r="J52" s="89"/>
      <x:c r="K52" s="89"/>
      <x:c r="L52" s="89"/>
      <x:c r="M52" s="89"/>
      <x:c r="N52" s="89"/>
      <x:c r="O52" s="89"/>
      <x:c r="P52" s="89"/>
      <x:c r="Q52" s="89"/>
      <x:c r="R52" s="89"/>
      <x:c r="S52" s="89"/>
      <x:c r="T52" s="89"/>
      <x:c r="U52" s="89"/>
      <x:c r="V52" s="89"/>
      <x:c r="W52" s="89"/>
      <x:c r="X52" s="89"/>
      <x:c r="Y52" s="89"/>
      <x:c r="Z52" s="89"/>
    </x:row>
    <x:row r="53">
      <x:c r="A53" s="89"/>
      <x:c r="B53" s="89"/>
      <x:c r="C53" s="89"/>
      <x:c r="D53" s="89"/>
      <x:c r="E53" s="89"/>
      <x:c r="F53" s="89"/>
      <x:c r="G53" s="89"/>
      <x:c r="H53" s="89"/>
      <x:c r="I53" s="89"/>
      <x:c r="J53" s="89"/>
      <x:c r="K53" s="89"/>
      <x:c r="L53" s="89"/>
      <x:c r="M53" s="89"/>
      <x:c r="N53" s="89"/>
      <x:c r="O53" s="89"/>
      <x:c r="P53" s="89"/>
      <x:c r="Q53" s="89"/>
      <x:c r="R53" s="89"/>
      <x:c r="S53" s="89"/>
      <x:c r="T53" s="89"/>
      <x:c r="U53" s="89"/>
      <x:c r="V53" s="89"/>
      <x:c r="W53" s="89"/>
      <x:c r="X53" s="89"/>
      <x:c r="Y53" s="89"/>
      <x:c r="Z53" s="89"/>
    </x:row>
    <x:row r="54">
      <x:c r="A54" s="89"/>
      <x:c r="B54" s="89"/>
      <x:c r="C54" s="89"/>
      <x:c r="D54" s="89"/>
      <x:c r="E54" s="89"/>
      <x:c r="F54" s="89"/>
      <x:c r="G54" s="89"/>
      <x:c r="H54" s="89"/>
      <x:c r="I54" s="89"/>
      <x:c r="J54" s="89"/>
      <x:c r="K54" s="89"/>
      <x:c r="L54" s="89"/>
      <x:c r="M54" s="89"/>
      <x:c r="N54" s="89"/>
      <x:c r="O54" s="89"/>
      <x:c r="P54" s="89"/>
      <x:c r="Q54" s="89"/>
      <x:c r="R54" s="89"/>
      <x:c r="S54" s="89"/>
      <x:c r="T54" s="89"/>
      <x:c r="U54" s="89"/>
      <x:c r="V54" s="89"/>
      <x:c r="W54" s="89"/>
      <x:c r="X54" s="89"/>
      <x:c r="Y54" s="89"/>
      <x:c r="Z54" s="89"/>
    </x:row>
    <x:row r="55">
      <x:c r="A55" s="89"/>
      <x:c r="B55" s="89"/>
      <x:c r="C55" s="89"/>
      <x:c r="D55" s="89"/>
      <x:c r="E55" s="89"/>
      <x:c r="F55" s="89"/>
      <x:c r="G55" s="89"/>
      <x:c r="H55" s="89"/>
      <x:c r="I55" s="89"/>
      <x:c r="J55" s="89"/>
      <x:c r="K55" s="89"/>
      <x:c r="L55" s="89"/>
      <x:c r="M55" s="89"/>
      <x:c r="N55" s="89"/>
      <x:c r="O55" s="89"/>
      <x:c r="P55" s="89"/>
      <x:c r="Q55" s="89"/>
      <x:c r="R55" s="89"/>
      <x:c r="S55" s="89"/>
      <x:c r="T55" s="89"/>
      <x:c r="U55" s="89"/>
      <x:c r="V55" s="89"/>
      <x:c r="W55" s="89"/>
      <x:c r="X55" s="89"/>
      <x:c r="Y55" s="89"/>
      <x:c r="Z55" s="89"/>
    </x:row>
    <x:row r="56">
      <x:c r="A56" s="89"/>
      <x:c r="B56" s="89"/>
      <x:c r="C56" s="89"/>
      <x:c r="D56" s="89"/>
      <x:c r="E56" s="89"/>
      <x:c r="F56" s="89"/>
      <x:c r="G56" s="89"/>
      <x:c r="H56" s="89"/>
      <x:c r="I56" s="89"/>
      <x:c r="J56" s="89"/>
      <x:c r="K56" s="89"/>
      <x:c r="L56" s="89"/>
      <x:c r="M56" s="89"/>
      <x:c r="N56" s="89"/>
      <x:c r="O56" s="89"/>
      <x:c r="P56" s="89"/>
      <x:c r="Q56" s="89"/>
      <x:c r="R56" s="89"/>
      <x:c r="S56" s="89"/>
      <x:c r="T56" s="89"/>
      <x:c r="U56" s="89"/>
      <x:c r="V56" s="89"/>
      <x:c r="W56" s="89"/>
      <x:c r="X56" s="89"/>
      <x:c r="Y56" s="89"/>
      <x:c r="Z56" s="89"/>
    </x:row>
    <x:row r="57">
      <x:c r="A57" s="89"/>
      <x:c r="B57" s="89"/>
      <x:c r="C57" s="89"/>
      <x:c r="D57" s="89"/>
      <x:c r="E57" s="89"/>
      <x:c r="F57" s="89"/>
      <x:c r="G57" s="89"/>
      <x:c r="H57" s="89"/>
      <x:c r="I57" s="89"/>
      <x:c r="J57" s="89"/>
      <x:c r="K57" s="89"/>
      <x:c r="L57" s="89"/>
      <x:c r="M57" s="89"/>
      <x:c r="N57" s="89"/>
      <x:c r="O57" s="89"/>
      <x:c r="P57" s="89"/>
      <x:c r="Q57" s="89"/>
      <x:c r="R57" s="89"/>
      <x:c r="S57" s="89"/>
      <x:c r="T57" s="89"/>
      <x:c r="U57" s="89"/>
      <x:c r="V57" s="89"/>
      <x:c r="W57" s="89"/>
      <x:c r="X57" s="89"/>
      <x:c r="Y57" s="89"/>
      <x:c r="Z57" s="89"/>
    </x:row>
    <x:row r="58">
      <x:c r="A58" s="89"/>
      <x:c r="B58" s="89"/>
      <x:c r="C58" s="89"/>
      <x:c r="D58" s="89"/>
      <x:c r="E58" s="89"/>
      <x:c r="F58" s="89"/>
      <x:c r="G58" s="89"/>
      <x:c r="H58" s="89"/>
      <x:c r="I58" s="89"/>
      <x:c r="J58" s="89"/>
      <x:c r="K58" s="89"/>
      <x:c r="L58" s="89"/>
      <x:c r="M58" s="89"/>
      <x:c r="N58" s="89"/>
      <x:c r="O58" s="89"/>
      <x:c r="P58" s="89"/>
      <x:c r="Q58" s="89"/>
      <x:c r="R58" s="89"/>
      <x:c r="S58" s="89"/>
      <x:c r="T58" s="89"/>
      <x:c r="U58" s="89"/>
      <x:c r="V58" s="89"/>
      <x:c r="W58" s="89"/>
      <x:c r="X58" s="89"/>
      <x:c r="Y58" s="89"/>
      <x:c r="Z58" s="89"/>
    </x:row>
    <x:row r="59">
      <x:c r="A59" s="89"/>
      <x:c r="B59" s="89"/>
      <x:c r="C59" s="89"/>
      <x:c r="D59" s="89"/>
      <x:c r="E59" s="89"/>
      <x:c r="F59" s="89"/>
      <x:c r="G59" s="89"/>
      <x:c r="H59" s="89"/>
      <x:c r="I59" s="89"/>
      <x:c r="J59" s="89"/>
      <x:c r="K59" s="89"/>
      <x:c r="L59" s="89"/>
      <x:c r="M59" s="89"/>
      <x:c r="N59" s="89"/>
      <x:c r="O59" s="89"/>
      <x:c r="P59" s="89"/>
      <x:c r="Q59" s="89"/>
      <x:c r="R59" s="89"/>
      <x:c r="S59" s="89"/>
      <x:c r="T59" s="89"/>
      <x:c r="U59" s="89"/>
      <x:c r="V59" s="89"/>
      <x:c r="W59" s="89"/>
      <x:c r="X59" s="89"/>
      <x:c r="Y59" s="89"/>
      <x:c r="Z59" s="89"/>
    </x:row>
    <x:row r="60">
      <x:c r="A60" s="89"/>
      <x:c r="B60" s="89"/>
      <x:c r="C60" s="89"/>
      <x:c r="D60" s="89"/>
      <x:c r="E60" s="89"/>
      <x:c r="F60" s="89"/>
      <x:c r="G60" s="89"/>
      <x:c r="H60" s="89"/>
      <x:c r="I60" s="89"/>
      <x:c r="J60" s="89"/>
      <x:c r="K60" s="89"/>
      <x:c r="L60" s="89"/>
      <x:c r="M60" s="89"/>
      <x:c r="N60" s="89"/>
      <x:c r="O60" s="89"/>
      <x:c r="P60" s="89"/>
      <x:c r="Q60" s="89"/>
      <x:c r="R60" s="89"/>
      <x:c r="S60" s="89"/>
      <x:c r="T60" s="89"/>
      <x:c r="U60" s="89"/>
      <x:c r="V60" s="89"/>
      <x:c r="W60" s="89"/>
      <x:c r="X60" s="89"/>
      <x:c r="Y60" s="89"/>
      <x:c r="Z60" s="89"/>
    </x:row>
    <x:row r="61">
      <x:c r="A61" s="89"/>
      <x:c r="B61" s="89"/>
      <x:c r="C61" s="89"/>
      <x:c r="D61" s="89"/>
      <x:c r="E61" s="89"/>
      <x:c r="F61" s="89"/>
      <x:c r="G61" s="89"/>
      <x:c r="H61" s="89"/>
      <x:c r="I61" s="89"/>
      <x:c r="J61" s="89"/>
      <x:c r="K61" s="89"/>
      <x:c r="L61" s="89"/>
      <x:c r="M61" s="89"/>
      <x:c r="N61" s="89"/>
      <x:c r="O61" s="89"/>
      <x:c r="P61" s="89"/>
      <x:c r="Q61" s="89"/>
      <x:c r="R61" s="89"/>
      <x:c r="S61" s="89"/>
      <x:c r="T61" s="89"/>
      <x:c r="U61" s="89"/>
      <x:c r="V61" s="89"/>
      <x:c r="W61" s="89"/>
      <x:c r="X61" s="89"/>
      <x:c r="Y61" s="89"/>
      <x:c r="Z61" s="89"/>
    </x:row>
    <x:row r="62">
      <x:c r="A62" s="89"/>
      <x:c r="B62" s="89"/>
      <x:c r="C62" s="89"/>
      <x:c r="D62" s="89"/>
      <x:c r="E62" s="89"/>
      <x:c r="F62" s="89"/>
      <x:c r="G62" s="89"/>
      <x:c r="H62" s="89"/>
      <x:c r="I62" s="89"/>
      <x:c r="J62" s="89"/>
      <x:c r="K62" s="89"/>
      <x:c r="L62" s="89"/>
      <x:c r="M62" s="89"/>
      <x:c r="N62" s="89"/>
      <x:c r="O62" s="89"/>
      <x:c r="P62" s="89"/>
      <x:c r="Q62" s="89"/>
      <x:c r="R62" s="89"/>
      <x:c r="S62" s="89"/>
      <x:c r="T62" s="89"/>
      <x:c r="U62" s="89"/>
      <x:c r="V62" s="89"/>
      <x:c r="W62" s="89"/>
      <x:c r="X62" s="89"/>
      <x:c r="Y62" s="89"/>
      <x:c r="Z62" s="89"/>
    </x:row>
    <x:row r="63">
      <x:c r="A63" s="89"/>
      <x:c r="B63" s="89"/>
      <x:c r="C63" s="89"/>
      <x:c r="D63" s="89"/>
      <x:c r="E63" s="89"/>
      <x:c r="F63" s="89"/>
      <x:c r="G63" s="89"/>
      <x:c r="H63" s="89"/>
      <x:c r="I63" s="89"/>
      <x:c r="J63" s="89"/>
      <x:c r="K63" s="89"/>
      <x:c r="L63" s="89"/>
      <x:c r="M63" s="89"/>
      <x:c r="N63" s="89"/>
      <x:c r="O63" s="89"/>
      <x:c r="P63" s="89"/>
      <x:c r="Q63" s="89"/>
      <x:c r="R63" s="89"/>
      <x:c r="S63" s="89"/>
      <x:c r="T63" s="89"/>
      <x:c r="U63" s="89"/>
      <x:c r="V63" s="89"/>
      <x:c r="W63" s="89"/>
      <x:c r="X63" s="89"/>
      <x:c r="Y63" s="89"/>
      <x:c r="Z63" s="89"/>
    </x:row>
    <x:row r="64">
      <x:c r="A64" s="89"/>
      <x:c r="B64" s="89"/>
      <x:c r="C64" s="89"/>
      <x:c r="D64" s="89"/>
      <x:c r="E64" s="89"/>
      <x:c r="F64" s="89"/>
      <x:c r="G64" s="89"/>
      <x:c r="H64" s="89"/>
      <x:c r="I64" s="89"/>
      <x:c r="J64" s="89"/>
      <x:c r="K64" s="89"/>
      <x:c r="L64" s="89"/>
      <x:c r="M64" s="89"/>
      <x:c r="N64" s="89"/>
      <x:c r="O64" s="89"/>
      <x:c r="P64" s="89"/>
      <x:c r="Q64" s="89"/>
      <x:c r="R64" s="89"/>
      <x:c r="S64" s="89"/>
      <x:c r="T64" s="89"/>
      <x:c r="U64" s="89"/>
      <x:c r="V64" s="89"/>
      <x:c r="W64" s="89"/>
      <x:c r="X64" s="89"/>
      <x:c r="Y64" s="89"/>
      <x:c r="Z64" s="89"/>
    </x:row>
    <x:row r="65">
      <x:c r="A65" s="89"/>
      <x:c r="B65" s="89"/>
      <x:c r="C65" s="89"/>
      <x:c r="D65" s="89"/>
      <x:c r="E65" s="89"/>
      <x:c r="F65" s="89"/>
      <x:c r="G65" s="89"/>
      <x:c r="H65" s="89"/>
      <x:c r="I65" s="89"/>
      <x:c r="J65" s="89"/>
      <x:c r="K65" s="89"/>
      <x:c r="L65" s="89"/>
      <x:c r="M65" s="89"/>
      <x:c r="N65" s="89"/>
      <x:c r="O65" s="89"/>
      <x:c r="P65" s="89"/>
      <x:c r="Q65" s="89"/>
      <x:c r="R65" s="89"/>
      <x:c r="S65" s="89"/>
      <x:c r="T65" s="89"/>
      <x:c r="U65" s="89"/>
      <x:c r="V65" s="89"/>
      <x:c r="W65" s="89"/>
      <x:c r="X65" s="89"/>
      <x:c r="Y65" s="89"/>
      <x:c r="Z65" s="89"/>
    </x:row>
    <x:row r="66">
      <x:c r="A66" s="89"/>
      <x:c r="B66" s="89"/>
      <x:c r="C66" s="89"/>
      <x:c r="D66" s="89"/>
      <x:c r="E66" s="89"/>
      <x:c r="F66" s="89"/>
      <x:c r="G66" s="89"/>
      <x:c r="H66" s="89"/>
      <x:c r="I66" s="89"/>
      <x:c r="J66" s="89"/>
      <x:c r="K66" s="89"/>
      <x:c r="L66" s="89"/>
      <x:c r="M66" s="89"/>
      <x:c r="N66" s="89"/>
      <x:c r="O66" s="89"/>
      <x:c r="P66" s="89"/>
      <x:c r="Q66" s="89"/>
      <x:c r="R66" s="89"/>
      <x:c r="S66" s="89"/>
      <x:c r="T66" s="89"/>
      <x:c r="U66" s="89"/>
      <x:c r="V66" s="89"/>
      <x:c r="W66" s="89"/>
      <x:c r="X66" s="89"/>
      <x:c r="Y66" s="89"/>
      <x:c r="Z66" s="89"/>
    </x:row>
    <x:row r="67">
      <x:c r="A67" s="89"/>
      <x:c r="B67" s="89"/>
      <x:c r="C67" s="89"/>
      <x:c r="D67" s="89"/>
      <x:c r="E67" s="89"/>
      <x:c r="F67" s="89"/>
      <x:c r="G67" s="89"/>
      <x:c r="H67" s="89"/>
      <x:c r="I67" s="89"/>
      <x:c r="J67" s="89"/>
      <x:c r="K67" s="89"/>
      <x:c r="L67" s="89"/>
      <x:c r="M67" s="89"/>
      <x:c r="N67" s="89"/>
      <x:c r="O67" s="89"/>
      <x:c r="P67" s="89"/>
      <x:c r="Q67" s="89"/>
      <x:c r="R67" s="89"/>
      <x:c r="S67" s="89"/>
      <x:c r="T67" s="89"/>
      <x:c r="U67" s="89"/>
      <x:c r="V67" s="89"/>
      <x:c r="W67" s="89"/>
      <x:c r="X67" s="89"/>
      <x:c r="Y67" s="89"/>
      <x:c r="Z67" s="89"/>
    </x:row>
    <x:row r="68">
      <x:c r="A68" s="89"/>
      <x:c r="B68" s="89"/>
      <x:c r="C68" s="89"/>
      <x:c r="D68" s="89"/>
      <x:c r="E68" s="89"/>
      <x:c r="F68" s="89"/>
      <x:c r="G68" s="89"/>
      <x:c r="H68" s="89"/>
      <x:c r="I68" s="89"/>
      <x:c r="J68" s="89"/>
      <x:c r="K68" s="89"/>
      <x:c r="L68" s="89"/>
      <x:c r="M68" s="89"/>
      <x:c r="N68" s="89"/>
      <x:c r="O68" s="89"/>
      <x:c r="P68" s="89"/>
      <x:c r="Q68" s="89"/>
      <x:c r="R68" s="89"/>
      <x:c r="S68" s="89"/>
      <x:c r="T68" s="89"/>
      <x:c r="U68" s="89"/>
      <x:c r="V68" s="89"/>
      <x:c r="W68" s="89"/>
      <x:c r="X68" s="89"/>
      <x:c r="Y68" s="89"/>
      <x:c r="Z68" s="89"/>
    </x:row>
    <x:row r="69">
      <x:c r="A69" s="89"/>
      <x:c r="B69" s="89"/>
      <x:c r="C69" s="89"/>
      <x:c r="D69" s="89"/>
      <x:c r="E69" s="89"/>
      <x:c r="F69" s="89"/>
      <x:c r="G69" s="89"/>
      <x:c r="H69" s="89"/>
      <x:c r="I69" s="89"/>
      <x:c r="J69" s="89"/>
      <x:c r="K69" s="89"/>
      <x:c r="L69" s="89"/>
      <x:c r="M69" s="89"/>
      <x:c r="N69" s="89"/>
      <x:c r="O69" s="89"/>
      <x:c r="P69" s="89"/>
      <x:c r="Q69" s="89"/>
      <x:c r="R69" s="89"/>
      <x:c r="S69" s="89"/>
      <x:c r="T69" s="89"/>
      <x:c r="U69" s="89"/>
      <x:c r="V69" s="89"/>
      <x:c r="W69" s="89"/>
      <x:c r="X69" s="89"/>
      <x:c r="Y69" s="89"/>
      <x:c r="Z69" s="89"/>
    </x:row>
    <x:row r="70">
      <x:c r="A70" s="89"/>
      <x:c r="B70" s="89"/>
      <x:c r="C70" s="89"/>
      <x:c r="D70" s="89"/>
      <x:c r="E70" s="89"/>
      <x:c r="F70" s="89"/>
      <x:c r="G70" s="89"/>
      <x:c r="H70" s="89"/>
      <x:c r="I70" s="89"/>
      <x:c r="J70" s="89"/>
      <x:c r="K70" s="89"/>
      <x:c r="L70" s="89"/>
      <x:c r="M70" s="89"/>
      <x:c r="N70" s="89"/>
      <x:c r="O70" s="89"/>
      <x:c r="P70" s="89"/>
      <x:c r="Q70" s="89"/>
      <x:c r="R70" s="89"/>
      <x:c r="S70" s="89"/>
      <x:c r="T70" s="89"/>
      <x:c r="U70" s="89"/>
      <x:c r="V70" s="89"/>
      <x:c r="W70" s="89"/>
      <x:c r="X70" s="89"/>
      <x:c r="Y70" s="89"/>
      <x:c r="Z70" s="89"/>
    </x:row>
    <x:row r="71">
      <x:c r="A71" s="89"/>
      <x:c r="B71" s="89"/>
      <x:c r="C71" s="89"/>
      <x:c r="D71" s="89"/>
      <x:c r="E71" s="89"/>
      <x:c r="F71" s="89"/>
      <x:c r="G71" s="89"/>
      <x:c r="H71" s="89"/>
      <x:c r="I71" s="89"/>
      <x:c r="J71" s="89"/>
      <x:c r="K71" s="89"/>
      <x:c r="L71" s="89"/>
      <x:c r="M71" s="89"/>
      <x:c r="N71" s="89"/>
      <x:c r="O71" s="89"/>
      <x:c r="P71" s="89"/>
      <x:c r="Q71" s="89"/>
      <x:c r="R71" s="89"/>
      <x:c r="S71" s="89"/>
      <x:c r="T71" s="89"/>
      <x:c r="U71" s="89"/>
      <x:c r="V71" s="89"/>
      <x:c r="W71" s="89"/>
      <x:c r="X71" s="89"/>
      <x:c r="Y71" s="89"/>
      <x:c r="Z71" s="89"/>
    </x:row>
    <x:row r="72">
      <x:c r="A72" s="89"/>
      <x:c r="B72" s="89"/>
      <x:c r="C72" s="89"/>
      <x:c r="D72" s="89"/>
      <x:c r="E72" s="89"/>
      <x:c r="F72" s="89"/>
      <x:c r="G72" s="89"/>
      <x:c r="H72" s="89"/>
      <x:c r="I72" s="89"/>
      <x:c r="J72" s="89"/>
      <x:c r="K72" s="89"/>
      <x:c r="L72" s="89"/>
      <x:c r="M72" s="89"/>
      <x:c r="N72" s="89"/>
      <x:c r="O72" s="89"/>
      <x:c r="P72" s="89"/>
      <x:c r="Q72" s="89"/>
      <x:c r="R72" s="89"/>
      <x:c r="S72" s="89"/>
      <x:c r="T72" s="89"/>
      <x:c r="U72" s="89"/>
      <x:c r="V72" s="89"/>
      <x:c r="W72" s="89"/>
      <x:c r="X72" s="89"/>
      <x:c r="Y72" s="89"/>
      <x:c r="Z72" s="89"/>
    </x:row>
    <x:row r="73">
      <x:c r="A73" s="89"/>
      <x:c r="B73" s="89"/>
      <x:c r="C73" s="89"/>
      <x:c r="D73" s="89"/>
      <x:c r="E73" s="89"/>
      <x:c r="F73" s="89"/>
      <x:c r="G73" s="89"/>
      <x:c r="H73" s="89"/>
      <x:c r="I73" s="89"/>
      <x:c r="J73" s="89"/>
      <x:c r="K73" s="89"/>
      <x:c r="L73" s="89"/>
      <x:c r="M73" s="89"/>
      <x:c r="N73" s="89"/>
      <x:c r="O73" s="89"/>
      <x:c r="P73" s="89"/>
      <x:c r="Q73" s="89"/>
      <x:c r="R73" s="89"/>
      <x:c r="S73" s="89"/>
      <x:c r="T73" s="89"/>
      <x:c r="U73" s="89"/>
      <x:c r="V73" s="89"/>
      <x:c r="W73" s="89"/>
      <x:c r="X73" s="89"/>
      <x:c r="Y73" s="89"/>
      <x:c r="Z73" s="89"/>
    </x:row>
    <x:row r="74">
      <x:c r="A74" s="89"/>
      <x:c r="B74" s="89"/>
      <x:c r="C74" s="89"/>
      <x:c r="D74" s="89"/>
      <x:c r="E74" s="89"/>
      <x:c r="F74" s="89"/>
      <x:c r="G74" s="89"/>
      <x:c r="H74" s="89"/>
      <x:c r="I74" s="89"/>
      <x:c r="J74" s="89"/>
      <x:c r="K74" s="89"/>
      <x:c r="L74" s="89"/>
      <x:c r="M74" s="89"/>
      <x:c r="N74" s="89"/>
      <x:c r="O74" s="89"/>
      <x:c r="P74" s="89"/>
      <x:c r="Q74" s="89"/>
      <x:c r="R74" s="89"/>
      <x:c r="S74" s="89"/>
      <x:c r="T74" s="89"/>
      <x:c r="U74" s="89"/>
      <x:c r="V74" s="89"/>
      <x:c r="W74" s="89"/>
      <x:c r="X74" s="89"/>
      <x:c r="Y74" s="89"/>
      <x:c r="Z74" s="89"/>
    </x:row>
    <x:row r="75">
      <x:c r="A75" s="89"/>
      <x:c r="B75" s="89"/>
      <x:c r="C75" s="89"/>
      <x:c r="D75" s="89"/>
      <x:c r="E75" s="89"/>
      <x:c r="F75" s="89"/>
      <x:c r="G75" s="89"/>
      <x:c r="H75" s="89"/>
      <x:c r="I75" s="89"/>
      <x:c r="J75" s="89"/>
      <x:c r="K75" s="89"/>
      <x:c r="L75" s="89"/>
      <x:c r="M75" s="89"/>
      <x:c r="N75" s="89"/>
      <x:c r="O75" s="89"/>
      <x:c r="P75" s="89"/>
      <x:c r="Q75" s="89"/>
      <x:c r="R75" s="89"/>
      <x:c r="S75" s="89"/>
      <x:c r="T75" s="89"/>
      <x:c r="U75" s="89"/>
      <x:c r="V75" s="89"/>
      <x:c r="W75" s="89"/>
      <x:c r="X75" s="89"/>
      <x:c r="Y75" s="89"/>
      <x:c r="Z75" s="89"/>
    </x:row>
    <x:row r="76">
      <x:c r="A76" s="89"/>
      <x:c r="B76" s="89"/>
      <x:c r="C76" s="89"/>
      <x:c r="D76" s="89"/>
      <x:c r="E76" s="89"/>
      <x:c r="F76" s="89"/>
      <x:c r="G76" s="89"/>
      <x:c r="H76" s="89"/>
      <x:c r="I76" s="89"/>
      <x:c r="J76" s="89"/>
      <x:c r="K76" s="89"/>
      <x:c r="L76" s="89"/>
      <x:c r="M76" s="89"/>
      <x:c r="N76" s="89"/>
      <x:c r="O76" s="89"/>
      <x:c r="P76" s="89"/>
      <x:c r="Q76" s="89"/>
      <x:c r="R76" s="89"/>
      <x:c r="S76" s="89"/>
      <x:c r="T76" s="89"/>
      <x:c r="U76" s="89"/>
      <x:c r="V76" s="89"/>
      <x:c r="W76" s="89"/>
      <x:c r="X76" s="89"/>
      <x:c r="Y76" s="89"/>
      <x:c r="Z76" s="89"/>
    </x:row>
    <x:row r="77">
      <x:c r="A77" s="89"/>
      <x:c r="B77" s="89"/>
      <x:c r="C77" s="89"/>
      <x:c r="D77" s="89"/>
      <x:c r="E77" s="89"/>
      <x:c r="F77" s="89"/>
      <x:c r="G77" s="89"/>
      <x:c r="H77" s="89"/>
      <x:c r="I77" s="89"/>
      <x:c r="J77" s="89"/>
      <x:c r="K77" s="89"/>
      <x:c r="L77" s="89"/>
      <x:c r="M77" s="89"/>
      <x:c r="N77" s="89"/>
      <x:c r="O77" s="89"/>
      <x:c r="P77" s="89"/>
      <x:c r="Q77" s="89"/>
      <x:c r="R77" s="89"/>
      <x:c r="S77" s="89"/>
      <x:c r="T77" s="89"/>
      <x:c r="U77" s="89"/>
      <x:c r="V77" s="89"/>
      <x:c r="W77" s="89"/>
      <x:c r="X77" s="89"/>
      <x:c r="Y77" s="89"/>
      <x:c r="Z77" s="89"/>
    </x:row>
    <x:row r="78">
      <x:c r="A78" s="89"/>
      <x:c r="B78" s="89"/>
      <x:c r="C78" s="89"/>
      <x:c r="D78" s="89"/>
      <x:c r="E78" s="89"/>
      <x:c r="F78" s="89"/>
      <x:c r="G78" s="89"/>
      <x:c r="H78" s="89"/>
      <x:c r="I78" s="89"/>
      <x:c r="J78" s="89"/>
      <x:c r="K78" s="89"/>
      <x:c r="L78" s="89"/>
      <x:c r="M78" s="89"/>
      <x:c r="N78" s="89"/>
      <x:c r="O78" s="89"/>
      <x:c r="P78" s="89"/>
      <x:c r="Q78" s="89"/>
      <x:c r="R78" s="89"/>
      <x:c r="S78" s="89"/>
      <x:c r="T78" s="89"/>
      <x:c r="U78" s="89"/>
      <x:c r="V78" s="89"/>
      <x:c r="W78" s="89"/>
      <x:c r="X78" s="89"/>
      <x:c r="Y78" s="89"/>
      <x:c r="Z78" s="89"/>
    </x:row>
    <x:row r="79">
      <x:c r="A79" s="89"/>
      <x:c r="B79" s="89"/>
      <x:c r="C79" s="89"/>
      <x:c r="D79" s="89"/>
      <x:c r="E79" s="89"/>
      <x:c r="F79" s="89"/>
      <x:c r="G79" s="89"/>
      <x:c r="H79" s="89"/>
      <x:c r="I79" s="89"/>
      <x:c r="J79" s="89"/>
      <x:c r="K79" s="89"/>
      <x:c r="L79" s="89"/>
      <x:c r="M79" s="89"/>
      <x:c r="N79" s="89"/>
      <x:c r="O79" s="89"/>
      <x:c r="P79" s="89"/>
      <x:c r="Q79" s="89"/>
      <x:c r="R79" s="89"/>
      <x:c r="S79" s="89"/>
      <x:c r="T79" s="89"/>
      <x:c r="U79" s="89"/>
      <x:c r="V79" s="89"/>
      <x:c r="W79" s="89"/>
      <x:c r="X79" s="89"/>
      <x:c r="Y79" s="89"/>
      <x:c r="Z79" s="89"/>
    </x:row>
    <x:row r="80">
      <x:c r="A80" s="89"/>
      <x:c r="B80" s="89"/>
      <x:c r="C80" s="89"/>
      <x:c r="D80" s="89"/>
      <x:c r="E80" s="89"/>
      <x:c r="F80" s="89"/>
      <x:c r="G80" s="89"/>
      <x:c r="H80" s="89"/>
      <x:c r="I80" s="89"/>
      <x:c r="J80" s="89"/>
      <x:c r="K80" s="89"/>
      <x:c r="L80" s="89"/>
      <x:c r="M80" s="89"/>
      <x:c r="N80" s="89"/>
      <x:c r="O80" s="89"/>
      <x:c r="P80" s="89"/>
      <x:c r="Q80" s="89"/>
      <x:c r="R80" s="89"/>
      <x:c r="S80" s="89"/>
      <x:c r="T80" s="89"/>
      <x:c r="U80" s="89"/>
      <x:c r="V80" s="89"/>
      <x:c r="W80" s="89"/>
      <x:c r="X80" s="89"/>
      <x:c r="Y80" s="89"/>
      <x:c r="Z80" s="89"/>
    </x:row>
    <x:row r="81">
      <x:c r="A81" s="89"/>
      <x:c r="B81" s="89"/>
      <x:c r="C81" s="89"/>
      <x:c r="D81" s="89"/>
      <x:c r="E81" s="89"/>
      <x:c r="F81" s="89"/>
      <x:c r="G81" s="89"/>
      <x:c r="H81" s="89"/>
      <x:c r="I81" s="89"/>
      <x:c r="J81" s="89"/>
      <x:c r="K81" s="89"/>
      <x:c r="L81" s="89"/>
      <x:c r="M81" s="89"/>
      <x:c r="N81" s="89"/>
      <x:c r="O81" s="89"/>
      <x:c r="P81" s="89"/>
      <x:c r="Q81" s="89"/>
      <x:c r="R81" s="89"/>
      <x:c r="S81" s="89"/>
      <x:c r="T81" s="89"/>
      <x:c r="U81" s="89"/>
      <x:c r="V81" s="89"/>
      <x:c r="W81" s="89"/>
      <x:c r="X81" s="89"/>
      <x:c r="Y81" s="89"/>
      <x:c r="Z81" s="89"/>
    </x:row>
    <x:row r="82">
      <x:c r="A82" s="89"/>
      <x:c r="B82" s="89"/>
      <x:c r="C82" s="89"/>
      <x:c r="D82" s="89"/>
      <x:c r="E82" s="89"/>
      <x:c r="F82" s="89"/>
      <x:c r="G82" s="89"/>
      <x:c r="H82" s="89"/>
      <x:c r="I82" s="89"/>
      <x:c r="J82" s="89"/>
      <x:c r="K82" s="89"/>
      <x:c r="L82" s="89"/>
      <x:c r="M82" s="89"/>
      <x:c r="N82" s="89"/>
      <x:c r="O82" s="89"/>
      <x:c r="P82" s="89"/>
      <x:c r="Q82" s="89"/>
      <x:c r="R82" s="89"/>
      <x:c r="S82" s="89"/>
      <x:c r="T82" s="89"/>
      <x:c r="U82" s="89"/>
      <x:c r="V82" s="89"/>
      <x:c r="W82" s="89"/>
      <x:c r="X82" s="89"/>
      <x:c r="Y82" s="89"/>
      <x:c r="Z82" s="89"/>
    </x:row>
    <x:row r="83">
      <x:c r="A83" s="89"/>
      <x:c r="B83" s="89"/>
      <x:c r="C83" s="89"/>
      <x:c r="D83" s="89"/>
      <x:c r="E83" s="89"/>
      <x:c r="F83" s="89"/>
      <x:c r="G83" s="89"/>
      <x:c r="H83" s="89"/>
      <x:c r="I83" s="89"/>
      <x:c r="J83" s="89"/>
      <x:c r="K83" s="89"/>
      <x:c r="L83" s="89"/>
      <x:c r="M83" s="89"/>
      <x:c r="N83" s="89"/>
      <x:c r="O83" s="89"/>
      <x:c r="P83" s="89"/>
      <x:c r="Q83" s="89"/>
      <x:c r="R83" s="89"/>
      <x:c r="S83" s="89"/>
      <x:c r="T83" s="89"/>
      <x:c r="U83" s="89"/>
      <x:c r="V83" s="89"/>
      <x:c r="W83" s="89"/>
      <x:c r="X83" s="89"/>
      <x:c r="Y83" s="89"/>
      <x:c r="Z83" s="89"/>
    </x:row>
    <x:row r="84">
      <x:c r="A84" s="89"/>
      <x:c r="B84" s="89"/>
      <x:c r="C84" s="89"/>
      <x:c r="D84" s="89"/>
      <x:c r="E84" s="89"/>
      <x:c r="F84" s="89"/>
      <x:c r="G84" s="89"/>
      <x:c r="H84" s="89"/>
      <x:c r="I84" s="89"/>
      <x:c r="J84" s="89"/>
      <x:c r="K84" s="89"/>
      <x:c r="L84" s="89"/>
      <x:c r="M84" s="89"/>
      <x:c r="N84" s="89"/>
      <x:c r="O84" s="89"/>
      <x:c r="P84" s="89"/>
      <x:c r="Q84" s="89"/>
      <x:c r="R84" s="89"/>
      <x:c r="S84" s="89"/>
      <x:c r="T84" s="89"/>
      <x:c r="U84" s="89"/>
      <x:c r="V84" s="89"/>
      <x:c r="W84" s="89"/>
      <x:c r="X84" s="89"/>
      <x:c r="Y84" s="89"/>
      <x:c r="Z84" s="89"/>
    </x:row>
    <x:row r="85">
      <x:c r="A85" s="89"/>
      <x:c r="B85" s="89"/>
      <x:c r="C85" s="89"/>
      <x:c r="D85" s="89"/>
      <x:c r="E85" s="89"/>
      <x:c r="F85" s="89"/>
      <x:c r="G85" s="89"/>
      <x:c r="H85" s="89"/>
      <x:c r="I85" s="89"/>
      <x:c r="J85" s="89"/>
      <x:c r="K85" s="89"/>
      <x:c r="L85" s="89"/>
      <x:c r="M85" s="89"/>
      <x:c r="N85" s="89"/>
      <x:c r="O85" s="89"/>
      <x:c r="P85" s="89"/>
      <x:c r="Q85" s="89"/>
      <x:c r="R85" s="89"/>
      <x:c r="S85" s="89"/>
      <x:c r="T85" s="89"/>
      <x:c r="U85" s="89"/>
      <x:c r="V85" s="89"/>
      <x:c r="W85" s="89"/>
      <x:c r="X85" s="89"/>
      <x:c r="Y85" s="89"/>
      <x:c r="Z85" s="89"/>
    </x:row>
    <x:row r="86">
      <x:c r="A86" s="89"/>
      <x:c r="B86" s="89"/>
      <x:c r="C86" s="89"/>
      <x:c r="D86" s="89"/>
      <x:c r="E86" s="89"/>
      <x:c r="F86" s="89"/>
      <x:c r="G86" s="89"/>
      <x:c r="H86" s="89"/>
      <x:c r="I86" s="89"/>
      <x:c r="J86" s="89"/>
      <x:c r="K86" s="89"/>
      <x:c r="L86" s="89"/>
      <x:c r="M86" s="89"/>
      <x:c r="N86" s="89"/>
      <x:c r="O86" s="89"/>
      <x:c r="P86" s="89"/>
      <x:c r="Q86" s="89"/>
      <x:c r="R86" s="89"/>
      <x:c r="S86" s="89"/>
      <x:c r="T86" s="89"/>
      <x:c r="U86" s="89"/>
      <x:c r="V86" s="89"/>
      <x:c r="W86" s="89"/>
      <x:c r="X86" s="89"/>
      <x:c r="Y86" s="89"/>
      <x:c r="Z86" s="89"/>
    </x:row>
    <x:row r="87">
      <x:c r="A87" s="89"/>
      <x:c r="B87" s="89"/>
      <x:c r="C87" s="89"/>
      <x:c r="D87" s="89"/>
      <x:c r="E87" s="89"/>
      <x:c r="F87" s="89"/>
      <x:c r="G87" s="89"/>
      <x:c r="H87" s="89"/>
      <x:c r="I87" s="89"/>
      <x:c r="J87" s="89"/>
      <x:c r="K87" s="89"/>
      <x:c r="L87" s="89"/>
      <x:c r="M87" s="89"/>
      <x:c r="N87" s="89"/>
      <x:c r="O87" s="89"/>
      <x:c r="P87" s="89"/>
      <x:c r="Q87" s="89"/>
      <x:c r="R87" s="89"/>
      <x:c r="S87" s="89"/>
      <x:c r="T87" s="89"/>
      <x:c r="U87" s="89"/>
      <x:c r="V87" s="89"/>
      <x:c r="W87" s="89"/>
      <x:c r="X87" s="89"/>
      <x:c r="Y87" s="89"/>
      <x:c r="Z87" s="89"/>
    </x:row>
    <x:row r="88">
      <x:c r="A88" s="89"/>
      <x:c r="B88" s="89"/>
      <x:c r="C88" s="89"/>
      <x:c r="D88" s="89"/>
      <x:c r="E88" s="89"/>
      <x:c r="F88" s="89"/>
      <x:c r="G88" s="89"/>
      <x:c r="H88" s="89"/>
      <x:c r="I88" s="89"/>
      <x:c r="J88" s="89"/>
      <x:c r="K88" s="89"/>
      <x:c r="L88" s="89"/>
      <x:c r="M88" s="89"/>
      <x:c r="N88" s="89"/>
      <x:c r="O88" s="89"/>
      <x:c r="P88" s="89"/>
      <x:c r="Q88" s="89"/>
      <x:c r="R88" s="89"/>
      <x:c r="S88" s="89"/>
      <x:c r="T88" s="89"/>
      <x:c r="U88" s="89"/>
      <x:c r="V88" s="89"/>
      <x:c r="W88" s="89"/>
      <x:c r="X88" s="89"/>
      <x:c r="Y88" s="89"/>
      <x:c r="Z88" s="89"/>
    </x:row>
    <x:row r="89">
      <x:c r="A89" s="89"/>
      <x:c r="B89" s="89"/>
      <x:c r="C89" s="89"/>
      <x:c r="D89" s="89"/>
      <x:c r="E89" s="89"/>
      <x:c r="F89" s="89"/>
      <x:c r="G89" s="89"/>
      <x:c r="H89" s="89"/>
      <x:c r="I89" s="89"/>
      <x:c r="J89" s="89"/>
      <x:c r="K89" s="89"/>
      <x:c r="L89" s="89"/>
      <x:c r="M89" s="89"/>
      <x:c r="N89" s="89"/>
      <x:c r="O89" s="89"/>
      <x:c r="P89" s="89"/>
      <x:c r="Q89" s="89"/>
      <x:c r="R89" s="89"/>
      <x:c r="S89" s="89"/>
      <x:c r="T89" s="89"/>
      <x:c r="U89" s="89"/>
      <x:c r="V89" s="89"/>
      <x:c r="W89" s="89"/>
      <x:c r="X89" s="89"/>
      <x:c r="Y89" s="89"/>
      <x:c r="Z89" s="89"/>
    </x:row>
    <x:row r="90">
      <x:c r="A90" s="89"/>
      <x:c r="B90" s="89"/>
      <x:c r="C90" s="89"/>
      <x:c r="D90" s="89"/>
      <x:c r="E90" s="89"/>
      <x:c r="F90" s="89"/>
      <x:c r="G90" s="89"/>
      <x:c r="H90" s="89"/>
      <x:c r="I90" s="89"/>
      <x:c r="J90" s="89"/>
      <x:c r="K90" s="89"/>
      <x:c r="L90" s="89"/>
      <x:c r="M90" s="89"/>
      <x:c r="N90" s="89"/>
      <x:c r="O90" s="89"/>
      <x:c r="P90" s="89"/>
      <x:c r="Q90" s="89"/>
      <x:c r="R90" s="89"/>
      <x:c r="S90" s="89"/>
      <x:c r="T90" s="89"/>
      <x:c r="U90" s="89"/>
      <x:c r="V90" s="89"/>
      <x:c r="W90" s="89"/>
      <x:c r="X90" s="89"/>
      <x:c r="Y90" s="89"/>
      <x:c r="Z90" s="89"/>
    </x:row>
    <x:row r="91">
      <x:c r="A91" s="89"/>
      <x:c r="B91" s="89"/>
      <x:c r="C91" s="89"/>
      <x:c r="D91" s="89"/>
      <x:c r="E91" s="89"/>
      <x:c r="F91" s="89"/>
      <x:c r="G91" s="89"/>
      <x:c r="H91" s="89"/>
      <x:c r="I91" s="89"/>
      <x:c r="J91" s="89"/>
      <x:c r="K91" s="89"/>
      <x:c r="L91" s="89"/>
      <x:c r="M91" s="89"/>
      <x:c r="N91" s="89"/>
      <x:c r="O91" s="89"/>
      <x:c r="P91" s="89"/>
      <x:c r="Q91" s="89"/>
      <x:c r="R91" s="89"/>
      <x:c r="S91" s="89"/>
      <x:c r="T91" s="89"/>
      <x:c r="U91" s="89"/>
      <x:c r="V91" s="89"/>
      <x:c r="W91" s="89"/>
      <x:c r="X91" s="89"/>
      <x:c r="Y91" s="89"/>
      <x:c r="Z91" s="89"/>
    </x:row>
    <x:row r="92">
      <x:c r="A92" s="89"/>
      <x:c r="B92" s="89"/>
      <x:c r="C92" s="89"/>
      <x:c r="D92" s="89"/>
      <x:c r="E92" s="89"/>
      <x:c r="F92" s="89"/>
      <x:c r="G92" s="89"/>
      <x:c r="H92" s="89"/>
      <x:c r="I92" s="89"/>
      <x:c r="J92" s="89"/>
      <x:c r="K92" s="89"/>
      <x:c r="L92" s="89"/>
      <x:c r="M92" s="89"/>
      <x:c r="N92" s="89"/>
      <x:c r="O92" s="89"/>
      <x:c r="P92" s="89"/>
      <x:c r="Q92" s="89"/>
      <x:c r="R92" s="89"/>
      <x:c r="S92" s="89"/>
      <x:c r="T92" s="89"/>
      <x:c r="U92" s="89"/>
      <x:c r="V92" s="89"/>
      <x:c r="W92" s="89"/>
      <x:c r="X92" s="89"/>
      <x:c r="Y92" s="89"/>
      <x:c r="Z92" s="89"/>
    </x:row>
    <x:row r="93">
      <x:c r="A93" s="89"/>
      <x:c r="B93" s="89"/>
      <x:c r="C93" s="89"/>
      <x:c r="D93" s="89"/>
      <x:c r="E93" s="89"/>
      <x:c r="F93" s="89"/>
      <x:c r="G93" s="89"/>
      <x:c r="H93" s="89"/>
      <x:c r="I93" s="89"/>
      <x:c r="J93" s="89"/>
      <x:c r="K93" s="89"/>
      <x:c r="L93" s="89"/>
      <x:c r="M93" s="89"/>
      <x:c r="N93" s="89"/>
      <x:c r="O93" s="89"/>
      <x:c r="P93" s="89"/>
      <x:c r="Q93" s="89"/>
      <x:c r="R93" s="89"/>
      <x:c r="S93" s="89"/>
      <x:c r="T93" s="89"/>
      <x:c r="U93" s="89"/>
      <x:c r="V93" s="89"/>
      <x:c r="W93" s="89"/>
      <x:c r="X93" s="89"/>
      <x:c r="Y93" s="89"/>
      <x:c r="Z93" s="89"/>
    </x:row>
    <x:row r="94">
      <x:c r="A94" s="89"/>
      <x:c r="B94" s="89"/>
      <x:c r="C94" s="89"/>
      <x:c r="D94" s="89"/>
      <x:c r="E94" s="89"/>
      <x:c r="F94" s="89"/>
      <x:c r="G94" s="89"/>
      <x:c r="H94" s="89"/>
      <x:c r="I94" s="89"/>
      <x:c r="J94" s="89"/>
      <x:c r="K94" s="89"/>
      <x:c r="L94" s="89"/>
      <x:c r="M94" s="89"/>
      <x:c r="N94" s="89"/>
      <x:c r="O94" s="89"/>
      <x:c r="P94" s="89"/>
      <x:c r="Q94" s="89"/>
      <x:c r="R94" s="89"/>
      <x:c r="S94" s="89"/>
      <x:c r="T94" s="89"/>
      <x:c r="U94" s="89"/>
      <x:c r="V94" s="89"/>
      <x:c r="W94" s="89"/>
      <x:c r="X94" s="89"/>
      <x:c r="Y94" s="89"/>
      <x:c r="Z94" s="89"/>
    </x:row>
    <x:row r="95">
      <x:c r="A95" s="89"/>
      <x:c r="B95" s="89"/>
      <x:c r="C95" s="89"/>
      <x:c r="D95" s="89"/>
      <x:c r="E95" s="89"/>
      <x:c r="F95" s="89"/>
      <x:c r="G95" s="89"/>
      <x:c r="H95" s="89"/>
      <x:c r="I95" s="89"/>
      <x:c r="J95" s="89"/>
      <x:c r="K95" s="89"/>
      <x:c r="L95" s="89"/>
      <x:c r="M95" s="89"/>
      <x:c r="N95" s="89"/>
      <x:c r="O95" s="89"/>
      <x:c r="P95" s="89"/>
      <x:c r="Q95" s="89"/>
      <x:c r="R95" s="89"/>
      <x:c r="S95" s="89"/>
      <x:c r="T95" s="89"/>
      <x:c r="U95" s="89"/>
      <x:c r="V95" s="89"/>
      <x:c r="W95" s="89"/>
      <x:c r="X95" s="89"/>
      <x:c r="Y95" s="89"/>
      <x:c r="Z95" s="89"/>
    </x:row>
    <x:row r="96">
      <x:c r="A96" s="89"/>
      <x:c r="B96" s="89"/>
      <x:c r="C96" s="89"/>
      <x:c r="D96" s="89"/>
      <x:c r="E96" s="89"/>
      <x:c r="F96" s="89"/>
      <x:c r="G96" s="89"/>
      <x:c r="H96" s="89"/>
      <x:c r="I96" s="89"/>
      <x:c r="J96" s="89"/>
      <x:c r="K96" s="89"/>
      <x:c r="L96" s="89"/>
      <x:c r="M96" s="89"/>
      <x:c r="N96" s="89"/>
      <x:c r="O96" s="89"/>
      <x:c r="P96" s="89"/>
      <x:c r="Q96" s="89"/>
      <x:c r="R96" s="89"/>
      <x:c r="S96" s="89"/>
      <x:c r="T96" s="89"/>
      <x:c r="U96" s="89"/>
      <x:c r="V96" s="89"/>
      <x:c r="W96" s="89"/>
      <x:c r="X96" s="89"/>
      <x:c r="Y96" s="89"/>
      <x:c r="Z96" s="89"/>
    </x:row>
    <x:row r="97">
      <x:c r="A97" s="89"/>
      <x:c r="B97" s="89"/>
      <x:c r="C97" s="89"/>
      <x:c r="D97" s="89"/>
      <x:c r="E97" s="89"/>
      <x:c r="F97" s="89"/>
      <x:c r="G97" s="89"/>
      <x:c r="H97" s="89"/>
      <x:c r="I97" s="89"/>
      <x:c r="J97" s="89"/>
      <x:c r="K97" s="89"/>
      <x:c r="L97" s="89"/>
      <x:c r="M97" s="89"/>
      <x:c r="N97" s="89"/>
      <x:c r="O97" s="89"/>
      <x:c r="P97" s="89"/>
      <x:c r="Q97" s="89"/>
      <x:c r="R97" s="89"/>
      <x:c r="S97" s="89"/>
      <x:c r="T97" s="89"/>
      <x:c r="U97" s="89"/>
      <x:c r="V97" s="89"/>
      <x:c r="W97" s="89"/>
      <x:c r="X97" s="89"/>
      <x:c r="Y97" s="89"/>
      <x:c r="Z97" s="89"/>
    </x:row>
    <x:row r="98">
      <x:c r="A98" s="89"/>
      <x:c r="B98" s="89"/>
      <x:c r="C98" s="89"/>
      <x:c r="D98" s="89"/>
      <x:c r="E98" s="89"/>
      <x:c r="F98" s="89"/>
      <x:c r="G98" s="89"/>
      <x:c r="H98" s="89"/>
      <x:c r="I98" s="89"/>
      <x:c r="J98" s="89"/>
      <x:c r="K98" s="89"/>
      <x:c r="L98" s="89"/>
      <x:c r="M98" s="89"/>
      <x:c r="N98" s="89"/>
      <x:c r="O98" s="89"/>
      <x:c r="P98" s="89"/>
      <x:c r="Q98" s="89"/>
      <x:c r="R98" s="89"/>
      <x:c r="S98" s="89"/>
      <x:c r="T98" s="89"/>
      <x:c r="U98" s="89"/>
      <x:c r="V98" s="89"/>
      <x:c r="W98" s="89"/>
      <x:c r="X98" s="89"/>
      <x:c r="Y98" s="89"/>
      <x:c r="Z98" s="89"/>
    </x:row>
    <x:row r="99">
      <x:c r="A99" s="89"/>
      <x:c r="B99" s="89"/>
      <x:c r="C99" s="89"/>
      <x:c r="D99" s="89"/>
      <x:c r="E99" s="89"/>
      <x:c r="F99" s="89"/>
      <x:c r="G99" s="89"/>
      <x:c r="H99" s="89"/>
      <x:c r="I99" s="89"/>
      <x:c r="J99" s="89"/>
      <x:c r="K99" s="89"/>
      <x:c r="L99" s="89"/>
      <x:c r="M99" s="89"/>
      <x:c r="N99" s="89"/>
      <x:c r="O99" s="89"/>
      <x:c r="P99" s="89"/>
      <x:c r="Q99" s="89"/>
      <x:c r="R99" s="89"/>
      <x:c r="S99" s="89"/>
      <x:c r="T99" s="89"/>
      <x:c r="U99" s="89"/>
      <x:c r="V99" s="89"/>
      <x:c r="W99" s="89"/>
      <x:c r="X99" s="89"/>
      <x:c r="Y99" s="89"/>
      <x:c r="Z99" s="89"/>
    </x:row>
    <x:row r="100">
      <x:c r="A100" s="89"/>
      <x:c r="B100" s="89"/>
      <x:c r="C100" s="89"/>
      <x:c r="D100" s="89"/>
      <x:c r="E100" s="89"/>
      <x:c r="F100" s="89"/>
      <x:c r="G100" s="89"/>
      <x:c r="H100" s="89"/>
      <x:c r="I100" s="89"/>
      <x:c r="J100" s="89"/>
      <x:c r="K100" s="89"/>
      <x:c r="L100" s="89"/>
      <x:c r="M100" s="89"/>
      <x:c r="N100" s="89"/>
      <x:c r="O100" s="89"/>
      <x:c r="P100" s="89"/>
      <x:c r="Q100" s="89"/>
      <x:c r="R100" s="89"/>
      <x:c r="S100" s="89"/>
      <x:c r="T100" s="89"/>
      <x:c r="U100" s="89"/>
      <x:c r="V100" s="89"/>
      <x:c r="W100" s="89"/>
      <x:c r="X100" s="89"/>
      <x:c r="Y100" s="89"/>
      <x:c r="Z100" s="89"/>
    </x:row>
    <x:row r="101">
      <x:c r="A101" s="89"/>
      <x:c r="B101" s="89"/>
      <x:c r="C101" s="89"/>
      <x:c r="D101" s="89"/>
      <x:c r="E101" s="89"/>
      <x:c r="F101" s="89"/>
      <x:c r="G101" s="89"/>
      <x:c r="H101" s="89"/>
      <x:c r="I101" s="89"/>
      <x:c r="J101" s="89"/>
      <x:c r="K101" s="89"/>
      <x:c r="L101" s="89"/>
      <x:c r="M101" s="89"/>
      <x:c r="N101" s="89"/>
      <x:c r="O101" s="89"/>
      <x:c r="P101" s="89"/>
      <x:c r="Q101" s="89"/>
      <x:c r="R101" s="89"/>
      <x:c r="S101" s="89"/>
      <x:c r="T101" s="89"/>
      <x:c r="U101" s="89"/>
      <x:c r="V101" s="89"/>
      <x:c r="W101" s="89"/>
      <x:c r="X101" s="89"/>
      <x:c r="Y101" s="89"/>
      <x:c r="Z101" s="89"/>
    </x:row>
    <x:row r="102">
      <x:c r="A102" s="89"/>
      <x:c r="B102" s="89"/>
      <x:c r="C102" s="89"/>
      <x:c r="D102" s="89"/>
      <x:c r="E102" s="89"/>
      <x:c r="F102" s="89"/>
      <x:c r="G102" s="89"/>
      <x:c r="H102" s="89"/>
      <x:c r="I102" s="89"/>
      <x:c r="J102" s="89"/>
      <x:c r="K102" s="89"/>
      <x:c r="L102" s="89"/>
      <x:c r="M102" s="89"/>
      <x:c r="N102" s="89"/>
      <x:c r="O102" s="89"/>
      <x:c r="P102" s="89"/>
      <x:c r="Q102" s="89"/>
      <x:c r="R102" s="89"/>
      <x:c r="S102" s="89"/>
      <x:c r="T102" s="89"/>
      <x:c r="U102" s="89"/>
      <x:c r="V102" s="89"/>
      <x:c r="W102" s="89"/>
      <x:c r="X102" s="89"/>
      <x:c r="Y102" s="89"/>
      <x:c r="Z102" s="89"/>
    </x:row>
    <x:row r="103">
      <x:c r="A103" s="89"/>
      <x:c r="B103" s="89"/>
      <x:c r="C103" s="89"/>
      <x:c r="D103" s="89"/>
      <x:c r="E103" s="89"/>
      <x:c r="F103" s="89"/>
      <x:c r="G103" s="89"/>
      <x:c r="H103" s="89"/>
      <x:c r="I103" s="89"/>
      <x:c r="J103" s="89"/>
      <x:c r="K103" s="89"/>
      <x:c r="L103" s="89"/>
      <x:c r="M103" s="89"/>
      <x:c r="N103" s="89"/>
      <x:c r="O103" s="89"/>
      <x:c r="P103" s="89"/>
      <x:c r="Q103" s="89"/>
      <x:c r="R103" s="89"/>
      <x:c r="S103" s="89"/>
      <x:c r="T103" s="89"/>
      <x:c r="U103" s="89"/>
      <x:c r="V103" s="89"/>
      <x:c r="W103" s="89"/>
      <x:c r="X103" s="89"/>
      <x:c r="Y103" s="89"/>
      <x:c r="Z103" s="89"/>
    </x:row>
    <x:row r="104">
      <x:c r="A104" s="89"/>
      <x:c r="B104" s="89"/>
      <x:c r="C104" s="89"/>
      <x:c r="D104" s="89"/>
      <x:c r="E104" s="89"/>
      <x:c r="F104" s="89"/>
      <x:c r="G104" s="89"/>
      <x:c r="H104" s="89"/>
      <x:c r="I104" s="89"/>
      <x:c r="J104" s="89"/>
      <x:c r="K104" s="89"/>
      <x:c r="L104" s="89"/>
      <x:c r="M104" s="89"/>
      <x:c r="N104" s="89"/>
      <x:c r="O104" s="89"/>
      <x:c r="P104" s="89"/>
      <x:c r="Q104" s="89"/>
      <x:c r="R104" s="89"/>
      <x:c r="S104" s="89"/>
      <x:c r="T104" s="89"/>
      <x:c r="U104" s="89"/>
      <x:c r="V104" s="89"/>
      <x:c r="W104" s="89"/>
      <x:c r="X104" s="89"/>
      <x:c r="Y104" s="89"/>
      <x:c r="Z104" s="89"/>
    </x:row>
    <x:row r="105">
      <x:c r="A105" s="89"/>
      <x:c r="B105" s="89"/>
      <x:c r="C105" s="89"/>
      <x:c r="D105" s="89"/>
      <x:c r="E105" s="89"/>
      <x:c r="F105" s="89"/>
      <x:c r="G105" s="89"/>
      <x:c r="H105" s="89"/>
      <x:c r="I105" s="89"/>
      <x:c r="J105" s="89"/>
      <x:c r="K105" s="89"/>
      <x:c r="L105" s="89"/>
      <x:c r="M105" s="89"/>
      <x:c r="N105" s="89"/>
      <x:c r="O105" s="89"/>
      <x:c r="P105" s="89"/>
      <x:c r="Q105" s="89"/>
      <x:c r="R105" s="89"/>
      <x:c r="S105" s="89"/>
      <x:c r="T105" s="89"/>
      <x:c r="U105" s="89"/>
      <x:c r="V105" s="89"/>
      <x:c r="W105" s="89"/>
      <x:c r="X105" s="89"/>
      <x:c r="Y105" s="89"/>
      <x:c r="Z105" s="89"/>
    </x:row>
    <x:row r="106">
      <x:c r="A106" s="89"/>
      <x:c r="B106" s="89"/>
      <x:c r="C106" s="89"/>
      <x:c r="D106" s="89"/>
      <x:c r="E106" s="89"/>
      <x:c r="F106" s="89"/>
      <x:c r="G106" s="89"/>
      <x:c r="H106" s="89"/>
      <x:c r="I106" s="89"/>
      <x:c r="J106" s="89"/>
      <x:c r="K106" s="89"/>
      <x:c r="L106" s="89"/>
      <x:c r="M106" s="89"/>
      <x:c r="N106" s="89"/>
      <x:c r="O106" s="89"/>
      <x:c r="P106" s="89"/>
      <x:c r="Q106" s="89"/>
      <x:c r="R106" s="89"/>
      <x:c r="S106" s="89"/>
      <x:c r="T106" s="89"/>
      <x:c r="U106" s="89"/>
      <x:c r="V106" s="89"/>
      <x:c r="W106" s="89"/>
      <x:c r="X106" s="89"/>
      <x:c r="Y106" s="89"/>
      <x:c r="Z106" s="89"/>
    </x:row>
    <x:row r="107">
      <x:c r="A107" s="89"/>
      <x:c r="B107" s="89"/>
      <x:c r="C107" s="89"/>
      <x:c r="D107" s="89"/>
      <x:c r="E107" s="89"/>
      <x:c r="F107" s="89"/>
      <x:c r="G107" s="89"/>
      <x:c r="H107" s="89"/>
      <x:c r="I107" s="89"/>
      <x:c r="J107" s="89"/>
      <x:c r="K107" s="89"/>
      <x:c r="L107" s="89"/>
      <x:c r="M107" s="89"/>
      <x:c r="N107" s="89"/>
      <x:c r="O107" s="89"/>
      <x:c r="P107" s="89"/>
      <x:c r="Q107" s="89"/>
      <x:c r="R107" s="89"/>
      <x:c r="S107" s="89"/>
      <x:c r="T107" s="89"/>
      <x:c r="U107" s="89"/>
      <x:c r="V107" s="89"/>
      <x:c r="W107" s="89"/>
      <x:c r="X107" s="89"/>
      <x:c r="Y107" s="89"/>
      <x:c r="Z107" s="89"/>
    </x:row>
    <x:row r="108">
      <x:c r="A108" s="89"/>
      <x:c r="B108" s="89"/>
      <x:c r="C108" s="89"/>
      <x:c r="D108" s="89"/>
      <x:c r="E108" s="89"/>
      <x:c r="F108" s="89"/>
      <x:c r="G108" s="89"/>
      <x:c r="H108" s="89"/>
      <x:c r="I108" s="89"/>
      <x:c r="J108" s="89"/>
      <x:c r="K108" s="89"/>
      <x:c r="L108" s="89"/>
      <x:c r="M108" s="89"/>
      <x:c r="N108" s="89"/>
      <x:c r="O108" s="89"/>
      <x:c r="P108" s="89"/>
      <x:c r="Q108" s="89"/>
      <x:c r="R108" s="89"/>
      <x:c r="S108" s="89"/>
      <x:c r="T108" s="89"/>
      <x:c r="U108" s="89"/>
      <x:c r="V108" s="89"/>
      <x:c r="W108" s="89"/>
      <x:c r="X108" s="89"/>
      <x:c r="Y108" s="89"/>
      <x:c r="Z108" s="89"/>
    </x:row>
    <x:row r="109">
      <x:c r="A109" s="89"/>
      <x:c r="B109" s="89"/>
      <x:c r="C109" s="89"/>
      <x:c r="D109" s="89"/>
      <x:c r="E109" s="89"/>
      <x:c r="F109" s="89"/>
      <x:c r="G109" s="89"/>
      <x:c r="H109" s="89"/>
      <x:c r="I109" s="89"/>
      <x:c r="J109" s="89"/>
      <x:c r="K109" s="89"/>
      <x:c r="L109" s="89"/>
      <x:c r="M109" s="89"/>
      <x:c r="N109" s="89"/>
      <x:c r="O109" s="89"/>
      <x:c r="P109" s="89"/>
      <x:c r="Q109" s="89"/>
      <x:c r="R109" s="89"/>
      <x:c r="S109" s="89"/>
      <x:c r="T109" s="89"/>
      <x:c r="U109" s="89"/>
      <x:c r="V109" s="89"/>
      <x:c r="W109" s="89"/>
      <x:c r="X109" s="89"/>
      <x:c r="Y109" s="89"/>
      <x:c r="Z109" s="89"/>
    </x:row>
    <x:row r="110">
      <x:c r="A110" s="89"/>
      <x:c r="B110" s="89"/>
      <x:c r="C110" s="89"/>
      <x:c r="D110" s="89"/>
      <x:c r="E110" s="89"/>
      <x:c r="F110" s="89"/>
      <x:c r="G110" s="89"/>
      <x:c r="H110" s="89"/>
      <x:c r="I110" s="89"/>
      <x:c r="J110" s="89"/>
      <x:c r="K110" s="89"/>
      <x:c r="L110" s="89"/>
      <x:c r="M110" s="89"/>
      <x:c r="N110" s="89"/>
      <x:c r="O110" s="89"/>
      <x:c r="P110" s="89"/>
      <x:c r="Q110" s="89"/>
      <x:c r="R110" s="89"/>
      <x:c r="S110" s="89"/>
      <x:c r="T110" s="89"/>
      <x:c r="U110" s="89"/>
      <x:c r="V110" s="89"/>
      <x:c r="W110" s="89"/>
      <x:c r="X110" s="89"/>
      <x:c r="Y110" s="89"/>
      <x:c r="Z110" s="89"/>
    </x:row>
    <x:row r="111">
      <x:c r="A111" s="89"/>
      <x:c r="B111" s="89"/>
      <x:c r="C111" s="89"/>
      <x:c r="D111" s="89"/>
      <x:c r="E111" s="89"/>
      <x:c r="F111" s="89"/>
      <x:c r="G111" s="89"/>
      <x:c r="H111" s="89"/>
      <x:c r="I111" s="89"/>
      <x:c r="J111" s="89"/>
      <x:c r="K111" s="89"/>
      <x:c r="L111" s="89"/>
      <x:c r="M111" s="89"/>
      <x:c r="N111" s="89"/>
      <x:c r="O111" s="89"/>
      <x:c r="P111" s="89"/>
      <x:c r="Q111" s="89"/>
      <x:c r="R111" s="89"/>
      <x:c r="S111" s="89"/>
      <x:c r="T111" s="89"/>
      <x:c r="U111" s="89"/>
      <x:c r="V111" s="89"/>
      <x:c r="W111" s="89"/>
      <x:c r="X111" s="89"/>
      <x:c r="Y111" s="89"/>
      <x:c r="Z111" s="89"/>
    </x:row>
    <x:row r="112">
      <x:c r="A112" s="89"/>
      <x:c r="B112" s="89"/>
      <x:c r="C112" s="89"/>
      <x:c r="D112" s="89"/>
      <x:c r="E112" s="89"/>
      <x:c r="F112" s="89"/>
      <x:c r="G112" s="89"/>
      <x:c r="H112" s="89"/>
      <x:c r="I112" s="89"/>
      <x:c r="J112" s="89"/>
      <x:c r="K112" s="89"/>
      <x:c r="L112" s="89"/>
      <x:c r="M112" s="89"/>
      <x:c r="N112" s="89"/>
      <x:c r="O112" s="89"/>
      <x:c r="P112" s="89"/>
      <x:c r="Q112" s="89"/>
      <x:c r="R112" s="89"/>
      <x:c r="S112" s="89"/>
      <x:c r="T112" s="89"/>
      <x:c r="U112" s="89"/>
      <x:c r="V112" s="89"/>
      <x:c r="W112" s="89"/>
      <x:c r="X112" s="89"/>
      <x:c r="Y112" s="89"/>
      <x:c r="Z112" s="89"/>
    </x:row>
    <x:row r="113">
      <x:c r="A113" s="89"/>
      <x:c r="B113" s="89"/>
      <x:c r="C113" s="89"/>
      <x:c r="D113" s="89"/>
      <x:c r="E113" s="89"/>
      <x:c r="F113" s="89"/>
      <x:c r="G113" s="89"/>
      <x:c r="H113" s="89"/>
      <x:c r="I113" s="89"/>
      <x:c r="J113" s="89"/>
      <x:c r="K113" s="89"/>
      <x:c r="L113" s="89"/>
      <x:c r="M113" s="89"/>
      <x:c r="N113" s="89"/>
      <x:c r="O113" s="89"/>
      <x:c r="P113" s="89"/>
      <x:c r="Q113" s="89"/>
      <x:c r="R113" s="89"/>
      <x:c r="S113" s="89"/>
      <x:c r="T113" s="89"/>
      <x:c r="U113" s="89"/>
      <x:c r="V113" s="89"/>
      <x:c r="W113" s="89"/>
      <x:c r="X113" s="89"/>
      <x:c r="Y113" s="89"/>
      <x:c r="Z113" s="89"/>
    </x:row>
    <x:row r="114">
      <x:c r="A114" s="89"/>
      <x:c r="B114" s="89"/>
      <x:c r="C114" s="89"/>
      <x:c r="D114" s="89"/>
      <x:c r="E114" s="89"/>
      <x:c r="F114" s="89"/>
      <x:c r="G114" s="89"/>
      <x:c r="H114" s="89"/>
      <x:c r="I114" s="89"/>
      <x:c r="J114" s="89"/>
      <x:c r="K114" s="89"/>
      <x:c r="L114" s="89"/>
      <x:c r="M114" s="89"/>
      <x:c r="N114" s="89"/>
      <x:c r="O114" s="89"/>
      <x:c r="P114" s="89"/>
      <x:c r="Q114" s="89"/>
      <x:c r="R114" s="89"/>
      <x:c r="S114" s="89"/>
      <x:c r="T114" s="89"/>
      <x:c r="U114" s="89"/>
      <x:c r="V114" s="89"/>
      <x:c r="W114" s="89"/>
      <x:c r="X114" s="89"/>
      <x:c r="Y114" s="89"/>
      <x:c r="Z114" s="89"/>
    </x:row>
    <x:row r="115">
      <x:c r="A115" s="89"/>
      <x:c r="B115" s="89"/>
      <x:c r="C115" s="89"/>
      <x:c r="D115" s="89"/>
      <x:c r="E115" s="89"/>
      <x:c r="F115" s="89"/>
      <x:c r="G115" s="89"/>
      <x:c r="H115" s="89"/>
      <x:c r="I115" s="89"/>
      <x:c r="J115" s="89"/>
      <x:c r="K115" s="89"/>
      <x:c r="L115" s="89"/>
      <x:c r="M115" s="89"/>
      <x:c r="N115" s="89"/>
      <x:c r="O115" s="89"/>
      <x:c r="P115" s="89"/>
      <x:c r="Q115" s="89"/>
      <x:c r="R115" s="89"/>
      <x:c r="S115" s="89"/>
      <x:c r="T115" s="89"/>
      <x:c r="U115" s="89"/>
      <x:c r="V115" s="89"/>
      <x:c r="W115" s="89"/>
      <x:c r="X115" s="89"/>
      <x:c r="Y115" s="89"/>
      <x:c r="Z115" s="89"/>
    </x:row>
    <x:row r="116">
      <x:c r="A116" s="89"/>
      <x:c r="B116" s="89"/>
      <x:c r="C116" s="89"/>
      <x:c r="D116" s="89"/>
      <x:c r="E116" s="89"/>
      <x:c r="F116" s="89"/>
      <x:c r="G116" s="89"/>
      <x:c r="H116" s="89"/>
      <x:c r="I116" s="89"/>
      <x:c r="J116" s="89"/>
      <x:c r="K116" s="89"/>
      <x:c r="L116" s="89"/>
      <x:c r="M116" s="89"/>
      <x:c r="N116" s="89"/>
      <x:c r="O116" s="89"/>
      <x:c r="P116" s="89"/>
      <x:c r="Q116" s="89"/>
      <x:c r="R116" s="89"/>
      <x:c r="S116" s="89"/>
      <x:c r="T116" s="89"/>
      <x:c r="U116" s="89"/>
      <x:c r="V116" s="89"/>
      <x:c r="W116" s="89"/>
      <x:c r="X116" s="89"/>
      <x:c r="Y116" s="89"/>
      <x:c r="Z116" s="89"/>
    </x:row>
    <x:row r="117">
      <x:c r="A117" s="89"/>
      <x:c r="B117" s="89"/>
      <x:c r="C117" s="89"/>
      <x:c r="D117" s="89"/>
      <x:c r="E117" s="89"/>
      <x:c r="F117" s="89"/>
      <x:c r="G117" s="89"/>
      <x:c r="H117" s="89"/>
      <x:c r="I117" s="89"/>
      <x:c r="J117" s="89"/>
      <x:c r="K117" s="89"/>
      <x:c r="L117" s="89"/>
      <x:c r="M117" s="89"/>
      <x:c r="N117" s="89"/>
      <x:c r="O117" s="89"/>
      <x:c r="P117" s="89"/>
      <x:c r="Q117" s="89"/>
      <x:c r="R117" s="89"/>
      <x:c r="S117" s="89"/>
      <x:c r="T117" s="89"/>
      <x:c r="U117" s="89"/>
      <x:c r="V117" s="89"/>
      <x:c r="W117" s="89"/>
      <x:c r="X117" s="89"/>
      <x:c r="Y117" s="89"/>
      <x:c r="Z117" s="89"/>
    </x:row>
    <x:row r="118">
      <x:c r="A118" s="89"/>
      <x:c r="B118" s="89"/>
      <x:c r="C118" s="89"/>
      <x:c r="D118" s="89"/>
      <x:c r="E118" s="89"/>
      <x:c r="F118" s="89"/>
      <x:c r="G118" s="89"/>
      <x:c r="H118" s="89"/>
      <x:c r="I118" s="89"/>
      <x:c r="J118" s="89"/>
      <x:c r="K118" s="89"/>
      <x:c r="L118" s="89"/>
      <x:c r="M118" s="89"/>
      <x:c r="N118" s="89"/>
      <x:c r="O118" s="89"/>
      <x:c r="P118" s="89"/>
      <x:c r="Q118" s="89"/>
      <x:c r="R118" s="89"/>
      <x:c r="S118" s="89"/>
      <x:c r="T118" s="89"/>
      <x:c r="U118" s="89"/>
      <x:c r="V118" s="89"/>
      <x:c r="W118" s="89"/>
      <x:c r="X118" s="89"/>
      <x:c r="Y118" s="89"/>
      <x:c r="Z118" s="89"/>
    </x:row>
    <x:row r="119">
      <x:c r="A119" s="89"/>
      <x:c r="B119" s="89"/>
      <x:c r="C119" s="89"/>
      <x:c r="D119" s="89"/>
      <x:c r="E119" s="89"/>
      <x:c r="F119" s="89"/>
      <x:c r="G119" s="89"/>
      <x:c r="H119" s="89"/>
      <x:c r="I119" s="89"/>
      <x:c r="J119" s="89"/>
      <x:c r="K119" s="89"/>
      <x:c r="L119" s="89"/>
      <x:c r="M119" s="89"/>
      <x:c r="N119" s="89"/>
      <x:c r="O119" s="89"/>
      <x:c r="P119" s="89"/>
      <x:c r="Q119" s="89"/>
      <x:c r="R119" s="89"/>
      <x:c r="S119" s="89"/>
      <x:c r="T119" s="89"/>
      <x:c r="U119" s="89"/>
      <x:c r="V119" s="89"/>
      <x:c r="W119" s="89"/>
      <x:c r="X119" s="89"/>
      <x:c r="Y119" s="89"/>
      <x:c r="Z119" s="89"/>
    </x:row>
    <x:row r="120">
      <x:c r="A120" s="89"/>
      <x:c r="B120" s="89"/>
      <x:c r="C120" s="89"/>
      <x:c r="D120" s="89"/>
      <x:c r="E120" s="89"/>
      <x:c r="F120" s="89"/>
      <x:c r="G120" s="89"/>
      <x:c r="H120" s="89"/>
      <x:c r="I120" s="89"/>
      <x:c r="J120" s="89"/>
      <x:c r="K120" s="89"/>
      <x:c r="L120" s="89"/>
      <x:c r="M120" s="89"/>
      <x:c r="N120" s="89"/>
      <x:c r="O120" s="89"/>
      <x:c r="P120" s="89"/>
      <x:c r="Q120" s="89"/>
      <x:c r="R120" s="89"/>
      <x:c r="S120" s="89"/>
      <x:c r="T120" s="89"/>
      <x:c r="U120" s="89"/>
      <x:c r="V120" s="89"/>
      <x:c r="W120" s="89"/>
      <x:c r="X120" s="89"/>
      <x:c r="Y120" s="89"/>
      <x:c r="Z120" s="89"/>
    </x:row>
    <x:row r="121">
      <x:c r="A121" s="89"/>
      <x:c r="B121" s="89"/>
      <x:c r="C121" s="89"/>
      <x:c r="D121" s="89"/>
      <x:c r="E121" s="89"/>
      <x:c r="F121" s="89"/>
      <x:c r="G121" s="89"/>
      <x:c r="H121" s="89"/>
      <x:c r="I121" s="89"/>
      <x:c r="J121" s="89"/>
      <x:c r="K121" s="89"/>
      <x:c r="L121" s="89"/>
      <x:c r="M121" s="89"/>
      <x:c r="N121" s="89"/>
      <x:c r="O121" s="89"/>
      <x:c r="P121" s="89"/>
      <x:c r="Q121" s="89"/>
      <x:c r="R121" s="89"/>
      <x:c r="S121" s="89"/>
      <x:c r="T121" s="89"/>
      <x:c r="U121" s="89"/>
      <x:c r="V121" s="89"/>
      <x:c r="W121" s="89"/>
      <x:c r="X121" s="89"/>
      <x:c r="Y121" s="89"/>
      <x:c r="Z121" s="89"/>
    </x:row>
    <x:row r="122">
      <x:c r="A122" s="89"/>
      <x:c r="B122" s="89"/>
      <x:c r="C122" s="89"/>
      <x:c r="D122" s="89"/>
      <x:c r="E122" s="89"/>
      <x:c r="F122" s="89"/>
      <x:c r="G122" s="89"/>
      <x:c r="H122" s="89"/>
      <x:c r="I122" s="89"/>
      <x:c r="J122" s="89"/>
      <x:c r="K122" s="89"/>
      <x:c r="L122" s="89"/>
      <x:c r="M122" s="89"/>
      <x:c r="N122" s="89"/>
      <x:c r="O122" s="89"/>
      <x:c r="P122" s="89"/>
      <x:c r="Q122" s="89"/>
      <x:c r="R122" s="89"/>
      <x:c r="S122" s="89"/>
      <x:c r="T122" s="89"/>
      <x:c r="U122" s="89"/>
      <x:c r="V122" s="89"/>
      <x:c r="W122" s="89"/>
      <x:c r="X122" s="89"/>
      <x:c r="Y122" s="89"/>
      <x:c r="Z122" s="89"/>
    </x:row>
    <x:row r="123">
      <x:c r="A123" s="89"/>
      <x:c r="B123" s="89"/>
      <x:c r="C123" s="89"/>
      <x:c r="D123" s="89"/>
      <x:c r="E123" s="89"/>
      <x:c r="F123" s="89"/>
      <x:c r="G123" s="89"/>
      <x:c r="H123" s="89"/>
      <x:c r="I123" s="89"/>
      <x:c r="J123" s="89"/>
      <x:c r="K123" s="89"/>
      <x:c r="L123" s="89"/>
      <x:c r="M123" s="89"/>
      <x:c r="N123" s="89"/>
      <x:c r="O123" s="89"/>
      <x:c r="P123" s="89"/>
      <x:c r="Q123" s="89"/>
      <x:c r="R123" s="89"/>
      <x:c r="S123" s="89"/>
      <x:c r="T123" s="89"/>
      <x:c r="U123" s="89"/>
      <x:c r="V123" s="89"/>
      <x:c r="W123" s="89"/>
      <x:c r="X123" s="89"/>
      <x:c r="Y123" s="89"/>
      <x:c r="Z123" s="89"/>
    </x:row>
    <x:row r="124">
      <x:c r="A124" s="89"/>
      <x:c r="B124" s="89"/>
      <x:c r="C124" s="89"/>
      <x:c r="D124" s="89"/>
      <x:c r="E124" s="89"/>
      <x:c r="F124" s="89"/>
      <x:c r="G124" s="89"/>
      <x:c r="H124" s="89"/>
      <x:c r="I124" s="89"/>
      <x:c r="J124" s="89"/>
      <x:c r="K124" s="89"/>
      <x:c r="L124" s="89"/>
      <x:c r="M124" s="89"/>
      <x:c r="N124" s="89"/>
      <x:c r="O124" s="89"/>
      <x:c r="P124" s="89"/>
      <x:c r="Q124" s="89"/>
      <x:c r="R124" s="89"/>
      <x:c r="S124" s="89"/>
      <x:c r="T124" s="89"/>
      <x:c r="U124" s="89"/>
      <x:c r="V124" s="89"/>
      <x:c r="W124" s="89"/>
      <x:c r="X124" s="89"/>
      <x:c r="Y124" s="89"/>
      <x:c r="Z124" s="89"/>
    </x:row>
    <x:row r="125">
      <x:c r="A125" s="89"/>
      <x:c r="B125" s="89"/>
      <x:c r="C125" s="89"/>
      <x:c r="D125" s="89"/>
      <x:c r="E125" s="89"/>
      <x:c r="F125" s="89"/>
      <x:c r="G125" s="89"/>
      <x:c r="H125" s="89"/>
      <x:c r="I125" s="89"/>
      <x:c r="J125" s="89"/>
      <x:c r="K125" s="89"/>
      <x:c r="L125" s="89"/>
      <x:c r="M125" s="89"/>
      <x:c r="N125" s="89"/>
      <x:c r="O125" s="89"/>
      <x:c r="P125" s="89"/>
      <x:c r="Q125" s="89"/>
      <x:c r="R125" s="89"/>
      <x:c r="S125" s="89"/>
      <x:c r="T125" s="89"/>
      <x:c r="U125" s="89"/>
      <x:c r="V125" s="89"/>
      <x:c r="W125" s="89"/>
      <x:c r="X125" s="89"/>
      <x:c r="Y125" s="89"/>
      <x:c r="Z125" s="89"/>
    </x:row>
    <x:row r="126">
      <x:c r="A126" s="89"/>
      <x:c r="B126" s="89"/>
      <x:c r="C126" s="89"/>
      <x:c r="D126" s="89"/>
      <x:c r="E126" s="89"/>
      <x:c r="F126" s="89"/>
      <x:c r="G126" s="89"/>
      <x:c r="H126" s="89"/>
      <x:c r="I126" s="89"/>
      <x:c r="J126" s="89"/>
      <x:c r="K126" s="89"/>
      <x:c r="L126" s="89"/>
      <x:c r="M126" s="89"/>
      <x:c r="N126" s="89"/>
      <x:c r="O126" s="89"/>
      <x:c r="P126" s="89"/>
      <x:c r="Q126" s="89"/>
      <x:c r="R126" s="89"/>
      <x:c r="S126" s="89"/>
      <x:c r="T126" s="89"/>
      <x:c r="U126" s="89"/>
      <x:c r="V126" s="89"/>
      <x:c r="W126" s="89"/>
      <x:c r="X126" s="89"/>
      <x:c r="Y126" s="89"/>
      <x:c r="Z126" s="89"/>
    </x:row>
    <x:row r="127">
      <x:c r="A127" s="89"/>
      <x:c r="B127" s="89"/>
      <x:c r="C127" s="89"/>
      <x:c r="D127" s="89"/>
      <x:c r="E127" s="89"/>
      <x:c r="F127" s="89"/>
      <x:c r="G127" s="89"/>
      <x:c r="H127" s="89"/>
      <x:c r="I127" s="89"/>
      <x:c r="J127" s="89"/>
      <x:c r="K127" s="89"/>
      <x:c r="L127" s="89"/>
      <x:c r="M127" s="89"/>
      <x:c r="N127" s="89"/>
      <x:c r="O127" s="89"/>
      <x:c r="P127" s="89"/>
      <x:c r="Q127" s="89"/>
      <x:c r="R127" s="89"/>
      <x:c r="S127" s="89"/>
      <x:c r="T127" s="89"/>
      <x:c r="U127" s="89"/>
      <x:c r="V127" s="89"/>
      <x:c r="W127" s="89"/>
      <x:c r="X127" s="89"/>
      <x:c r="Y127" s="89"/>
      <x:c r="Z127" s="89"/>
    </x:row>
    <x:row r="128">
      <x:c r="A128" s="89"/>
      <x:c r="B128" s="89"/>
      <x:c r="C128" s="89"/>
      <x:c r="D128" s="89"/>
      <x:c r="E128" s="89"/>
      <x:c r="F128" s="89"/>
      <x:c r="G128" s="89"/>
      <x:c r="H128" s="89"/>
      <x:c r="I128" s="89"/>
      <x:c r="J128" s="89"/>
      <x:c r="K128" s="89"/>
      <x:c r="L128" s="89"/>
      <x:c r="M128" s="89"/>
      <x:c r="N128" s="89"/>
      <x:c r="O128" s="89"/>
      <x:c r="P128" s="89"/>
      <x:c r="Q128" s="89"/>
      <x:c r="R128" s="89"/>
      <x:c r="S128" s="89"/>
      <x:c r="T128" s="89"/>
      <x:c r="U128" s="89"/>
      <x:c r="V128" s="89"/>
      <x:c r="W128" s="89"/>
      <x:c r="X128" s="89"/>
      <x:c r="Y128" s="89"/>
      <x:c r="Z128" s="89"/>
    </x:row>
    <x:row r="129">
      <x:c r="A129" s="89"/>
      <x:c r="B129" s="89"/>
      <x:c r="C129" s="89"/>
      <x:c r="D129" s="89"/>
      <x:c r="E129" s="89"/>
      <x:c r="F129" s="89"/>
      <x:c r="G129" s="89"/>
      <x:c r="H129" s="89"/>
      <x:c r="I129" s="89"/>
      <x:c r="J129" s="89"/>
      <x:c r="K129" s="89"/>
      <x:c r="L129" s="89"/>
      <x:c r="M129" s="89"/>
      <x:c r="N129" s="89"/>
      <x:c r="O129" s="89"/>
      <x:c r="P129" s="89"/>
      <x:c r="Q129" s="89"/>
      <x:c r="R129" s="89"/>
      <x:c r="S129" s="89"/>
      <x:c r="T129" s="89"/>
      <x:c r="U129" s="89"/>
      <x:c r="V129" s="89"/>
      <x:c r="W129" s="89"/>
      <x:c r="X129" s="89"/>
      <x:c r="Y129" s="89"/>
      <x:c r="Z129" s="89"/>
    </x:row>
    <x:row r="130">
      <x:c r="A130" s="89"/>
      <x:c r="B130" s="89"/>
      <x:c r="C130" s="89"/>
      <x:c r="D130" s="89"/>
      <x:c r="E130" s="89"/>
      <x:c r="F130" s="89"/>
      <x:c r="G130" s="89"/>
      <x:c r="H130" s="89"/>
      <x:c r="I130" s="89"/>
      <x:c r="J130" s="89"/>
      <x:c r="K130" s="89"/>
      <x:c r="L130" s="89"/>
      <x:c r="M130" s="89"/>
      <x:c r="N130" s="89"/>
      <x:c r="O130" s="89"/>
      <x:c r="P130" s="89"/>
      <x:c r="Q130" s="89"/>
      <x:c r="R130" s="89"/>
      <x:c r="S130" s="89"/>
      <x:c r="T130" s="89"/>
      <x:c r="U130" s="89"/>
      <x:c r="V130" s="89"/>
      <x:c r="W130" s="89"/>
      <x:c r="X130" s="89"/>
      <x:c r="Y130" s="89"/>
      <x:c r="Z130" s="89"/>
    </x:row>
    <x:row r="131">
      <x:c r="A131" s="89"/>
      <x:c r="B131" s="89"/>
      <x:c r="C131" s="89"/>
      <x:c r="D131" s="89"/>
      <x:c r="E131" s="89"/>
      <x:c r="F131" s="89"/>
      <x:c r="G131" s="89"/>
      <x:c r="H131" s="89"/>
      <x:c r="I131" s="89"/>
      <x:c r="J131" s="89"/>
      <x:c r="K131" s="89"/>
      <x:c r="L131" s="89"/>
      <x:c r="M131" s="89"/>
      <x:c r="N131" s="89"/>
      <x:c r="O131" s="89"/>
      <x:c r="P131" s="89"/>
      <x:c r="Q131" s="89"/>
      <x:c r="R131" s="89"/>
      <x:c r="S131" s="89"/>
      <x:c r="T131" s="89"/>
      <x:c r="U131" s="89"/>
      <x:c r="V131" s="89"/>
      <x:c r="W131" s="89"/>
      <x:c r="X131" s="89"/>
      <x:c r="Y131" s="89"/>
      <x:c r="Z131" s="89"/>
    </x:row>
    <x:row r="132">
      <x:c r="A132" s="89"/>
      <x:c r="B132" s="89"/>
      <x:c r="C132" s="89"/>
      <x:c r="D132" s="89"/>
      <x:c r="E132" s="89"/>
      <x:c r="F132" s="89"/>
      <x:c r="G132" s="89"/>
      <x:c r="H132" s="89"/>
      <x:c r="I132" s="89"/>
      <x:c r="J132" s="89"/>
      <x:c r="K132" s="89"/>
      <x:c r="L132" s="89"/>
      <x:c r="M132" s="89"/>
      <x:c r="N132" s="89"/>
      <x:c r="O132" s="89"/>
      <x:c r="P132" s="89"/>
      <x:c r="Q132" s="89"/>
      <x:c r="R132" s="89"/>
      <x:c r="S132" s="89"/>
      <x:c r="T132" s="89"/>
      <x:c r="U132" s="89"/>
      <x:c r="V132" s="89"/>
      <x:c r="W132" s="89"/>
      <x:c r="X132" s="89"/>
      <x:c r="Y132" s="89"/>
      <x:c r="Z132" s="89"/>
    </x:row>
    <x:row r="133">
      <x:c r="A133" s="89"/>
      <x:c r="B133" s="89"/>
      <x:c r="C133" s="89"/>
      <x:c r="D133" s="89"/>
      <x:c r="E133" s="89"/>
      <x:c r="F133" s="89"/>
      <x:c r="G133" s="89"/>
      <x:c r="H133" s="89"/>
      <x:c r="I133" s="89"/>
      <x:c r="J133" s="89"/>
      <x:c r="K133" s="89"/>
      <x:c r="L133" s="89"/>
      <x:c r="M133" s="89"/>
      <x:c r="N133" s="89"/>
      <x:c r="O133" s="89"/>
      <x:c r="P133" s="89"/>
      <x:c r="Q133" s="89"/>
      <x:c r="R133" s="89"/>
      <x:c r="S133" s="89"/>
      <x:c r="T133" s="89"/>
      <x:c r="U133" s="89"/>
      <x:c r="V133" s="89"/>
      <x:c r="W133" s="89"/>
      <x:c r="X133" s="89"/>
      <x:c r="Y133" s="89"/>
      <x:c r="Z133" s="89"/>
    </x:row>
    <x:row r="134">
      <x:c r="A134" s="89"/>
      <x:c r="B134" s="89"/>
      <x:c r="C134" s="89"/>
      <x:c r="D134" s="89"/>
      <x:c r="E134" s="89"/>
      <x:c r="F134" s="89"/>
      <x:c r="G134" s="89"/>
      <x:c r="H134" s="89"/>
      <x:c r="I134" s="89"/>
      <x:c r="J134" s="89"/>
      <x:c r="K134" s="89"/>
      <x:c r="L134" s="89"/>
      <x:c r="M134" s="89"/>
      <x:c r="N134" s="89"/>
      <x:c r="O134" s="89"/>
      <x:c r="P134" s="89"/>
      <x:c r="Q134" s="89"/>
      <x:c r="R134" s="89"/>
      <x:c r="S134" s="89"/>
      <x:c r="T134" s="89"/>
      <x:c r="U134" s="89"/>
      <x:c r="V134" s="89"/>
      <x:c r="W134" s="89"/>
      <x:c r="X134" s="89"/>
      <x:c r="Y134" s="89"/>
      <x:c r="Z134" s="89"/>
    </x:row>
    <x:row r="135">
      <x:c r="A135" s="89"/>
      <x:c r="B135" s="89"/>
      <x:c r="C135" s="89"/>
      <x:c r="D135" s="89"/>
      <x:c r="E135" s="89"/>
      <x:c r="F135" s="89"/>
      <x:c r="G135" s="89"/>
      <x:c r="H135" s="89"/>
      <x:c r="I135" s="89"/>
      <x:c r="J135" s="89"/>
      <x:c r="K135" s="89"/>
      <x:c r="L135" s="89"/>
      <x:c r="M135" s="89"/>
      <x:c r="N135" s="89"/>
      <x:c r="O135" s="89"/>
      <x:c r="P135" s="89"/>
      <x:c r="Q135" s="89"/>
      <x:c r="R135" s="89"/>
      <x:c r="S135" s="89"/>
      <x:c r="T135" s="89"/>
      <x:c r="U135" s="89"/>
      <x:c r="V135" s="89"/>
      <x:c r="W135" s="89"/>
      <x:c r="X135" s="89"/>
      <x:c r="Y135" s="89"/>
      <x:c r="Z135" s="89"/>
    </x:row>
    <x:row r="136">
      <x:c r="A136" s="89"/>
      <x:c r="B136" s="89"/>
      <x:c r="C136" s="89"/>
      <x:c r="D136" s="89"/>
      <x:c r="E136" s="89"/>
      <x:c r="F136" s="89"/>
      <x:c r="G136" s="89"/>
      <x:c r="H136" s="89"/>
      <x:c r="I136" s="89"/>
      <x:c r="J136" s="89"/>
      <x:c r="K136" s="89"/>
      <x:c r="L136" s="89"/>
      <x:c r="M136" s="89"/>
      <x:c r="N136" s="89"/>
      <x:c r="O136" s="89"/>
      <x:c r="P136" s="89"/>
      <x:c r="Q136" s="89"/>
      <x:c r="R136" s="89"/>
      <x:c r="S136" s="89"/>
      <x:c r="T136" s="89"/>
      <x:c r="U136" s="89"/>
      <x:c r="V136" s="89"/>
      <x:c r="W136" s="89"/>
      <x:c r="X136" s="89"/>
      <x:c r="Y136" s="89"/>
      <x:c r="Z136" s="89"/>
    </x:row>
    <x:row r="137">
      <x:c r="A137" s="89"/>
      <x:c r="B137" s="89"/>
      <x:c r="C137" s="89"/>
      <x:c r="D137" s="89"/>
      <x:c r="E137" s="89"/>
      <x:c r="F137" s="89"/>
      <x:c r="G137" s="89"/>
      <x:c r="H137" s="89"/>
      <x:c r="I137" s="89"/>
      <x:c r="J137" s="89"/>
      <x:c r="K137" s="89"/>
      <x:c r="L137" s="89"/>
      <x:c r="M137" s="89"/>
      <x:c r="N137" s="89"/>
      <x:c r="O137" s="89"/>
      <x:c r="P137" s="89"/>
      <x:c r="Q137" s="89"/>
      <x:c r="R137" s="89"/>
      <x:c r="S137" s="89"/>
      <x:c r="T137" s="89"/>
      <x:c r="U137" s="89"/>
      <x:c r="V137" s="89"/>
      <x:c r="W137" s="89"/>
      <x:c r="X137" s="89"/>
      <x:c r="Y137" s="89"/>
      <x:c r="Z137" s="89"/>
    </x:row>
    <x:row r="138">
      <x:c r="A138" s="89"/>
      <x:c r="B138" s="89"/>
      <x:c r="C138" s="89"/>
      <x:c r="D138" s="89"/>
      <x:c r="E138" s="89"/>
      <x:c r="F138" s="89"/>
      <x:c r="G138" s="89"/>
      <x:c r="H138" s="89"/>
      <x:c r="I138" s="89"/>
      <x:c r="J138" s="89"/>
      <x:c r="K138" s="89"/>
      <x:c r="L138" s="89"/>
      <x:c r="M138" s="89"/>
      <x:c r="N138" s="89"/>
      <x:c r="O138" s="89"/>
      <x:c r="P138" s="89"/>
      <x:c r="Q138" s="89"/>
      <x:c r="R138" s="89"/>
      <x:c r="S138" s="89"/>
      <x:c r="T138" s="89"/>
      <x:c r="U138" s="89"/>
      <x:c r="V138" s="89"/>
      <x:c r="W138" s="89"/>
      <x:c r="X138" s="89"/>
      <x:c r="Y138" s="89"/>
      <x:c r="Z138" s="89"/>
    </x:row>
    <x:row r="139">
      <x:c r="A139" s="89"/>
      <x:c r="B139" s="89"/>
      <x:c r="C139" s="89"/>
      <x:c r="D139" s="89"/>
      <x:c r="E139" s="89"/>
      <x:c r="F139" s="89"/>
      <x:c r="G139" s="89"/>
      <x:c r="H139" s="89"/>
      <x:c r="I139" s="89"/>
      <x:c r="J139" s="89"/>
      <x:c r="K139" s="89"/>
      <x:c r="L139" s="89"/>
      <x:c r="M139" s="89"/>
      <x:c r="N139" s="89"/>
      <x:c r="O139" s="89"/>
      <x:c r="P139" s="89"/>
      <x:c r="Q139" s="89"/>
      <x:c r="R139" s="89"/>
      <x:c r="S139" s="89"/>
      <x:c r="T139" s="89"/>
      <x:c r="U139" s="89"/>
      <x:c r="V139" s="89"/>
      <x:c r="W139" s="89"/>
      <x:c r="X139" s="89"/>
      <x:c r="Y139" s="89"/>
      <x:c r="Z139" s="89"/>
    </x:row>
    <x:row r="140">
      <x:c r="A140" s="89"/>
      <x:c r="B140" s="89"/>
      <x:c r="C140" s="89"/>
      <x:c r="D140" s="89"/>
      <x:c r="E140" s="89"/>
      <x:c r="F140" s="89"/>
      <x:c r="G140" s="89"/>
      <x:c r="H140" s="89"/>
      <x:c r="I140" s="89"/>
      <x:c r="J140" s="89"/>
      <x:c r="K140" s="89"/>
      <x:c r="L140" s="89"/>
      <x:c r="M140" s="89"/>
      <x:c r="N140" s="89"/>
      <x:c r="O140" s="89"/>
      <x:c r="P140" s="89"/>
      <x:c r="Q140" s="89"/>
      <x:c r="R140" s="89"/>
      <x:c r="S140" s="89"/>
      <x:c r="T140" s="89"/>
      <x:c r="U140" s="89"/>
      <x:c r="V140" s="89"/>
      <x:c r="W140" s="89"/>
      <x:c r="X140" s="89"/>
      <x:c r="Y140" s="89"/>
      <x:c r="Z140" s="89"/>
    </x:row>
    <x:row r="141">
      <x:c r="A141" s="89"/>
      <x:c r="B141" s="89"/>
      <x:c r="C141" s="89"/>
      <x:c r="D141" s="89"/>
      <x:c r="E141" s="89"/>
      <x:c r="F141" s="89"/>
      <x:c r="G141" s="89"/>
      <x:c r="H141" s="89"/>
      <x:c r="I141" s="89"/>
      <x:c r="J141" s="89"/>
      <x:c r="K141" s="89"/>
      <x:c r="L141" s="89"/>
      <x:c r="M141" s="89"/>
      <x:c r="N141" s="89"/>
      <x:c r="O141" s="89"/>
      <x:c r="P141" s="89"/>
      <x:c r="Q141" s="89"/>
      <x:c r="R141" s="89"/>
      <x:c r="S141" s="89"/>
      <x:c r="T141" s="89"/>
      <x:c r="U141" s="89"/>
      <x:c r="V141" s="89"/>
      <x:c r="W141" s="89"/>
      <x:c r="X141" s="89"/>
      <x:c r="Y141" s="89"/>
      <x:c r="Z141" s="89"/>
    </x:row>
    <x:row r="142">
      <x:c r="A142" s="89"/>
      <x:c r="B142" s="89"/>
      <x:c r="C142" s="89"/>
      <x:c r="D142" s="89"/>
      <x:c r="E142" s="89"/>
      <x:c r="F142" s="89"/>
      <x:c r="G142" s="89"/>
      <x:c r="H142" s="89"/>
      <x:c r="I142" s="89"/>
      <x:c r="J142" s="89"/>
      <x:c r="K142" s="89"/>
      <x:c r="L142" s="89"/>
      <x:c r="M142" s="89"/>
      <x:c r="N142" s="89"/>
      <x:c r="O142" s="89"/>
      <x:c r="P142" s="89"/>
      <x:c r="Q142" s="89"/>
      <x:c r="R142" s="89"/>
      <x:c r="S142" s="89"/>
      <x:c r="T142" s="89"/>
      <x:c r="U142" s="89"/>
      <x:c r="V142" s="89"/>
      <x:c r="W142" s="89"/>
      <x:c r="X142" s="89"/>
      <x:c r="Y142" s="89"/>
      <x:c r="Z142" s="89"/>
    </x:row>
    <x:row r="143">
      <x:c r="A143" s="89"/>
      <x:c r="B143" s="89"/>
      <x:c r="C143" s="89"/>
      <x:c r="D143" s="89"/>
      <x:c r="E143" s="89"/>
      <x:c r="F143" s="89"/>
      <x:c r="G143" s="89"/>
      <x:c r="H143" s="89"/>
      <x:c r="I143" s="89"/>
      <x:c r="J143" s="89"/>
      <x:c r="K143" s="89"/>
      <x:c r="L143" s="89"/>
      <x:c r="M143" s="89"/>
      <x:c r="N143" s="89"/>
      <x:c r="O143" s="89"/>
      <x:c r="P143" s="89"/>
      <x:c r="Q143" s="89"/>
      <x:c r="R143" s="89"/>
      <x:c r="S143" s="89"/>
      <x:c r="T143" s="89"/>
      <x:c r="U143" s="89"/>
      <x:c r="V143" s="89"/>
      <x:c r="W143" s="89"/>
      <x:c r="X143" s="89"/>
      <x:c r="Y143" s="89"/>
      <x:c r="Z143" s="89"/>
    </x:row>
    <x:row r="144">
      <x:c r="A144" s="89"/>
      <x:c r="B144" s="89"/>
      <x:c r="C144" s="89"/>
      <x:c r="D144" s="89"/>
      <x:c r="E144" s="89"/>
      <x:c r="F144" s="89"/>
      <x:c r="G144" s="89"/>
      <x:c r="H144" s="89"/>
      <x:c r="I144" s="89"/>
      <x:c r="J144" s="89"/>
      <x:c r="K144" s="89"/>
      <x:c r="L144" s="89"/>
      <x:c r="M144" s="89"/>
      <x:c r="N144" s="89"/>
      <x:c r="O144" s="89"/>
      <x:c r="P144" s="89"/>
      <x:c r="Q144" s="89"/>
      <x:c r="R144" s="89"/>
      <x:c r="S144" s="89"/>
      <x:c r="T144" s="89"/>
      <x:c r="U144" s="89"/>
      <x:c r="V144" s="89"/>
      <x:c r="W144" s="89"/>
      <x:c r="X144" s="89"/>
      <x:c r="Y144" s="89"/>
      <x:c r="Z144" s="89"/>
    </x:row>
    <x:row r="145">
      <x:c r="A145" s="89"/>
      <x:c r="B145" s="89"/>
      <x:c r="C145" s="89"/>
      <x:c r="D145" s="89"/>
      <x:c r="E145" s="89"/>
      <x:c r="F145" s="89"/>
      <x:c r="G145" s="89"/>
      <x:c r="H145" s="89"/>
      <x:c r="I145" s="89"/>
      <x:c r="J145" s="89"/>
      <x:c r="K145" s="89"/>
      <x:c r="L145" s="89"/>
      <x:c r="M145" s="89"/>
      <x:c r="N145" s="89"/>
      <x:c r="O145" s="89"/>
      <x:c r="P145" s="89"/>
      <x:c r="Q145" s="89"/>
      <x:c r="R145" s="89"/>
      <x:c r="S145" s="89"/>
      <x:c r="T145" s="89"/>
      <x:c r="U145" s="89"/>
      <x:c r="V145" s="89"/>
      <x:c r="W145" s="89"/>
      <x:c r="X145" s="89"/>
      <x:c r="Y145" s="89"/>
      <x:c r="Z145" s="89"/>
    </x:row>
    <x:row r="146">
      <x:c r="A146" s="89"/>
      <x:c r="B146" s="89"/>
      <x:c r="C146" s="89"/>
      <x:c r="D146" s="89"/>
      <x:c r="E146" s="89"/>
      <x:c r="F146" s="89"/>
      <x:c r="G146" s="89"/>
      <x:c r="H146" s="89"/>
      <x:c r="I146" s="89"/>
      <x:c r="J146" s="89"/>
      <x:c r="K146" s="89"/>
      <x:c r="L146" s="89"/>
      <x:c r="M146" s="89"/>
      <x:c r="N146" s="89"/>
      <x:c r="O146" s="89"/>
      <x:c r="P146" s="89"/>
      <x:c r="Q146" s="89"/>
      <x:c r="R146" s="89"/>
      <x:c r="S146" s="89"/>
      <x:c r="T146" s="89"/>
      <x:c r="U146" s="89"/>
      <x:c r="V146" s="89"/>
      <x:c r="W146" s="89"/>
      <x:c r="X146" s="89"/>
      <x:c r="Y146" s="89"/>
      <x:c r="Z146" s="89"/>
    </x:row>
    <x:row r="147">
      <x:c r="A147" s="89"/>
      <x:c r="B147" s="89"/>
      <x:c r="C147" s="89"/>
      <x:c r="D147" s="89"/>
      <x:c r="E147" s="89"/>
      <x:c r="F147" s="89"/>
      <x:c r="G147" s="89"/>
      <x:c r="H147" s="89"/>
      <x:c r="I147" s="89"/>
      <x:c r="J147" s="89"/>
      <x:c r="K147" s="89"/>
      <x:c r="L147" s="89"/>
      <x:c r="M147" s="89"/>
      <x:c r="N147" s="89"/>
      <x:c r="O147" s="89"/>
      <x:c r="P147" s="89"/>
      <x:c r="Q147" s="89"/>
      <x:c r="R147" s="89"/>
      <x:c r="S147" s="89"/>
      <x:c r="T147" s="89"/>
      <x:c r="U147" s="89"/>
      <x:c r="V147" s="89"/>
      <x:c r="W147" s="89"/>
      <x:c r="X147" s="89"/>
      <x:c r="Y147" s="89"/>
      <x:c r="Z147" s="89"/>
    </x:row>
    <x:row r="148">
      <x:c r="A148" s="89"/>
      <x:c r="B148" s="89"/>
      <x:c r="C148" s="89"/>
      <x:c r="D148" s="89"/>
      <x:c r="E148" s="89"/>
      <x:c r="F148" s="89"/>
      <x:c r="G148" s="89"/>
      <x:c r="H148" s="89"/>
      <x:c r="I148" s="89"/>
      <x:c r="J148" s="89"/>
      <x:c r="K148" s="89"/>
      <x:c r="L148" s="89"/>
      <x:c r="M148" s="89"/>
      <x:c r="N148" s="89"/>
      <x:c r="O148" s="89"/>
      <x:c r="P148" s="89"/>
      <x:c r="Q148" s="89"/>
      <x:c r="R148" s="89"/>
      <x:c r="S148" s="89"/>
      <x:c r="T148" s="89"/>
      <x:c r="U148" s="89"/>
      <x:c r="V148" s="89"/>
      <x:c r="W148" s="89"/>
      <x:c r="X148" s="89"/>
      <x:c r="Y148" s="89"/>
      <x:c r="Z148" s="89"/>
    </x:row>
    <x:row r="149">
      <x:c r="A149" s="89"/>
      <x:c r="B149" s="89"/>
      <x:c r="C149" s="89"/>
      <x:c r="D149" s="89"/>
      <x:c r="E149" s="89"/>
      <x:c r="F149" s="89"/>
      <x:c r="G149" s="89"/>
      <x:c r="H149" s="89"/>
      <x:c r="I149" s="89"/>
      <x:c r="J149" s="89"/>
      <x:c r="K149" s="89"/>
      <x:c r="L149" s="89"/>
      <x:c r="M149" s="89"/>
      <x:c r="N149" s="89"/>
      <x:c r="O149" s="89"/>
      <x:c r="P149" s="89"/>
      <x:c r="Q149" s="89"/>
      <x:c r="R149" s="89"/>
      <x:c r="S149" s="89"/>
      <x:c r="T149" s="89"/>
      <x:c r="U149" s="89"/>
      <x:c r="V149" s="89"/>
      <x:c r="W149" s="89"/>
      <x:c r="X149" s="89"/>
      <x:c r="Y149" s="89"/>
      <x:c r="Z149" s="89"/>
    </x:row>
    <x:row r="150">
      <x:c r="A150" s="89"/>
      <x:c r="B150" s="89"/>
      <x:c r="C150" s="89"/>
      <x:c r="D150" s="89"/>
      <x:c r="E150" s="89"/>
      <x:c r="F150" s="89"/>
      <x:c r="G150" s="89"/>
      <x:c r="H150" s="89"/>
      <x:c r="I150" s="89"/>
      <x:c r="J150" s="89"/>
      <x:c r="K150" s="89"/>
      <x:c r="L150" s="89"/>
      <x:c r="M150" s="89"/>
      <x:c r="N150" s="89"/>
      <x:c r="O150" s="89"/>
      <x:c r="P150" s="89"/>
      <x:c r="Q150" s="89"/>
      <x:c r="R150" s="89"/>
      <x:c r="S150" s="89"/>
      <x:c r="T150" s="89"/>
      <x:c r="U150" s="89"/>
      <x:c r="V150" s="89"/>
      <x:c r="W150" s="89"/>
      <x:c r="X150" s="89"/>
      <x:c r="Y150" s="89"/>
      <x:c r="Z150" s="89"/>
    </x:row>
    <x:row r="151">
      <x:c r="A151" s="89"/>
      <x:c r="B151" s="89"/>
      <x:c r="C151" s="89"/>
      <x:c r="D151" s="89"/>
      <x:c r="E151" s="89"/>
      <x:c r="F151" s="89"/>
      <x:c r="G151" s="89"/>
      <x:c r="H151" s="89"/>
      <x:c r="I151" s="89"/>
      <x:c r="J151" s="89"/>
      <x:c r="K151" s="89"/>
      <x:c r="L151" s="89"/>
      <x:c r="M151" s="89"/>
      <x:c r="N151" s="89"/>
      <x:c r="O151" s="89"/>
      <x:c r="P151" s="89"/>
      <x:c r="Q151" s="89"/>
      <x:c r="R151" s="89"/>
      <x:c r="S151" s="89"/>
      <x:c r="T151" s="89"/>
      <x:c r="U151" s="89"/>
      <x:c r="V151" s="89"/>
      <x:c r="W151" s="89"/>
      <x:c r="X151" s="89"/>
      <x:c r="Y151" s="89"/>
      <x:c r="Z151" s="89"/>
    </x:row>
    <x:row r="152">
      <x:c r="A152" s="89"/>
      <x:c r="B152" s="89"/>
      <x:c r="C152" s="89"/>
      <x:c r="D152" s="89"/>
      <x:c r="E152" s="89"/>
      <x:c r="F152" s="89"/>
      <x:c r="G152" s="89"/>
      <x:c r="H152" s="89"/>
      <x:c r="I152" s="89"/>
      <x:c r="J152" s="89"/>
      <x:c r="K152" s="89"/>
      <x:c r="L152" s="89"/>
      <x:c r="M152" s="89"/>
      <x:c r="N152" s="89"/>
      <x:c r="O152" s="89"/>
      <x:c r="P152" s="89"/>
      <x:c r="Q152" s="89"/>
      <x:c r="R152" s="89"/>
      <x:c r="S152" s="89"/>
      <x:c r="T152" s="89"/>
      <x:c r="U152" s="89"/>
      <x:c r="V152" s="89"/>
      <x:c r="W152" s="89"/>
      <x:c r="X152" s="89"/>
      <x:c r="Y152" s="89"/>
      <x:c r="Z152" s="89"/>
    </x:row>
    <x:row r="153">
      <x:c r="A153" s="89"/>
      <x:c r="B153" s="89"/>
      <x:c r="C153" s="89"/>
      <x:c r="D153" s="89"/>
      <x:c r="E153" s="89"/>
      <x:c r="F153" s="89"/>
      <x:c r="G153" s="89"/>
      <x:c r="H153" s="89"/>
      <x:c r="I153" s="89"/>
      <x:c r="J153" s="89"/>
      <x:c r="K153" s="89"/>
      <x:c r="L153" s="89"/>
      <x:c r="M153" s="89"/>
      <x:c r="N153" s="89"/>
      <x:c r="O153" s="89"/>
      <x:c r="P153" s="89"/>
      <x:c r="Q153" s="89"/>
      <x:c r="R153" s="89"/>
      <x:c r="S153" s="89"/>
      <x:c r="T153" s="89"/>
      <x:c r="U153" s="89"/>
      <x:c r="V153" s="89"/>
      <x:c r="W153" s="89"/>
      <x:c r="X153" s="89"/>
      <x:c r="Y153" s="89"/>
      <x:c r="Z153" s="89"/>
    </x:row>
    <x:row r="154">
      <x:c r="A154" s="89"/>
      <x:c r="B154" s="89"/>
      <x:c r="C154" s="89"/>
      <x:c r="D154" s="89"/>
      <x:c r="E154" s="89"/>
      <x:c r="F154" s="89"/>
      <x:c r="G154" s="89"/>
      <x:c r="H154" s="89"/>
      <x:c r="I154" s="89"/>
      <x:c r="J154" s="89"/>
      <x:c r="K154" s="89"/>
      <x:c r="L154" s="89"/>
      <x:c r="M154" s="89"/>
      <x:c r="N154" s="89"/>
      <x:c r="O154" s="89"/>
      <x:c r="P154" s="89"/>
      <x:c r="Q154" s="89"/>
      <x:c r="R154" s="89"/>
      <x:c r="S154" s="89"/>
      <x:c r="T154" s="89"/>
      <x:c r="U154" s="89"/>
      <x:c r="V154" s="89"/>
      <x:c r="W154" s="89"/>
      <x:c r="X154" s="89"/>
      <x:c r="Y154" s="89"/>
      <x:c r="Z154" s="89"/>
    </x:row>
    <x:row r="155">
      <x:c r="A155" s="89"/>
      <x:c r="B155" s="89"/>
      <x:c r="C155" s="89"/>
      <x:c r="D155" s="89"/>
      <x:c r="E155" s="89"/>
      <x:c r="F155" s="89"/>
      <x:c r="G155" s="89"/>
      <x:c r="H155" s="89"/>
      <x:c r="I155" s="89"/>
      <x:c r="J155" s="89"/>
      <x:c r="K155" s="89"/>
      <x:c r="L155" s="89"/>
      <x:c r="M155" s="89"/>
      <x:c r="N155" s="89"/>
      <x:c r="O155" s="89"/>
      <x:c r="P155" s="89"/>
      <x:c r="Q155" s="89"/>
      <x:c r="R155" s="89"/>
      <x:c r="S155" s="89"/>
      <x:c r="T155" s="89"/>
      <x:c r="U155" s="89"/>
      <x:c r="V155" s="89"/>
      <x:c r="W155" s="89"/>
      <x:c r="X155" s="89"/>
      <x:c r="Y155" s="89"/>
      <x:c r="Z155" s="89"/>
    </x:row>
    <x:row r="156">
      <x:c r="A156" s="89"/>
      <x:c r="B156" s="89"/>
      <x:c r="C156" s="89"/>
      <x:c r="D156" s="89"/>
      <x:c r="E156" s="89"/>
      <x:c r="F156" s="89"/>
      <x:c r="G156" s="89"/>
      <x:c r="H156" s="89"/>
      <x:c r="I156" s="89"/>
      <x:c r="J156" s="89"/>
      <x:c r="K156" s="89"/>
      <x:c r="L156" s="89"/>
      <x:c r="M156" s="89"/>
      <x:c r="N156" s="89"/>
      <x:c r="O156" s="89"/>
      <x:c r="P156" s="89"/>
      <x:c r="Q156" s="89"/>
      <x:c r="R156" s="89"/>
      <x:c r="S156" s="89"/>
      <x:c r="T156" s="89"/>
      <x:c r="U156" s="89"/>
      <x:c r="V156" s="89"/>
      <x:c r="W156" s="89"/>
      <x:c r="X156" s="89"/>
      <x:c r="Y156" s="89"/>
      <x:c r="Z156" s="89"/>
    </x:row>
    <x:row r="157">
      <x:c r="A157" s="89"/>
      <x:c r="B157" s="89"/>
      <x:c r="C157" s="89"/>
      <x:c r="D157" s="89"/>
      <x:c r="E157" s="89"/>
      <x:c r="F157" s="89"/>
      <x:c r="G157" s="89"/>
      <x:c r="H157" s="89"/>
      <x:c r="I157" s="89"/>
      <x:c r="J157" s="89"/>
      <x:c r="K157" s="89"/>
      <x:c r="L157" s="89"/>
      <x:c r="M157" s="89"/>
      <x:c r="N157" s="89"/>
      <x:c r="O157" s="89"/>
      <x:c r="P157" s="89"/>
      <x:c r="Q157" s="89"/>
      <x:c r="R157" s="89"/>
      <x:c r="S157" s="89"/>
      <x:c r="T157" s="89"/>
      <x:c r="U157" s="89"/>
      <x:c r="V157" s="89"/>
      <x:c r="W157" s="89"/>
      <x:c r="X157" s="89"/>
      <x:c r="Y157" s="89"/>
      <x:c r="Z157" s="89"/>
    </x:row>
    <x:row r="158">
      <x:c r="A158" s="89"/>
      <x:c r="B158" s="89"/>
      <x:c r="C158" s="89"/>
      <x:c r="D158" s="89"/>
      <x:c r="E158" s="89"/>
      <x:c r="F158" s="89"/>
      <x:c r="G158" s="89"/>
      <x:c r="H158" s="89"/>
      <x:c r="I158" s="89"/>
      <x:c r="J158" s="89"/>
      <x:c r="K158" s="89"/>
      <x:c r="L158" s="89"/>
      <x:c r="M158" s="89"/>
      <x:c r="N158" s="89"/>
      <x:c r="O158" s="89"/>
      <x:c r="P158" s="89"/>
      <x:c r="Q158" s="89"/>
      <x:c r="R158" s="89"/>
      <x:c r="S158" s="89"/>
      <x:c r="T158" s="89"/>
      <x:c r="U158" s="89"/>
      <x:c r="V158" s="89"/>
      <x:c r="W158" s="89"/>
      <x:c r="X158" s="89"/>
      <x:c r="Y158" s="89"/>
      <x:c r="Z158" s="89"/>
    </x:row>
    <x:row r="159">
      <x:c r="A159" s="89"/>
      <x:c r="B159" s="89"/>
      <x:c r="C159" s="89"/>
      <x:c r="D159" s="89"/>
      <x:c r="E159" s="89"/>
      <x:c r="F159" s="89"/>
      <x:c r="G159" s="89"/>
      <x:c r="H159" s="89"/>
      <x:c r="I159" s="89"/>
      <x:c r="J159" s="89"/>
      <x:c r="K159" s="89"/>
      <x:c r="L159" s="89"/>
      <x:c r="M159" s="89"/>
      <x:c r="N159" s="89"/>
      <x:c r="O159" s="89"/>
      <x:c r="P159" s="89"/>
      <x:c r="Q159" s="89"/>
      <x:c r="R159" s="89"/>
      <x:c r="S159" s="89"/>
      <x:c r="T159" s="89"/>
      <x:c r="U159" s="89"/>
      <x:c r="V159" s="89"/>
      <x:c r="W159" s="89"/>
      <x:c r="X159" s="89"/>
      <x:c r="Y159" s="89"/>
      <x:c r="Z159" s="89"/>
    </x:row>
    <x:row r="160">
      <x:c r="A160" s="89"/>
      <x:c r="B160" s="89"/>
      <x:c r="C160" s="89"/>
      <x:c r="D160" s="89"/>
      <x:c r="E160" s="89"/>
      <x:c r="F160" s="89"/>
      <x:c r="G160" s="89"/>
      <x:c r="H160" s="89"/>
      <x:c r="I160" s="89"/>
      <x:c r="J160" s="89"/>
      <x:c r="K160" s="89"/>
      <x:c r="L160" s="89"/>
      <x:c r="M160" s="89"/>
      <x:c r="N160" s="89"/>
      <x:c r="O160" s="89"/>
      <x:c r="P160" s="89"/>
      <x:c r="Q160" s="89"/>
      <x:c r="R160" s="89"/>
      <x:c r="S160" s="89"/>
      <x:c r="T160" s="89"/>
      <x:c r="U160" s="89"/>
      <x:c r="V160" s="89"/>
      <x:c r="W160" s="89"/>
      <x:c r="X160" s="89"/>
      <x:c r="Y160" s="89"/>
      <x:c r="Z160" s="89"/>
    </x:row>
    <x:row r="161">
      <x:c r="A161" s="89"/>
      <x:c r="B161" s="89"/>
      <x:c r="C161" s="89"/>
      <x:c r="D161" s="89"/>
      <x:c r="E161" s="89"/>
      <x:c r="F161" s="89"/>
      <x:c r="G161" s="89"/>
      <x:c r="H161" s="89"/>
      <x:c r="I161" s="89"/>
      <x:c r="J161" s="89"/>
      <x:c r="K161" s="89"/>
      <x:c r="L161" s="89"/>
      <x:c r="M161" s="89"/>
      <x:c r="N161" s="89"/>
      <x:c r="O161" s="89"/>
      <x:c r="P161" s="89"/>
      <x:c r="Q161" s="89"/>
      <x:c r="R161" s="89"/>
      <x:c r="S161" s="89"/>
      <x:c r="T161" s="89"/>
      <x:c r="U161" s="89"/>
      <x:c r="V161" s="89"/>
      <x:c r="W161" s="89"/>
      <x:c r="X161" s="89"/>
      <x:c r="Y161" s="89"/>
      <x:c r="Z161" s="89"/>
    </x:row>
    <x:row r="162">
      <x:c r="A162" s="89"/>
      <x:c r="B162" s="89"/>
      <x:c r="C162" s="89"/>
      <x:c r="D162" s="89"/>
      <x:c r="E162" s="89"/>
      <x:c r="F162" s="89"/>
      <x:c r="G162" s="89"/>
      <x:c r="H162" s="89"/>
      <x:c r="I162" s="89"/>
      <x:c r="J162" s="89"/>
      <x:c r="K162" s="89"/>
      <x:c r="L162" s="89"/>
      <x:c r="M162" s="89"/>
      <x:c r="N162" s="89"/>
      <x:c r="O162" s="89"/>
      <x:c r="P162" s="89"/>
      <x:c r="Q162" s="89"/>
      <x:c r="R162" s="89"/>
      <x:c r="S162" s="89"/>
      <x:c r="T162" s="89"/>
      <x:c r="U162" s="89"/>
      <x:c r="V162" s="89"/>
      <x:c r="W162" s="89"/>
      <x:c r="X162" s="89"/>
      <x:c r="Y162" s="89"/>
      <x:c r="Z162" s="89"/>
    </x:row>
    <x:row r="163">
      <x:c r="A163" s="89"/>
      <x:c r="B163" s="89"/>
      <x:c r="C163" s="89"/>
      <x:c r="D163" s="89"/>
      <x:c r="E163" s="89"/>
      <x:c r="F163" s="89"/>
      <x:c r="G163" s="89"/>
      <x:c r="H163" s="89"/>
      <x:c r="I163" s="89"/>
      <x:c r="J163" s="89"/>
      <x:c r="K163" s="89"/>
      <x:c r="L163" s="89"/>
      <x:c r="M163" s="89"/>
      <x:c r="N163" s="89"/>
      <x:c r="O163" s="89"/>
      <x:c r="P163" s="89"/>
      <x:c r="Q163" s="89"/>
      <x:c r="R163" s="89"/>
      <x:c r="S163" s="89"/>
      <x:c r="T163" s="89"/>
      <x:c r="U163" s="89"/>
      <x:c r="V163" s="89"/>
      <x:c r="W163" s="89"/>
      <x:c r="X163" s="89"/>
      <x:c r="Y163" s="89"/>
      <x:c r="Z163" s="89"/>
    </x:row>
    <x:row r="164">
      <x:c r="A164" s="89"/>
      <x:c r="B164" s="89"/>
      <x:c r="C164" s="89"/>
      <x:c r="D164" s="89"/>
      <x:c r="E164" s="89"/>
      <x:c r="F164" s="89"/>
      <x:c r="G164" s="89"/>
      <x:c r="H164" s="89"/>
      <x:c r="I164" s="89"/>
      <x:c r="J164" s="89"/>
      <x:c r="K164" s="89"/>
      <x:c r="L164" s="89"/>
      <x:c r="M164" s="89"/>
      <x:c r="N164" s="89"/>
      <x:c r="O164" s="89"/>
      <x:c r="P164" s="89"/>
      <x:c r="Q164" s="89"/>
      <x:c r="R164" s="89"/>
      <x:c r="S164" s="89"/>
      <x:c r="T164" s="89"/>
      <x:c r="U164" s="89"/>
      <x:c r="V164" s="89"/>
      <x:c r="W164" s="89"/>
      <x:c r="X164" s="89"/>
      <x:c r="Y164" s="89"/>
      <x:c r="Z164" s="89"/>
    </x:row>
    <x:row r="165">
      <x:c r="A165" s="89"/>
      <x:c r="B165" s="89"/>
      <x:c r="C165" s="89"/>
      <x:c r="D165" s="89"/>
      <x:c r="E165" s="89"/>
      <x:c r="F165" s="89"/>
      <x:c r="G165" s="89"/>
      <x:c r="H165" s="89"/>
      <x:c r="I165" s="89"/>
      <x:c r="J165" s="89"/>
      <x:c r="K165" s="89"/>
      <x:c r="L165" s="89"/>
      <x:c r="M165" s="89"/>
      <x:c r="N165" s="89"/>
      <x:c r="O165" s="89"/>
      <x:c r="P165" s="89"/>
      <x:c r="Q165" s="89"/>
      <x:c r="R165" s="89"/>
      <x:c r="S165" s="89"/>
      <x:c r="T165" s="89"/>
      <x:c r="U165" s="89"/>
      <x:c r="V165" s="89"/>
      <x:c r="W165" s="89"/>
      <x:c r="X165" s="89"/>
      <x:c r="Y165" s="89"/>
      <x:c r="Z165" s="89"/>
    </x:row>
    <x:row r="166">
      <x:c r="A166" s="89"/>
      <x:c r="B166" s="89"/>
      <x:c r="C166" s="89"/>
      <x:c r="D166" s="89"/>
      <x:c r="E166" s="89"/>
      <x:c r="F166" s="89"/>
      <x:c r="G166" s="89"/>
      <x:c r="H166" s="89"/>
      <x:c r="I166" s="89"/>
      <x:c r="J166" s="89"/>
      <x:c r="K166" s="89"/>
      <x:c r="L166" s="89"/>
      <x:c r="M166" s="89"/>
      <x:c r="N166" s="89"/>
      <x:c r="O166" s="89"/>
      <x:c r="P166" s="89"/>
      <x:c r="Q166" s="89"/>
      <x:c r="R166" s="89"/>
      <x:c r="S166" s="89"/>
      <x:c r="T166" s="89"/>
      <x:c r="U166" s="89"/>
      <x:c r="V166" s="89"/>
      <x:c r="W166" s="89"/>
      <x:c r="X166" s="89"/>
      <x:c r="Y166" s="89"/>
      <x:c r="Z166" s="89"/>
    </x:row>
    <x:row r="167">
      <x:c r="A167" s="89"/>
      <x:c r="B167" s="89"/>
      <x:c r="C167" s="89"/>
      <x:c r="D167" s="89"/>
      <x:c r="E167" s="89"/>
      <x:c r="F167" s="89"/>
      <x:c r="G167" s="89"/>
      <x:c r="H167" s="89"/>
      <x:c r="I167" s="89"/>
      <x:c r="J167" s="89"/>
      <x:c r="K167" s="89"/>
      <x:c r="L167" s="89"/>
      <x:c r="M167" s="89"/>
      <x:c r="N167" s="89"/>
      <x:c r="O167" s="89"/>
      <x:c r="P167" s="89"/>
      <x:c r="Q167" s="89"/>
      <x:c r="R167" s="89"/>
      <x:c r="S167" s="89"/>
      <x:c r="T167" s="89"/>
      <x:c r="U167" s="89"/>
      <x:c r="V167" s="89"/>
      <x:c r="W167" s="89"/>
      <x:c r="X167" s="89"/>
      <x:c r="Y167" s="89"/>
      <x:c r="Z167" s="89"/>
    </x:row>
    <x:row r="168">
      <x:c r="A168" s="89"/>
      <x:c r="B168" s="89"/>
      <x:c r="C168" s="89"/>
      <x:c r="D168" s="89"/>
      <x:c r="E168" s="89"/>
      <x:c r="F168" s="89"/>
      <x:c r="G168" s="89"/>
      <x:c r="H168" s="89"/>
      <x:c r="I168" s="89"/>
      <x:c r="J168" s="89"/>
      <x:c r="K168" s="89"/>
      <x:c r="L168" s="89"/>
      <x:c r="M168" s="89"/>
      <x:c r="N168" s="89"/>
      <x:c r="O168" s="89"/>
      <x:c r="P168" s="89"/>
      <x:c r="Q168" s="89"/>
      <x:c r="R168" s="89"/>
      <x:c r="S168" s="89"/>
      <x:c r="T168" s="89"/>
      <x:c r="U168" s="89"/>
      <x:c r="V168" s="89"/>
      <x:c r="W168" s="89"/>
      <x:c r="X168" s="89"/>
      <x:c r="Y168" s="89"/>
      <x:c r="Z168" s="89"/>
    </x:row>
    <x:row r="169">
      <x:c r="A169" s="89"/>
      <x:c r="B169" s="89"/>
      <x:c r="C169" s="89"/>
      <x:c r="D169" s="89"/>
      <x:c r="E169" s="89"/>
      <x:c r="F169" s="89"/>
      <x:c r="G169" s="89"/>
      <x:c r="H169" s="89"/>
      <x:c r="I169" s="89"/>
      <x:c r="J169" s="89"/>
      <x:c r="K169" s="89"/>
      <x:c r="L169" s="89"/>
      <x:c r="M169" s="89"/>
      <x:c r="N169" s="89"/>
      <x:c r="O169" s="89"/>
      <x:c r="P169" s="89"/>
      <x:c r="Q169" s="89"/>
      <x:c r="R169" s="89"/>
      <x:c r="S169" s="89"/>
      <x:c r="T169" s="89"/>
      <x:c r="U169" s="89"/>
      <x:c r="V169" s="89"/>
      <x:c r="W169" s="89"/>
      <x:c r="X169" s="89"/>
      <x:c r="Y169" s="89"/>
      <x:c r="Z169" s="89"/>
    </x:row>
    <x:row r="170">
      <x:c r="A170" s="89"/>
      <x:c r="B170" s="89"/>
      <x:c r="C170" s="89"/>
      <x:c r="D170" s="89"/>
      <x:c r="E170" s="89"/>
      <x:c r="F170" s="89"/>
      <x:c r="G170" s="89"/>
      <x:c r="H170" s="89"/>
      <x:c r="I170" s="89"/>
      <x:c r="J170" s="89"/>
      <x:c r="K170" s="89"/>
      <x:c r="L170" s="89"/>
      <x:c r="M170" s="89"/>
      <x:c r="N170" s="89"/>
      <x:c r="O170" s="89"/>
      <x:c r="P170" s="89"/>
      <x:c r="Q170" s="89"/>
      <x:c r="R170" s="89"/>
      <x:c r="S170" s="89"/>
      <x:c r="T170" s="89"/>
      <x:c r="U170" s="89"/>
      <x:c r="V170" s="89"/>
      <x:c r="W170" s="89"/>
      <x:c r="X170" s="89"/>
      <x:c r="Y170" s="89"/>
      <x:c r="Z170" s="89"/>
    </x:row>
    <x:row r="171">
      <x:c r="A171" s="89"/>
      <x:c r="B171" s="89"/>
      <x:c r="C171" s="89"/>
      <x:c r="D171" s="89"/>
      <x:c r="E171" s="89"/>
      <x:c r="F171" s="89"/>
      <x:c r="G171" s="89"/>
      <x:c r="H171" s="89"/>
      <x:c r="I171" s="89"/>
      <x:c r="J171" s="89"/>
      <x:c r="K171" s="89"/>
      <x:c r="L171" s="89"/>
      <x:c r="M171" s="89"/>
      <x:c r="N171" s="89"/>
      <x:c r="O171" s="89"/>
      <x:c r="P171" s="89"/>
      <x:c r="Q171" s="89"/>
      <x:c r="R171" s="89"/>
      <x:c r="S171" s="89"/>
      <x:c r="T171" s="89"/>
      <x:c r="U171" s="89"/>
      <x:c r="V171" s="89"/>
      <x:c r="W171" s="89"/>
      <x:c r="X171" s="89"/>
      <x:c r="Y171" s="89"/>
      <x:c r="Z171" s="89"/>
    </x:row>
    <x:row r="172">
      <x:c r="A172" s="89"/>
      <x:c r="B172" s="89"/>
      <x:c r="C172" s="89"/>
      <x:c r="D172" s="89"/>
      <x:c r="E172" s="89"/>
      <x:c r="F172" s="89"/>
      <x:c r="G172" s="89"/>
      <x:c r="H172" s="89"/>
      <x:c r="I172" s="89"/>
      <x:c r="J172" s="89"/>
      <x:c r="K172" s="89"/>
      <x:c r="L172" s="89"/>
      <x:c r="M172" s="89"/>
      <x:c r="N172" s="89"/>
      <x:c r="O172" s="89"/>
      <x:c r="P172" s="89"/>
      <x:c r="Q172" s="89"/>
      <x:c r="R172" s="89"/>
      <x:c r="S172" s="89"/>
      <x:c r="T172" s="89"/>
      <x:c r="U172" s="89"/>
      <x:c r="V172" s="89"/>
      <x:c r="W172" s="89"/>
      <x:c r="X172" s="89"/>
      <x:c r="Y172" s="89"/>
      <x:c r="Z172" s="89"/>
    </x:row>
    <x:row r="173">
      <x:c r="A173" s="89"/>
      <x:c r="B173" s="89"/>
      <x:c r="C173" s="89"/>
      <x:c r="D173" s="89"/>
      <x:c r="E173" s="89"/>
      <x:c r="F173" s="89"/>
      <x:c r="G173" s="89"/>
      <x:c r="H173" s="89"/>
      <x:c r="I173" s="89"/>
      <x:c r="J173" s="89"/>
      <x:c r="K173" s="89"/>
      <x:c r="L173" s="89"/>
      <x:c r="M173" s="89"/>
      <x:c r="N173" s="89"/>
      <x:c r="O173" s="89"/>
      <x:c r="P173" s="89"/>
      <x:c r="Q173" s="89"/>
      <x:c r="R173" s="89"/>
      <x:c r="S173" s="89"/>
      <x:c r="T173" s="89"/>
      <x:c r="U173" s="89"/>
      <x:c r="V173" s="89"/>
      <x:c r="W173" s="89"/>
      <x:c r="X173" s="89"/>
      <x:c r="Y173" s="89"/>
      <x:c r="Z173" s="89"/>
    </x:row>
    <x:row r="174">
      <x:c r="A174" s="89"/>
      <x:c r="B174" s="89"/>
      <x:c r="C174" s="89"/>
      <x:c r="D174" s="89"/>
      <x:c r="E174" s="89"/>
      <x:c r="F174" s="89"/>
      <x:c r="G174" s="89"/>
      <x:c r="H174" s="89"/>
      <x:c r="I174" s="89"/>
      <x:c r="J174" s="89"/>
      <x:c r="K174" s="89"/>
      <x:c r="L174" s="89"/>
      <x:c r="M174" s="89"/>
      <x:c r="N174" s="89"/>
      <x:c r="O174" s="89"/>
      <x:c r="P174" s="89"/>
      <x:c r="Q174" s="89"/>
      <x:c r="R174" s="89"/>
      <x:c r="S174" s="89"/>
      <x:c r="T174" s="89"/>
      <x:c r="U174" s="89"/>
      <x:c r="V174" s="89"/>
      <x:c r="W174" s="89"/>
      <x:c r="X174" s="89"/>
      <x:c r="Y174" s="89"/>
      <x:c r="Z174" s="89"/>
    </x:row>
    <x:row r="175">
      <x:c r="A175" s="89"/>
      <x:c r="B175" s="89"/>
      <x:c r="C175" s="89"/>
      <x:c r="D175" s="89"/>
      <x:c r="E175" s="89"/>
      <x:c r="F175" s="89"/>
      <x:c r="G175" s="89"/>
      <x:c r="H175" s="89"/>
      <x:c r="I175" s="89"/>
      <x:c r="J175" s="89"/>
      <x:c r="K175" s="89"/>
      <x:c r="L175" s="89"/>
      <x:c r="M175" s="89"/>
      <x:c r="N175" s="89"/>
      <x:c r="O175" s="89"/>
      <x:c r="P175" s="89"/>
      <x:c r="Q175" s="89"/>
      <x:c r="R175" s="89"/>
      <x:c r="S175" s="89"/>
      <x:c r="T175" s="89"/>
      <x:c r="U175" s="89"/>
      <x:c r="V175" s="89"/>
      <x:c r="W175" s="89"/>
      <x:c r="X175" s="89"/>
      <x:c r="Y175" s="89"/>
      <x:c r="Z175" s="89"/>
    </x:row>
    <x:row r="176">
      <x:c r="A176" s="89"/>
      <x:c r="B176" s="89"/>
      <x:c r="C176" s="89"/>
      <x:c r="D176" s="89"/>
      <x:c r="E176" s="89"/>
      <x:c r="F176" s="89"/>
      <x:c r="G176" s="89"/>
      <x:c r="H176" s="89"/>
      <x:c r="I176" s="89"/>
      <x:c r="J176" s="89"/>
      <x:c r="K176" s="89"/>
      <x:c r="L176" s="89"/>
      <x:c r="M176" s="89"/>
      <x:c r="N176" s="89"/>
      <x:c r="O176" s="89"/>
      <x:c r="P176" s="89"/>
      <x:c r="Q176" s="89"/>
      <x:c r="R176" s="89"/>
      <x:c r="S176" s="89"/>
      <x:c r="T176" s="89"/>
      <x:c r="U176" s="89"/>
      <x:c r="V176" s="89"/>
      <x:c r="W176" s="89"/>
      <x:c r="X176" s="89"/>
      <x:c r="Y176" s="89"/>
      <x:c r="Z176" s="89"/>
    </x:row>
    <x:row r="177">
      <x:c r="A177" s="89"/>
      <x:c r="B177" s="89"/>
      <x:c r="C177" s="89"/>
      <x:c r="D177" s="89"/>
      <x:c r="E177" s="89"/>
      <x:c r="F177" s="89"/>
      <x:c r="G177" s="89"/>
      <x:c r="H177" s="89"/>
      <x:c r="I177" s="89"/>
      <x:c r="J177" s="89"/>
      <x:c r="K177" s="89"/>
      <x:c r="L177" s="89"/>
      <x:c r="M177" s="89"/>
      <x:c r="N177" s="89"/>
      <x:c r="O177" s="89"/>
      <x:c r="P177" s="89"/>
      <x:c r="Q177" s="89"/>
      <x:c r="R177" s="89"/>
      <x:c r="S177" s="89"/>
      <x:c r="T177" s="89"/>
      <x:c r="U177" s="89"/>
      <x:c r="V177" s="89"/>
      <x:c r="W177" s="89"/>
      <x:c r="X177" s="89"/>
      <x:c r="Y177" s="89"/>
      <x:c r="Z177" s="89"/>
    </x:row>
    <x:row r="178">
      <x:c r="A178" s="89"/>
      <x:c r="B178" s="89"/>
      <x:c r="C178" s="89"/>
      <x:c r="D178" s="89"/>
      <x:c r="E178" s="89"/>
      <x:c r="F178" s="89"/>
      <x:c r="G178" s="89"/>
      <x:c r="H178" s="89"/>
      <x:c r="I178" s="89"/>
      <x:c r="J178" s="89"/>
      <x:c r="K178" s="89"/>
      <x:c r="L178" s="89"/>
      <x:c r="M178" s="89"/>
      <x:c r="N178" s="89"/>
      <x:c r="O178" s="89"/>
      <x:c r="P178" s="89"/>
      <x:c r="Q178" s="89"/>
      <x:c r="R178" s="89"/>
      <x:c r="S178" s="89"/>
      <x:c r="T178" s="89"/>
      <x:c r="U178" s="89"/>
      <x:c r="V178" s="89"/>
      <x:c r="W178" s="89"/>
      <x:c r="X178" s="89"/>
      <x:c r="Y178" s="89"/>
      <x:c r="Z178" s="89"/>
    </x:row>
    <x:row r="179">
      <x:c r="A179" s="89"/>
      <x:c r="B179" s="89"/>
      <x:c r="C179" s="89"/>
      <x:c r="D179" s="89"/>
      <x:c r="E179" s="89"/>
      <x:c r="F179" s="89"/>
      <x:c r="G179" s="89"/>
      <x:c r="H179" s="89"/>
      <x:c r="I179" s="89"/>
      <x:c r="J179" s="89"/>
      <x:c r="K179" s="89"/>
      <x:c r="L179" s="89"/>
      <x:c r="M179" s="89"/>
      <x:c r="N179" s="89"/>
      <x:c r="O179" s="89"/>
      <x:c r="P179" s="89"/>
      <x:c r="Q179" s="89"/>
      <x:c r="R179" s="89"/>
      <x:c r="S179" s="89"/>
      <x:c r="T179" s="89"/>
      <x:c r="U179" s="89"/>
      <x:c r="V179" s="89"/>
      <x:c r="W179" s="89"/>
      <x:c r="X179" s="89"/>
      <x:c r="Y179" s="89"/>
      <x:c r="Z179" s="89"/>
    </x:row>
    <x:row r="180">
      <x:c r="A180" s="89"/>
      <x:c r="B180" s="89"/>
      <x:c r="C180" s="89"/>
      <x:c r="D180" s="89"/>
      <x:c r="E180" s="89"/>
      <x:c r="F180" s="89"/>
      <x:c r="G180" s="89"/>
      <x:c r="H180" s="89"/>
      <x:c r="I180" s="89"/>
      <x:c r="J180" s="89"/>
      <x:c r="K180" s="89"/>
      <x:c r="L180" s="89"/>
      <x:c r="M180" s="89"/>
      <x:c r="N180" s="89"/>
      <x:c r="O180" s="89"/>
      <x:c r="P180" s="89"/>
      <x:c r="Q180" s="89"/>
      <x:c r="R180" s="89"/>
      <x:c r="S180" s="89"/>
      <x:c r="T180" s="89"/>
      <x:c r="U180" s="89"/>
      <x:c r="V180" s="89"/>
      <x:c r="W180" s="89"/>
      <x:c r="X180" s="89"/>
      <x:c r="Y180" s="89"/>
      <x:c r="Z180" s="89"/>
    </x:row>
    <x:row r="181">
      <x:c r="A181" s="89"/>
      <x:c r="B181" s="89"/>
      <x:c r="C181" s="89"/>
      <x:c r="D181" s="89"/>
      <x:c r="E181" s="89"/>
      <x:c r="F181" s="89"/>
      <x:c r="G181" s="89"/>
      <x:c r="H181" s="89"/>
      <x:c r="I181" s="89"/>
      <x:c r="J181" s="89"/>
      <x:c r="K181" s="89"/>
      <x:c r="L181" s="89"/>
      <x:c r="M181" s="89"/>
      <x:c r="N181" s="89"/>
      <x:c r="O181" s="89"/>
      <x:c r="P181" s="89"/>
      <x:c r="Q181" s="89"/>
      <x:c r="R181" s="89"/>
      <x:c r="S181" s="89"/>
      <x:c r="T181" s="89"/>
      <x:c r="U181" s="89"/>
      <x:c r="V181" s="89"/>
      <x:c r="W181" s="89"/>
      <x:c r="X181" s="89"/>
      <x:c r="Y181" s="89"/>
      <x:c r="Z181" s="89"/>
    </x:row>
    <x:row r="182">
      <x:c r="A182" s="89"/>
      <x:c r="B182" s="89"/>
      <x:c r="C182" s="89"/>
      <x:c r="D182" s="89"/>
      <x:c r="E182" s="89"/>
      <x:c r="F182" s="89"/>
      <x:c r="G182" s="89"/>
      <x:c r="H182" s="89"/>
      <x:c r="I182" s="89"/>
      <x:c r="J182" s="89"/>
      <x:c r="K182" s="89"/>
      <x:c r="L182" s="89"/>
      <x:c r="M182" s="89"/>
      <x:c r="N182" s="89"/>
      <x:c r="O182" s="89"/>
      <x:c r="P182" s="89"/>
      <x:c r="Q182" s="89"/>
      <x:c r="R182" s="89"/>
      <x:c r="S182" s="89"/>
      <x:c r="T182" s="89"/>
      <x:c r="U182" s="89"/>
      <x:c r="V182" s="89"/>
      <x:c r="W182" s="89"/>
      <x:c r="X182" s="89"/>
      <x:c r="Y182" s="89"/>
      <x:c r="Z182" s="89"/>
    </x:row>
    <x:row r="183">
      <x:c r="A183" s="89"/>
      <x:c r="B183" s="89"/>
      <x:c r="C183" s="89"/>
      <x:c r="D183" s="89"/>
      <x:c r="E183" s="89"/>
      <x:c r="F183" s="89"/>
      <x:c r="G183" s="89"/>
      <x:c r="H183" s="89"/>
      <x:c r="I183" s="89"/>
      <x:c r="J183" s="89"/>
      <x:c r="K183" s="89"/>
      <x:c r="L183" s="89"/>
      <x:c r="M183" s="89"/>
      <x:c r="N183" s="89"/>
      <x:c r="O183" s="89"/>
      <x:c r="P183" s="89"/>
      <x:c r="Q183" s="89"/>
      <x:c r="R183" s="89"/>
      <x:c r="S183" s="89"/>
      <x:c r="T183" s="89"/>
      <x:c r="U183" s="89"/>
      <x:c r="V183" s="89"/>
      <x:c r="W183" s="89"/>
      <x:c r="X183" s="89"/>
      <x:c r="Y183" s="89"/>
      <x:c r="Z183" s="89"/>
    </x:row>
    <x:row r="184">
      <x:c r="A184" s="89"/>
      <x:c r="B184" s="89"/>
      <x:c r="C184" s="89"/>
      <x:c r="D184" s="89"/>
      <x:c r="E184" s="89"/>
      <x:c r="F184" s="89"/>
      <x:c r="G184" s="89"/>
      <x:c r="H184" s="89"/>
      <x:c r="I184" s="89"/>
      <x:c r="J184" s="89"/>
      <x:c r="K184" s="89"/>
      <x:c r="L184" s="89"/>
      <x:c r="M184" s="89"/>
      <x:c r="N184" s="89"/>
      <x:c r="O184" s="89"/>
      <x:c r="P184" s="89"/>
      <x:c r="Q184" s="89"/>
      <x:c r="R184" s="89"/>
      <x:c r="S184" s="89"/>
      <x:c r="T184" s="89"/>
      <x:c r="U184" s="89"/>
      <x:c r="V184" s="89"/>
      <x:c r="W184" s="89"/>
      <x:c r="X184" s="89"/>
      <x:c r="Y184" s="89"/>
      <x:c r="Z184" s="89"/>
    </x:row>
    <x:row r="185">
      <x:c r="A185" s="89"/>
      <x:c r="B185" s="89"/>
      <x:c r="C185" s="89"/>
      <x:c r="D185" s="89"/>
      <x:c r="E185" s="89"/>
      <x:c r="F185" s="89"/>
      <x:c r="G185" s="89"/>
      <x:c r="H185" s="89"/>
      <x:c r="I185" s="89"/>
      <x:c r="J185" s="89"/>
      <x:c r="K185" s="89"/>
      <x:c r="L185" s="89"/>
      <x:c r="M185" s="89"/>
      <x:c r="N185" s="89"/>
      <x:c r="O185" s="89"/>
      <x:c r="P185" s="89"/>
      <x:c r="Q185" s="89"/>
      <x:c r="R185" s="89"/>
      <x:c r="S185" s="89"/>
      <x:c r="T185" s="89"/>
      <x:c r="U185" s="89"/>
      <x:c r="V185" s="89"/>
      <x:c r="W185" s="89"/>
      <x:c r="X185" s="89"/>
      <x:c r="Y185" s="89"/>
      <x:c r="Z185" s="89"/>
    </x:row>
    <x:row r="186">
      <x:c r="A186" s="89"/>
      <x:c r="B186" s="89"/>
      <x:c r="C186" s="89"/>
      <x:c r="D186" s="89"/>
      <x:c r="E186" s="89"/>
      <x:c r="F186" s="89"/>
      <x:c r="G186" s="89"/>
      <x:c r="H186" s="89"/>
      <x:c r="I186" s="89"/>
      <x:c r="J186" s="89"/>
      <x:c r="K186" s="89"/>
      <x:c r="L186" s="89"/>
      <x:c r="M186" s="89"/>
      <x:c r="N186" s="89"/>
      <x:c r="O186" s="89"/>
      <x:c r="P186" s="89"/>
      <x:c r="Q186" s="89"/>
      <x:c r="R186" s="89"/>
      <x:c r="S186" s="89"/>
      <x:c r="T186" s="89"/>
      <x:c r="U186" s="89"/>
      <x:c r="V186" s="89"/>
      <x:c r="W186" s="89"/>
      <x:c r="X186" s="89"/>
      <x:c r="Y186" s="89"/>
      <x:c r="Z186" s="89"/>
    </x:row>
    <x:row r="187">
      <x:c r="A187" s="89"/>
      <x:c r="B187" s="89"/>
      <x:c r="C187" s="89"/>
      <x:c r="D187" s="89"/>
      <x:c r="E187" s="89"/>
      <x:c r="F187" s="89"/>
      <x:c r="G187" s="89"/>
      <x:c r="H187" s="89"/>
      <x:c r="I187" s="89"/>
      <x:c r="J187" s="89"/>
      <x:c r="K187" s="89"/>
      <x:c r="L187" s="89"/>
      <x:c r="M187" s="89"/>
      <x:c r="N187" s="89"/>
      <x:c r="O187" s="89"/>
      <x:c r="P187" s="89"/>
      <x:c r="Q187" s="89"/>
      <x:c r="R187" s="89"/>
      <x:c r="S187" s="89"/>
      <x:c r="T187" s="89"/>
      <x:c r="U187" s="89"/>
      <x:c r="V187" s="89"/>
      <x:c r="W187" s="89"/>
      <x:c r="X187" s="89"/>
      <x:c r="Y187" s="89"/>
      <x:c r="Z187" s="89"/>
    </x:row>
    <x:row r="188">
      <x:c r="A188" s="89"/>
      <x:c r="B188" s="89"/>
      <x:c r="C188" s="89"/>
      <x:c r="D188" s="89"/>
      <x:c r="E188" s="89"/>
      <x:c r="F188" s="89"/>
      <x:c r="G188" s="89"/>
      <x:c r="H188" s="89"/>
      <x:c r="I188" s="89"/>
      <x:c r="J188" s="89"/>
      <x:c r="K188" s="89"/>
      <x:c r="L188" s="89"/>
      <x:c r="M188" s="89"/>
      <x:c r="N188" s="89"/>
      <x:c r="O188" s="89"/>
      <x:c r="P188" s="89"/>
      <x:c r="Q188" s="89"/>
      <x:c r="R188" s="89"/>
      <x:c r="S188" s="89"/>
      <x:c r="T188" s="89"/>
      <x:c r="U188" s="89"/>
      <x:c r="V188" s="89"/>
      <x:c r="W188" s="89"/>
      <x:c r="X188" s="89"/>
      <x:c r="Y188" s="89"/>
      <x:c r="Z188" s="89"/>
    </x:row>
    <x:row r="189">
      <x:c r="A189" s="89"/>
      <x:c r="B189" s="89"/>
      <x:c r="C189" s="89"/>
      <x:c r="D189" s="89"/>
      <x:c r="E189" s="89"/>
      <x:c r="F189" s="89"/>
      <x:c r="G189" s="89"/>
      <x:c r="H189" s="89"/>
      <x:c r="I189" s="89"/>
      <x:c r="J189" s="89"/>
      <x:c r="K189" s="89"/>
      <x:c r="L189" s="89"/>
      <x:c r="M189" s="89"/>
      <x:c r="N189" s="89"/>
      <x:c r="O189" s="89"/>
      <x:c r="P189" s="89"/>
      <x:c r="Q189" s="89"/>
      <x:c r="R189" s="89"/>
      <x:c r="S189" s="89"/>
      <x:c r="T189" s="89"/>
      <x:c r="U189" s="89"/>
      <x:c r="V189" s="89"/>
      <x:c r="W189" s="89"/>
      <x:c r="X189" s="89"/>
      <x:c r="Y189" s="89"/>
      <x:c r="Z189" s="89"/>
    </x:row>
    <x:row r="190">
      <x:c r="A190" s="89"/>
      <x:c r="B190" s="89"/>
      <x:c r="C190" s="89"/>
      <x:c r="D190" s="89"/>
      <x:c r="E190" s="89"/>
      <x:c r="F190" s="89"/>
      <x:c r="G190" s="89"/>
      <x:c r="H190" s="89"/>
      <x:c r="I190" s="89"/>
      <x:c r="J190" s="89"/>
      <x:c r="K190" s="89"/>
      <x:c r="L190" s="89"/>
      <x:c r="M190" s="89"/>
      <x:c r="N190" s="89"/>
      <x:c r="O190" s="89"/>
      <x:c r="P190" s="89"/>
      <x:c r="Q190" s="89"/>
      <x:c r="R190" s="89"/>
      <x:c r="S190" s="89"/>
      <x:c r="T190" s="89"/>
      <x:c r="U190" s="89"/>
      <x:c r="V190" s="89"/>
      <x:c r="W190" s="89"/>
      <x:c r="X190" s="89"/>
      <x:c r="Y190" s="89"/>
      <x:c r="Z190" s="89"/>
    </x:row>
    <x:row r="191">
      <x:c r="A191" s="89"/>
      <x:c r="B191" s="89"/>
      <x:c r="C191" s="89"/>
      <x:c r="D191" s="89"/>
      <x:c r="E191" s="89"/>
      <x:c r="F191" s="89"/>
      <x:c r="G191" s="89"/>
      <x:c r="H191" s="89"/>
      <x:c r="I191" s="89"/>
      <x:c r="J191" s="89"/>
      <x:c r="K191" s="89"/>
      <x:c r="L191" s="89"/>
      <x:c r="M191" s="89"/>
      <x:c r="N191" s="89"/>
      <x:c r="O191" s="89"/>
      <x:c r="P191" s="89"/>
      <x:c r="Q191" s="89"/>
      <x:c r="R191" s="89"/>
      <x:c r="S191" s="89"/>
      <x:c r="T191" s="89"/>
      <x:c r="U191" s="89"/>
      <x:c r="V191" s="89"/>
      <x:c r="W191" s="89"/>
      <x:c r="X191" s="89"/>
      <x:c r="Y191" s="89"/>
      <x:c r="Z191" s="89"/>
    </x:row>
    <x:row r="192">
      <x:c r="A192" s="89"/>
      <x:c r="B192" s="89"/>
      <x:c r="C192" s="89"/>
      <x:c r="D192" s="89"/>
      <x:c r="E192" s="89"/>
      <x:c r="F192" s="89"/>
      <x:c r="G192" s="89"/>
      <x:c r="H192" s="89"/>
      <x:c r="I192" s="89"/>
      <x:c r="J192" s="89"/>
      <x:c r="K192" s="89"/>
      <x:c r="L192" s="89"/>
      <x:c r="M192" s="89"/>
      <x:c r="N192" s="89"/>
      <x:c r="O192" s="89"/>
      <x:c r="P192" s="89"/>
      <x:c r="Q192" s="89"/>
      <x:c r="R192" s="89"/>
      <x:c r="S192" s="89"/>
      <x:c r="T192" s="89"/>
      <x:c r="U192" s="89"/>
      <x:c r="V192" s="89"/>
      <x:c r="W192" s="89"/>
      <x:c r="X192" s="89"/>
      <x:c r="Y192" s="89"/>
      <x:c r="Z192" s="89"/>
    </x:row>
    <x:row r="193">
      <x:c r="A193" s="89"/>
      <x:c r="B193" s="89"/>
      <x:c r="C193" s="89"/>
      <x:c r="D193" s="89"/>
      <x:c r="E193" s="89"/>
      <x:c r="F193" s="89"/>
      <x:c r="G193" s="89"/>
      <x:c r="H193" s="89"/>
      <x:c r="I193" s="89"/>
      <x:c r="J193" s="89"/>
      <x:c r="K193" s="89"/>
      <x:c r="L193" s="89"/>
      <x:c r="M193" s="89"/>
      <x:c r="N193" s="89"/>
      <x:c r="O193" s="89"/>
      <x:c r="P193" s="89"/>
      <x:c r="Q193" s="89"/>
      <x:c r="R193" s="89"/>
      <x:c r="S193" s="89"/>
      <x:c r="T193" s="89"/>
      <x:c r="U193" s="89"/>
      <x:c r="V193" s="89"/>
      <x:c r="W193" s="89"/>
      <x:c r="X193" s="89"/>
      <x:c r="Y193" s="89"/>
      <x:c r="Z193" s="89"/>
    </x:row>
    <x:row r="194">
      <x:c r="A194" s="89"/>
      <x:c r="B194" s="89"/>
      <x:c r="C194" s="89"/>
      <x:c r="D194" s="89"/>
      <x:c r="E194" s="89"/>
      <x:c r="F194" s="89"/>
      <x:c r="G194" s="89"/>
      <x:c r="H194" s="89"/>
      <x:c r="I194" s="89"/>
      <x:c r="J194" s="89"/>
      <x:c r="K194" s="89"/>
      <x:c r="L194" s="89"/>
      <x:c r="M194" s="89"/>
      <x:c r="N194" s="89"/>
      <x:c r="O194" s="89"/>
      <x:c r="P194" s="89"/>
      <x:c r="Q194" s="89"/>
      <x:c r="R194" s="89"/>
      <x:c r="S194" s="89"/>
      <x:c r="T194" s="89"/>
      <x:c r="U194" s="89"/>
      <x:c r="V194" s="89"/>
      <x:c r="W194" s="89"/>
      <x:c r="X194" s="89"/>
      <x:c r="Y194" s="89"/>
      <x:c r="Z194" s="89"/>
    </x:row>
    <x:row r="195">
      <x:c r="A195" s="89"/>
      <x:c r="B195" s="89"/>
      <x:c r="C195" s="89"/>
      <x:c r="D195" s="89"/>
      <x:c r="E195" s="89"/>
      <x:c r="F195" s="89"/>
      <x:c r="G195" s="89"/>
      <x:c r="H195" s="89"/>
      <x:c r="I195" s="89"/>
      <x:c r="J195" s="89"/>
      <x:c r="K195" s="89"/>
      <x:c r="L195" s="89"/>
      <x:c r="M195" s="89"/>
      <x:c r="N195" s="89"/>
      <x:c r="O195" s="89"/>
      <x:c r="P195" s="89"/>
      <x:c r="Q195" s="89"/>
      <x:c r="R195" s="89"/>
      <x:c r="S195" s="89"/>
      <x:c r="T195" s="89"/>
      <x:c r="U195" s="89"/>
      <x:c r="V195" s="89"/>
      <x:c r="W195" s="89"/>
      <x:c r="X195" s="89"/>
      <x:c r="Y195" s="89"/>
      <x:c r="Z195" s="89"/>
    </x:row>
    <x:row r="196">
      <x:c r="A196" s="89"/>
      <x:c r="B196" s="89"/>
      <x:c r="C196" s="89"/>
      <x:c r="D196" s="89"/>
      <x:c r="E196" s="89"/>
      <x:c r="F196" s="89"/>
      <x:c r="G196" s="89"/>
      <x:c r="H196" s="89"/>
      <x:c r="I196" s="89"/>
      <x:c r="J196" s="89"/>
      <x:c r="K196" s="89"/>
      <x:c r="L196" s="89"/>
      <x:c r="M196" s="89"/>
      <x:c r="N196" s="89"/>
      <x:c r="O196" s="89"/>
      <x:c r="P196" s="89"/>
      <x:c r="Q196" s="89"/>
      <x:c r="R196" s="89"/>
      <x:c r="S196" s="89"/>
      <x:c r="T196" s="89"/>
      <x:c r="U196" s="89"/>
      <x:c r="V196" s="89"/>
      <x:c r="W196" s="89"/>
      <x:c r="X196" s="89"/>
      <x:c r="Y196" s="89"/>
      <x:c r="Z196" s="89"/>
    </x:row>
    <x:row r="197">
      <x:c r="A197" s="89"/>
      <x:c r="B197" s="89"/>
      <x:c r="C197" s="89"/>
      <x:c r="D197" s="89"/>
      <x:c r="E197" s="89"/>
      <x:c r="F197" s="89"/>
      <x:c r="G197" s="89"/>
      <x:c r="H197" s="89"/>
      <x:c r="I197" s="89"/>
      <x:c r="J197" s="89"/>
      <x:c r="K197" s="89"/>
      <x:c r="L197" s="89"/>
      <x:c r="M197" s="89"/>
      <x:c r="N197" s="89"/>
      <x:c r="O197" s="89"/>
      <x:c r="P197" s="89"/>
      <x:c r="Q197" s="89"/>
      <x:c r="R197" s="89"/>
      <x:c r="S197" s="89"/>
      <x:c r="T197" s="89"/>
      <x:c r="U197" s="89"/>
      <x:c r="V197" s="89"/>
      <x:c r="W197" s="89"/>
      <x:c r="X197" s="89"/>
      <x:c r="Y197" s="89"/>
      <x:c r="Z197" s="89"/>
    </x:row>
    <x:row r="198">
      <x:c r="A198" s="89"/>
      <x:c r="B198" s="89"/>
      <x:c r="C198" s="89"/>
      <x:c r="D198" s="89"/>
      <x:c r="E198" s="89"/>
      <x:c r="F198" s="89"/>
      <x:c r="G198" s="89"/>
      <x:c r="H198" s="89"/>
      <x:c r="I198" s="89"/>
      <x:c r="J198" s="89"/>
      <x:c r="K198" s="89"/>
      <x:c r="L198" s="89"/>
      <x:c r="M198" s="89"/>
      <x:c r="N198" s="89"/>
      <x:c r="O198" s="89"/>
      <x:c r="P198" s="89"/>
      <x:c r="Q198" s="89"/>
      <x:c r="R198" s="89"/>
      <x:c r="S198" s="89"/>
      <x:c r="T198" s="89"/>
      <x:c r="U198" s="89"/>
      <x:c r="V198" s="89"/>
      <x:c r="W198" s="89"/>
      <x:c r="X198" s="89"/>
      <x:c r="Y198" s="89"/>
      <x:c r="Z198" s="89"/>
    </x:row>
    <x:row r="199">
      <x:c r="A199" s="89"/>
      <x:c r="B199" s="89"/>
      <x:c r="C199" s="89"/>
      <x:c r="D199" s="89"/>
      <x:c r="E199" s="89"/>
      <x:c r="F199" s="89"/>
      <x:c r="G199" s="89"/>
      <x:c r="H199" s="89"/>
      <x:c r="I199" s="89"/>
      <x:c r="J199" s="89"/>
      <x:c r="K199" s="89"/>
      <x:c r="L199" s="89"/>
      <x:c r="M199" s="89"/>
      <x:c r="N199" s="89"/>
      <x:c r="O199" s="89"/>
      <x:c r="P199" s="89"/>
      <x:c r="Q199" s="89"/>
      <x:c r="R199" s="89"/>
      <x:c r="S199" s="89"/>
      <x:c r="T199" s="89"/>
      <x:c r="U199" s="89"/>
      <x:c r="V199" s="89"/>
      <x:c r="W199" s="89"/>
      <x:c r="X199" s="89"/>
      <x:c r="Y199" s="89"/>
      <x:c r="Z199" s="89"/>
    </x:row>
    <x:row r="200">
      <x:c r="A200" s="89"/>
      <x:c r="B200" s="89"/>
      <x:c r="C200" s="89"/>
      <x:c r="D200" s="89"/>
      <x:c r="E200" s="89"/>
      <x:c r="F200" s="89"/>
      <x:c r="G200" s="89"/>
      <x:c r="H200" s="89"/>
      <x:c r="I200" s="89"/>
      <x:c r="J200" s="89"/>
      <x:c r="K200" s="89"/>
      <x:c r="L200" s="89"/>
      <x:c r="M200" s="89"/>
      <x:c r="N200" s="89"/>
      <x:c r="O200" s="89"/>
      <x:c r="P200" s="89"/>
      <x:c r="Q200" s="89"/>
      <x:c r="R200" s="89"/>
      <x:c r="S200" s="89"/>
      <x:c r="T200" s="89"/>
      <x:c r="U200" s="89"/>
      <x:c r="V200" s="89"/>
      <x:c r="W200" s="89"/>
      <x:c r="X200" s="89"/>
      <x:c r="Y200" s="89"/>
      <x:c r="Z200" s="89"/>
    </x:row>
  </x:sheetData>
  <x:mergeCells>
    <x:mergeCell ref="A1:E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2" hidden="0" customWidth="1"/>
    <x:col min="3" max="3" width="20" hidden="0" customWidth="1"/>
    <x:col min="4" max="4" width="24" hidden="0" customWidth="1"/>
    <x:col min="5" max="5" width="14" hidden="0" customWidth="1"/>
    <x:col min="6" max="6" width="12" hidden="0" customWidth="1"/>
    <x:col min="7" max="7" width="14" hidden="0" customWidth="1"/>
    <x:col min="8" max="8" width="14" hidden="0" customWidth="1"/>
    <x:col min="9" max="9" width="14" hidden="0" customWidth="1"/>
    <x:col min="10" max="10" width="8" hidden="0" customWidth="1"/>
    <x:col min="11" max="11" width="14" hidden="0" customWidth="1"/>
    <x:col min="12" max="12" width="14" hidden="0" customWidth="1"/>
    <x:col min="13" max="13" width="14" hidden="0" customWidth="1"/>
    <x:col min="14" max="14" width="15" hidden="0" customWidth="1"/>
    <x:col min="15" max="15" width="15" hidden="0" customWidth="1"/>
    <x:col min="16" max="16" width="12" hidden="0" customWidth="1"/>
    <x:col min="17" max="17" width="13" hidden="0" customWidth="1"/>
    <x:col min="18" max="18" width="12" hidden="0" customWidth="1"/>
    <x:col min="19" max="19" width="13" hidden="0" customWidth="1"/>
    <x:col min="20" max="20" width="10" hidden="0" customWidth="1"/>
    <x:col min="21" max="21" width="14" hidden="0" customWidth="1"/>
    <x:col min="22" max="22" width="14" hidden="0" customWidth="1"/>
    <x:col min="23" max="23" width="12" hidden="0" customWidth="1"/>
    <x:col min="24" max="24" width="12" hidden="0" customWidth="1"/>
    <x:col min="25" max="25" width="18" hidden="0" customWidth="1"/>
    <x:col min="26" max="26" width="34" hidden="0" customWidth="1"/>
  </x:cols>
  <x:sheetData>
    <x:row r="1">
      <x:c r="A1" s="126" t="str">
        <x:v>BunuDaBastık3D - Fiyat / Teklif Hesaplama</x:v>
      </x:c>
      <x:c r="B1" s="126"/>
      <x:c r="C1" s="126"/>
      <x:c r="D1" s="126"/>
      <x:c r="E1" s="126"/>
      <x:c r="F1" s="126"/>
      <x:c r="G1" s="126"/>
      <x:c r="H1" s="126"/>
      <x:c r="I1" s="126"/>
      <x:c r="J1" s="126"/>
      <x:c r="K1" s="126"/>
      <x:c r="L1" s="126"/>
      <x:c r="M1" s="126"/>
      <x:c r="N1" s="126"/>
      <x:c r="O1" s="126"/>
      <x:c r="P1" s="126"/>
      <x:c r="Q1" s="126"/>
      <x:c r="R1" s="126"/>
      <x:c r="S1" s="126"/>
      <x:c r="T1" s="126"/>
      <x:c r="U1" s="126"/>
      <x:c r="V1" s="126"/>
      <x:c r="W1" s="126"/>
      <x:c r="X1" s="126"/>
      <x:c r="Y1" s="126"/>
      <x:c r="Z1" s="126"/>
    </x:row>
    <x:row r="2">
      <x:c r="A2" s="91" t="str">
        <x:v>Teklif No</x:v>
      </x:c>
      <x:c r="B2" s="91" t="str">
        <x:v>Tarih</x:v>
      </x:c>
      <x:c r="C2" s="91" t="str">
        <x:v>Müşteri</x:v>
      </x:c>
      <x:c r="D2" s="91" t="str">
        <x:v>Ürün / Parça</x:v>
      </x:c>
      <x:c r="E2" s="91" t="str">
        <x:v>Malzeme</x:v>
      </x:c>
      <x:c r="F2" s="91" t="str">
        <x:v>Renk</x:v>
      </x:c>
      <x:c r="G2" s="91" t="str">
        <x:v>Model Gramajı (g)</x:v>
      </x:c>
      <x:c r="H2" s="91" t="str">
        <x:v>Destek Gramajı (g)</x:v>
      </x:c>
      <x:c r="I2" s="91" t="str">
        <x:v>Baskı Süresi (saat)</x:v>
      </x:c>
      <x:c r="J2" s="91" t="str">
        <x:v>Adet</x:v>
      </x:c>
      <x:c r="K2" s="91" t="str">
        <x:v>Tasarım Süresi (saat)</x:v>
      </x:c>
      <x:c r="L2" s="91" t="str">
        <x:v>Son İşlem (saat)</x:v>
      </x:c>
      <x:c r="M2" s="91" t="str">
        <x:v>Ekstra Maliyet (TL)</x:v>
      </x:c>
      <x:c r="N2" s="91" t="str">
        <x:v>Malzeme Maliyeti</x:v>
      </x:c>
      <x:c r="O2" s="91" t="str">
        <x:v>Destek Maliyeti</x:v>
      </x:c>
      <x:c r="P2" s="91" t="str">
        <x:v>Elektrik</x:v>
      </x:c>
      <x:c r="Q2" s="91" t="str">
        <x:v>Makine Payı</x:v>
      </x:c>
      <x:c r="R2" s="91" t="str">
        <x:v>İşçilik</x:v>
      </x:c>
      <x:c r="S2" s="91" t="str">
        <x:v>Ara Toplam</x:v>
      </x:c>
      <x:c r="T2" s="91" t="str">
        <x:v>Kâr Oranı</x:v>
      </x:c>
      <x:c r="U2" s="91" t="str">
        <x:v>Önerilen Fiyat</x:v>
      </x:c>
      <x:c r="V2" s="91" t="str">
        <x:v>Uygulanan Fiyat</x:v>
      </x:c>
      <x:c r="W2" s="91" t="str">
        <x:v>Kapora</x:v>
      </x:c>
      <x:c r="X2" s="91" t="str">
        <x:v>Kalan Ödeme</x:v>
      </x:c>
      <x:c r="Y2" s="91" t="str">
        <x:v>Durum</x:v>
      </x:c>
      <x:c r="Z2" s="91" t="str">
        <x:v>Not</x:v>
      </x:c>
    </x:row>
    <x:row r="3">
      <x:c r="A3" s="95" t="str">
        <x:v>T-0001</x:v>
      </x:c>
      <x:c r="B3" s="114" t="n">
        <x:v>46182</x:v>
      </x:c>
      <x:c r="C3" s="95" t="str">
        <x:v>Örnek Müşteri</x:v>
      </x:c>
      <x:c r="D3" s="95" t="str">
        <x:v>Telefon standı</x:v>
      </x:c>
      <x:c r="E3" s="95" t="str">
        <x:v>PLA</x:v>
      </x:c>
      <x:c r="F3" s="95" t="str">
        <x:v>Siyah</x:v>
      </x:c>
      <x:c r="G3" s="106" t="n">
        <x:v>85</x:v>
      </x:c>
      <x:c r="H3" s="106" t="n">
        <x:v>5</x:v>
      </x:c>
      <x:c r="I3" s="106" t="n">
        <x:v>4.5</x:v>
      </x:c>
      <x:c r="J3" s="106" t="n">
        <x:v>1</x:v>
      </x:c>
      <x:c r="K3" s="106" t="n">
        <x:v>0</x:v>
      </x:c>
      <x:c r="L3" s="106" t="n">
        <x:v>0.25</x:v>
      </x:c>
      <x:c r="M3" s="106" t="n">
        <x:v>0</x:v>
      </x:c>
      <x:c r="N3" s="115" t="n">
        <x:f>IF($A3="","",IFERROR($G3*(1+'Ayarlar'!$B$10)*VLOOKUP($E3,'Ayarlar'!$A$16:$C$22,3,FALSE)*$J3,0))</x:f>
        <x:v>55.080000000000005</x:v>
      </x:c>
      <x:c r="O3" s="115" t="n">
        <x:f>IF($A3="","",IFERROR($H3*(1+'Ayarlar'!$B$10)*VLOOKUP("Support",'Ayarlar'!$A$16:$C$22,3,FALSE)*$J3,0))</x:f>
        <x:v>6.48</x:v>
      </x:c>
      <x:c r="P3" s="115" t="n">
        <x:f>IF($A3="","",IFERROR($I3*$J3*'Ayarlar'!$B$7*'Ayarlar'!$B$6,0))</x:f>
        <x:v>4.5</x:v>
      </x:c>
      <x:c r="Q3" s="115" t="n">
        <x:f>IF($A3="","",IFERROR($I3*$J3*'Ayarlar'!$B$5,0))</x:f>
        <x:v>315</x:v>
      </x:c>
      <x:c r="R3" s="115" t="n">
        <x:f>IF($A3="","",IFERROR(($K3+$L3)*'Ayarlar'!$B$8,0))</x:f>
        <x:v>45</x:v>
      </x:c>
      <x:c r="S3" s="115" t="n">
        <x:f>IF($A3="","",SUM($N3:$R3)+$M3)</x:f>
        <x:v>426.06</x:v>
      </x:c>
      <x:c r="T3" s="107" t="n">
        <x:f>IF($A3="","",'Ayarlar'!$B$9)</x:f>
        <x:v>0.45</x:v>
      </x:c>
      <x:c r="U3" s="116" t="n">
        <x:f>IF($A3="","",ROUND($S3*(1+$T3),0))</x:f>
        <x:v>618</x:v>
      </x:c>
      <x:c r="V3" s="116" t="n">
        <x:f>IF($A3="","",MAX($U3,'Ayarlar'!$B$4))</x:f>
        <x:v>618</x:v>
      </x:c>
      <x:c r="W3" s="116" t="n">
        <x:v>150</x:v>
      </x:c>
      <x:c r="X3" s="116" t="n">
        <x:f>IF($A3="","",$V3-$W3)</x:f>
        <x:v>468</x:v>
      </x:c>
      <x:c r="Y3" s="95" t="str">
        <x:v>Teklif Verildi</x:v>
      </x:c>
      <x:c r="Z3" s="95" t="str">
        <x:v>Örnek satır: Bambu Studio gramaj/süre verisiyle doldur.</x:v>
      </x:c>
    </x:row>
    <x:row r="4">
      <x:c r="A4" s="95" t="str">
        <x:v>T-0002</x:v>
      </x:c>
      <x:c r="B4" s="114" t="n">
        <x:v>46182</x:v>
      </x:c>
      <x:c r="C4" s="95" t="str">
        <x:v>Prototip Atölyesi</x:v>
      </x:c>
      <x:c r="D4" s="95" t="str">
        <x:v>Drone GPS tutucu</x:v>
      </x:c>
      <x:c r="E4" s="95" t="str">
        <x:v>PETG</x:v>
      </x:c>
      <x:c r="F4" s="95" t="str">
        <x:v>Beyaz</x:v>
      </x:c>
      <x:c r="G4" s="106" t="n">
        <x:v>120</x:v>
      </x:c>
      <x:c r="H4" s="106" t="n">
        <x:v>12</x:v>
      </x:c>
      <x:c r="I4" s="106" t="n">
        <x:v>5.75</x:v>
      </x:c>
      <x:c r="J4" s="106" t="n">
        <x:v>2</x:v>
      </x:c>
      <x:c r="K4" s="106" t="n">
        <x:v>0.5</x:v>
      </x:c>
      <x:c r="L4" s="106" t="n">
        <x:v>0.4</x:v>
      </x:c>
      <x:c r="M4" s="106" t="n">
        <x:v>30</x:v>
      </x:c>
      <x:c r="N4" s="115" t="n">
        <x:f>IF($A4="","",IFERROR($G4*(1+'Ayarlar'!$B$10)*VLOOKUP($E4,'Ayarlar'!$A$16:$C$22,3,FALSE)*$J4,0))</x:f>
        <x:v>194.40000000000003</x:v>
      </x:c>
      <x:c r="O4" s="115" t="n">
        <x:f>IF($A4="","",IFERROR($H4*(1+'Ayarlar'!$B$10)*VLOOKUP("Support",'Ayarlar'!$A$16:$C$22,3,FALSE)*$J4,0))</x:f>
        <x:v>31.104</x:v>
      </x:c>
      <x:c r="P4" s="115" t="n">
        <x:f>IF($A4="","",IFERROR($I4*$J4*'Ayarlar'!$B$7*'Ayarlar'!$B$6,0))</x:f>
        <x:v>11.5</x:v>
      </x:c>
      <x:c r="Q4" s="115" t="n">
        <x:f>IF($A4="","",IFERROR($I4*$J4*'Ayarlar'!$B$5,0))</x:f>
        <x:v>805</x:v>
      </x:c>
      <x:c r="R4" s="115" t="n">
        <x:f>IF($A4="","",IFERROR(($K4+$L4)*'Ayarlar'!$B$8,0))</x:f>
        <x:v>162</x:v>
      </x:c>
      <x:c r="S4" s="115" t="n">
        <x:f>IF($A4="","",SUM($N4:$R4)+$M4)</x:f>
        <x:v>1234.004</x:v>
      </x:c>
      <x:c r="T4" s="107" t="n">
        <x:f>IF($A4="","",'Ayarlar'!$B$9)</x:f>
        <x:v>0.45</x:v>
      </x:c>
      <x:c r="U4" s="116" t="n">
        <x:f>IF($A4="","",ROUND($S4*(1+$T4),0))</x:f>
        <x:v>1789</x:v>
      </x:c>
      <x:c r="V4" s="116" t="n">
        <x:f>IF($A4="","",MAX($U4,'Ayarlar'!$B$4))</x:f>
        <x:v>1789</x:v>
      </x:c>
      <x:c r="W4" s="116" t="n">
        <x:v>400</x:v>
      </x:c>
      <x:c r="X4" s="116" t="n">
        <x:f>IF($A4="","",$V4-$W4)</x:f>
        <x:v>1389</x:v>
      </x:c>
      <x:c r="Y4" s="95" t="str">
        <x:v>Onaylandı</x:v>
      </x:c>
      <x:c r="Z4" s="95" t="str">
        <x:v>Mekanik parça, ölçü kontrolü gerekiyor.</x:v>
      </x:c>
    </x:row>
    <x:row r="5">
      <x:c r="A5" s="95" t="str">
        <x:v>T-0003</x:v>
      </x:c>
      <x:c r="B5" s="114" t="n">
        <x:v>46182</x:v>
      </x:c>
      <x:c r="C5" s="95" t="str">
        <x:v>Araç Aksesuar</x:v>
      </x:c>
      <x:c r="D5" s="95" t="str">
        <x:v>Kablo klipsi</x:v>
      </x:c>
      <x:c r="E5" s="95" t="str">
        <x:v>ASA</x:v>
      </x:c>
      <x:c r="F5" s="95" t="str">
        <x:v>Siyah</x:v>
      </x:c>
      <x:c r="G5" s="106" t="n">
        <x:v>38</x:v>
      </x:c>
      <x:c r="H5" s="106" t="n">
        <x:v>0</x:v>
      </x:c>
      <x:c r="I5" s="106" t="n">
        <x:v>1.2</x:v>
      </x:c>
      <x:c r="J5" s="106" t="n">
        <x:v>10</x:v>
      </x:c>
      <x:c r="K5" s="106" t="n">
        <x:v>0.25</x:v>
      </x:c>
      <x:c r="L5" s="106" t="n">
        <x:v>0.5</x:v>
      </x:c>
      <x:c r="M5" s="106" t="n">
        <x:v>0</x:v>
      </x:c>
      <x:c r="N5" s="115" t="n">
        <x:f>IF($A5="","",IFERROR($G5*(1+'Ayarlar'!$B$10)*VLOOKUP($E5,'Ayarlar'!$A$16:$C$22,3,FALSE)*$J5,0))</x:f>
        <x:v>389.88000000000005</x:v>
      </x:c>
      <x:c r="O5" s="115" t="n">
        <x:f>IF($A5="","",IFERROR($H5*(1+'Ayarlar'!$B$10)*VLOOKUP("Support",'Ayarlar'!$A$16:$C$22,3,FALSE)*$J5,0))</x:f>
        <x:v>0</x:v>
      </x:c>
      <x:c r="P5" s="115" t="n">
        <x:f>IF($A5="","",IFERROR($I5*$J5*'Ayarlar'!$B$7*'Ayarlar'!$B$6,0))</x:f>
        <x:v>12</x:v>
      </x:c>
      <x:c r="Q5" s="115" t="n">
        <x:f>IF($A5="","",IFERROR($I5*$J5*'Ayarlar'!$B$5,0))</x:f>
        <x:v>840</x:v>
      </x:c>
      <x:c r="R5" s="115" t="n">
        <x:f>IF($A5="","",IFERROR(($K5+$L5)*'Ayarlar'!$B$8,0))</x:f>
        <x:v>135</x:v>
      </x:c>
      <x:c r="S5" s="115" t="n">
        <x:f>IF($A5="","",SUM($N5:$R5)+$M5)</x:f>
        <x:v>1376.88</x:v>
      </x:c>
      <x:c r="T5" s="107" t="n">
        <x:f>IF($A5="","",'Ayarlar'!$B$9)</x:f>
        <x:v>0.45</x:v>
      </x:c>
      <x:c r="U5" s="116" t="n">
        <x:f>IF($A5="","",ROUND($S5*(1+$T5),0))</x:f>
        <x:v>1996</x:v>
      </x:c>
      <x:c r="V5" s="116" t="n">
        <x:f>IF($A5="","",MAX($U5,'Ayarlar'!$B$4))</x:f>
        <x:v>1996</x:v>
      </x:c>
      <x:c r="W5" s="116" t="n">
        <x:v>500</x:v>
      </x:c>
      <x:c r="X5" s="116" t="n">
        <x:f>IF($A5="","",$V5-$W5)</x:f>
        <x:v>1496</x:v>
      </x:c>
      <x:c r="Y5" s="95" t="str">
        <x:v>Baskıya Hazır</x:v>
      </x:c>
      <x:c r="Z5" s="95" t="str">
        <x:v>Dış ortam kullanımına uygun.</x:v>
      </x:c>
    </x:row>
    <x:row r="6">
      <x:c r="A6" s="95"/>
      <x:c r="B6" s="114"/>
      <x:c r="C6" s="95"/>
      <x:c r="D6" s="95"/>
      <x:c r="E6" s="95"/>
      <x:c r="F6" s="95"/>
      <x:c r="G6" s="106"/>
      <x:c r="H6" s="106"/>
      <x:c r="I6" s="106"/>
      <x:c r="J6" s="106"/>
      <x:c r="K6" s="106"/>
      <x:c r="L6" s="106"/>
      <x:c r="M6" s="106"/>
      <x:c r="N6" s="115" t="str">
        <x:f>IF($A6="","",IFERROR($G6*(1+'Ayarlar'!$B$10)*VLOOKUP($E6,'Ayarlar'!$A$16:$C$22,3,FALSE)*$J6,0))</x:f>
      </x:c>
      <x:c r="O6" s="115" t="str">
        <x:f>IF($A6="","",IFERROR($H6*(1+'Ayarlar'!$B$10)*VLOOKUP("Support",'Ayarlar'!$A$16:$C$22,3,FALSE)*$J6,0))</x:f>
      </x:c>
      <x:c r="P6" s="115" t="str">
        <x:f>IF($A6="","",IFERROR($I6*$J6*'Ayarlar'!$B$7*'Ayarlar'!$B$6,0))</x:f>
      </x:c>
      <x:c r="Q6" s="115" t="str">
        <x:f>IF($A6="","",IFERROR($I6*$J6*'Ayarlar'!$B$5,0))</x:f>
      </x:c>
      <x:c r="R6" s="115" t="str">
        <x:f>IF($A6="","",IFERROR(($K6+$L6)*'Ayarlar'!$B$8,0))</x:f>
      </x:c>
      <x:c r="S6" s="115" t="str">
        <x:f>IF($A6="","",SUM($N6:$R6)+$M6)</x:f>
      </x:c>
      <x:c r="T6" s="107" t="str">
        <x:f>IF($A6="","",'Ayarlar'!$B$9)</x:f>
      </x:c>
      <x:c r="U6" s="116" t="str">
        <x:f>IF($A6="","",ROUND($S6*(1+$T6),0))</x:f>
      </x:c>
      <x:c r="V6" s="116" t="str">
        <x:f>IF($A6="","",MAX($U6,'Ayarlar'!$B$4))</x:f>
      </x:c>
      <x:c r="W6" s="116"/>
      <x:c r="X6" s="116" t="str">
        <x:f>IF($A6="","",$V6-$W6)</x:f>
      </x:c>
      <x:c r="Y6" s="95"/>
      <x:c r="Z6" s="95"/>
    </x:row>
    <x:row r="7">
      <x:c r="A7" s="95"/>
      <x:c r="B7" s="114"/>
      <x:c r="C7" s="95"/>
      <x:c r="D7" s="95"/>
      <x:c r="E7" s="95"/>
      <x:c r="F7" s="95"/>
      <x:c r="G7" s="106"/>
      <x:c r="H7" s="106"/>
      <x:c r="I7" s="106"/>
      <x:c r="J7" s="106"/>
      <x:c r="K7" s="106"/>
      <x:c r="L7" s="106"/>
      <x:c r="M7" s="106"/>
      <x:c r="N7" s="115" t="str">
        <x:f>IF($A7="","",IFERROR($G7*(1+'Ayarlar'!$B$10)*VLOOKUP($E7,'Ayarlar'!$A$16:$C$22,3,FALSE)*$J7,0))</x:f>
      </x:c>
      <x:c r="O7" s="115" t="str">
        <x:f>IF($A7="","",IFERROR($H7*(1+'Ayarlar'!$B$10)*VLOOKUP("Support",'Ayarlar'!$A$16:$C$22,3,FALSE)*$J7,0))</x:f>
      </x:c>
      <x:c r="P7" s="115" t="str">
        <x:f>IF($A7="","",IFERROR($I7*$J7*'Ayarlar'!$B$7*'Ayarlar'!$B$6,0))</x:f>
      </x:c>
      <x:c r="Q7" s="115" t="str">
        <x:f>IF($A7="","",IFERROR($I7*$J7*'Ayarlar'!$B$5,0))</x:f>
      </x:c>
      <x:c r="R7" s="115" t="str">
        <x:f>IF($A7="","",IFERROR(($K7+$L7)*'Ayarlar'!$B$8,0))</x:f>
      </x:c>
      <x:c r="S7" s="115" t="str">
        <x:f>IF($A7="","",SUM($N7:$R7)+$M7)</x:f>
      </x:c>
      <x:c r="T7" s="107" t="str">
        <x:f>IF($A7="","",'Ayarlar'!$B$9)</x:f>
      </x:c>
      <x:c r="U7" s="116" t="str">
        <x:f>IF($A7="","",ROUND($S7*(1+$T7),0))</x:f>
      </x:c>
      <x:c r="V7" s="116" t="str">
        <x:f>IF($A7="","",MAX($U7,'Ayarlar'!$B$4))</x:f>
      </x:c>
      <x:c r="W7" s="116"/>
      <x:c r="X7" s="116" t="str">
        <x:f>IF($A7="","",$V7-$W7)</x:f>
      </x:c>
      <x:c r="Y7" s="95"/>
      <x:c r="Z7" s="95"/>
    </x:row>
    <x:row r="8">
      <x:c r="A8" s="95"/>
      <x:c r="B8" s="114"/>
      <x:c r="C8" s="95"/>
      <x:c r="D8" s="95"/>
      <x:c r="E8" s="95"/>
      <x:c r="F8" s="95"/>
      <x:c r="G8" s="106"/>
      <x:c r="H8" s="106"/>
      <x:c r="I8" s="106"/>
      <x:c r="J8" s="106"/>
      <x:c r="K8" s="106"/>
      <x:c r="L8" s="106"/>
      <x:c r="M8" s="106"/>
      <x:c r="N8" s="115" t="str">
        <x:f>IF($A8="","",IFERROR($G8*(1+'Ayarlar'!$B$10)*VLOOKUP($E8,'Ayarlar'!$A$16:$C$22,3,FALSE)*$J8,0))</x:f>
      </x:c>
      <x:c r="O8" s="115" t="str">
        <x:f>IF($A8="","",IFERROR($H8*(1+'Ayarlar'!$B$10)*VLOOKUP("Support",'Ayarlar'!$A$16:$C$22,3,FALSE)*$J8,0))</x:f>
      </x:c>
      <x:c r="P8" s="115" t="str">
        <x:f>IF($A8="","",IFERROR($I8*$J8*'Ayarlar'!$B$7*'Ayarlar'!$B$6,0))</x:f>
      </x:c>
      <x:c r="Q8" s="115" t="str">
        <x:f>IF($A8="","",IFERROR($I8*$J8*'Ayarlar'!$B$5,0))</x:f>
      </x:c>
      <x:c r="R8" s="115" t="str">
        <x:f>IF($A8="","",IFERROR(($K8+$L8)*'Ayarlar'!$B$8,0))</x:f>
      </x:c>
      <x:c r="S8" s="115" t="str">
        <x:f>IF($A8="","",SUM($N8:$R8)+$M8)</x:f>
      </x:c>
      <x:c r="T8" s="107" t="str">
        <x:f>IF($A8="","",'Ayarlar'!$B$9)</x:f>
      </x:c>
      <x:c r="U8" s="116" t="str">
        <x:f>IF($A8="","",ROUND($S8*(1+$T8),0))</x:f>
      </x:c>
      <x:c r="V8" s="116" t="str">
        <x:f>IF($A8="","",MAX($U8,'Ayarlar'!$B$4))</x:f>
      </x:c>
      <x:c r="W8" s="116"/>
      <x:c r="X8" s="116" t="str">
        <x:f>IF($A8="","",$V8-$W8)</x:f>
      </x:c>
      <x:c r="Y8" s="95"/>
      <x:c r="Z8" s="95"/>
    </x:row>
    <x:row r="9">
      <x:c r="A9" s="95"/>
      <x:c r="B9" s="114"/>
      <x:c r="C9" s="95"/>
      <x:c r="D9" s="95"/>
      <x:c r="E9" s="95"/>
      <x:c r="F9" s="95"/>
      <x:c r="G9" s="106"/>
      <x:c r="H9" s="106"/>
      <x:c r="I9" s="106"/>
      <x:c r="J9" s="106"/>
      <x:c r="K9" s="106"/>
      <x:c r="L9" s="106"/>
      <x:c r="M9" s="106"/>
      <x:c r="N9" s="115" t="str">
        <x:f>IF($A9="","",IFERROR($G9*(1+'Ayarlar'!$B$10)*VLOOKUP($E9,'Ayarlar'!$A$16:$C$22,3,FALSE)*$J9,0))</x:f>
      </x:c>
      <x:c r="O9" s="115" t="str">
        <x:f>IF($A9="","",IFERROR($H9*(1+'Ayarlar'!$B$10)*VLOOKUP("Support",'Ayarlar'!$A$16:$C$22,3,FALSE)*$J9,0))</x:f>
      </x:c>
      <x:c r="P9" s="115" t="str">
        <x:f>IF($A9="","",IFERROR($I9*$J9*'Ayarlar'!$B$7*'Ayarlar'!$B$6,0))</x:f>
      </x:c>
      <x:c r="Q9" s="115" t="str">
        <x:f>IF($A9="","",IFERROR($I9*$J9*'Ayarlar'!$B$5,0))</x:f>
      </x:c>
      <x:c r="R9" s="115" t="str">
        <x:f>IF($A9="","",IFERROR(($K9+$L9)*'Ayarlar'!$B$8,0))</x:f>
      </x:c>
      <x:c r="S9" s="115" t="str">
        <x:f>IF($A9="","",SUM($N9:$R9)+$M9)</x:f>
      </x:c>
      <x:c r="T9" s="107" t="str">
        <x:f>IF($A9="","",'Ayarlar'!$B$9)</x:f>
      </x:c>
      <x:c r="U9" s="116" t="str">
        <x:f>IF($A9="","",ROUND($S9*(1+$T9),0))</x:f>
      </x:c>
      <x:c r="V9" s="116" t="str">
        <x:f>IF($A9="","",MAX($U9,'Ayarlar'!$B$4))</x:f>
      </x:c>
      <x:c r="W9" s="116"/>
      <x:c r="X9" s="116" t="str">
        <x:f>IF($A9="","",$V9-$W9)</x:f>
      </x:c>
      <x:c r="Y9" s="95"/>
      <x:c r="Z9" s="95"/>
    </x:row>
    <x:row r="10">
      <x:c r="A10" s="95"/>
      <x:c r="B10" s="114"/>
      <x:c r="C10" s="95"/>
      <x:c r="D10" s="95"/>
      <x:c r="E10" s="95"/>
      <x:c r="F10" s="95"/>
      <x:c r="G10" s="106"/>
      <x:c r="H10" s="106"/>
      <x:c r="I10" s="106"/>
      <x:c r="J10" s="106"/>
      <x:c r="K10" s="106"/>
      <x:c r="L10" s="106"/>
      <x:c r="M10" s="106"/>
      <x:c r="N10" s="115" t="str">
        <x:f>IF($A10="","",IFERROR($G10*(1+'Ayarlar'!$B$10)*VLOOKUP($E10,'Ayarlar'!$A$16:$C$22,3,FALSE)*$J10,0))</x:f>
      </x:c>
      <x:c r="O10" s="115" t="str">
        <x:f>IF($A10="","",IFERROR($H10*(1+'Ayarlar'!$B$10)*VLOOKUP("Support",'Ayarlar'!$A$16:$C$22,3,FALSE)*$J10,0))</x:f>
      </x:c>
      <x:c r="P10" s="115" t="str">
        <x:f>IF($A10="","",IFERROR($I10*$J10*'Ayarlar'!$B$7*'Ayarlar'!$B$6,0))</x:f>
      </x:c>
      <x:c r="Q10" s="115" t="str">
        <x:f>IF($A10="","",IFERROR($I10*$J10*'Ayarlar'!$B$5,0))</x:f>
      </x:c>
      <x:c r="R10" s="115" t="str">
        <x:f>IF($A10="","",IFERROR(($K10+$L10)*'Ayarlar'!$B$8,0))</x:f>
      </x:c>
      <x:c r="S10" s="115" t="str">
        <x:f>IF($A10="","",SUM($N10:$R10)+$M10)</x:f>
      </x:c>
      <x:c r="T10" s="107" t="str">
        <x:f>IF($A10="","",'Ayarlar'!$B$9)</x:f>
      </x:c>
      <x:c r="U10" s="116" t="str">
        <x:f>IF($A10="","",ROUND($S10*(1+$T10),0))</x:f>
      </x:c>
      <x:c r="V10" s="116" t="str">
        <x:f>IF($A10="","",MAX($U10,'Ayarlar'!$B$4))</x:f>
      </x:c>
      <x:c r="W10" s="116"/>
      <x:c r="X10" s="116" t="str">
        <x:f>IF($A10="","",$V10-$W10)</x:f>
      </x:c>
      <x:c r="Y10" s="95"/>
      <x:c r="Z10" s="95"/>
    </x:row>
    <x:row r="11">
      <x:c r="A11" s="95"/>
      <x:c r="B11" s="114"/>
      <x:c r="C11" s="95"/>
      <x:c r="D11" s="95"/>
      <x:c r="E11" s="95"/>
      <x:c r="F11" s="95"/>
      <x:c r="G11" s="106"/>
      <x:c r="H11" s="106"/>
      <x:c r="I11" s="106"/>
      <x:c r="J11" s="106"/>
      <x:c r="K11" s="106"/>
      <x:c r="L11" s="106"/>
      <x:c r="M11" s="106"/>
      <x:c r="N11" s="115" t="str">
        <x:f>IF($A11="","",IFERROR($G11*(1+'Ayarlar'!$B$10)*VLOOKUP($E11,'Ayarlar'!$A$16:$C$22,3,FALSE)*$J11,0))</x:f>
      </x:c>
      <x:c r="O11" s="115" t="str">
        <x:f>IF($A11="","",IFERROR($H11*(1+'Ayarlar'!$B$10)*VLOOKUP("Support",'Ayarlar'!$A$16:$C$22,3,FALSE)*$J11,0))</x:f>
      </x:c>
      <x:c r="P11" s="115" t="str">
        <x:f>IF($A11="","",IFERROR($I11*$J11*'Ayarlar'!$B$7*'Ayarlar'!$B$6,0))</x:f>
      </x:c>
      <x:c r="Q11" s="115" t="str">
        <x:f>IF($A11="","",IFERROR($I11*$J11*'Ayarlar'!$B$5,0))</x:f>
      </x:c>
      <x:c r="R11" s="115" t="str">
        <x:f>IF($A11="","",IFERROR(($K11+$L11)*'Ayarlar'!$B$8,0))</x:f>
      </x:c>
      <x:c r="S11" s="115" t="str">
        <x:f>IF($A11="","",SUM($N11:$R11)+$M11)</x:f>
      </x:c>
      <x:c r="T11" s="107" t="str">
        <x:f>IF($A11="","",'Ayarlar'!$B$9)</x:f>
      </x:c>
      <x:c r="U11" s="116" t="str">
        <x:f>IF($A11="","",ROUND($S11*(1+$T11),0))</x:f>
      </x:c>
      <x:c r="V11" s="116" t="str">
        <x:f>IF($A11="","",MAX($U11,'Ayarlar'!$B$4))</x:f>
      </x:c>
      <x:c r="W11" s="116"/>
      <x:c r="X11" s="116" t="str">
        <x:f>IF($A11="","",$V11-$W11)</x:f>
      </x:c>
      <x:c r="Y11" s="95"/>
      <x:c r="Z11" s="95"/>
    </x:row>
    <x:row r="12">
      <x:c r="A12" s="95"/>
      <x:c r="B12" s="114"/>
      <x:c r="C12" s="95"/>
      <x:c r="D12" s="95"/>
      <x:c r="E12" s="95"/>
      <x:c r="F12" s="95"/>
      <x:c r="G12" s="106"/>
      <x:c r="H12" s="106"/>
      <x:c r="I12" s="106"/>
      <x:c r="J12" s="106"/>
      <x:c r="K12" s="106"/>
      <x:c r="L12" s="106"/>
      <x:c r="M12" s="106"/>
      <x:c r="N12" s="115" t="str">
        <x:f>IF($A12="","",IFERROR($G12*(1+'Ayarlar'!$B$10)*VLOOKUP($E12,'Ayarlar'!$A$16:$C$22,3,FALSE)*$J12,0))</x:f>
      </x:c>
      <x:c r="O12" s="115" t="str">
        <x:f>IF($A12="","",IFERROR($H12*(1+'Ayarlar'!$B$10)*VLOOKUP("Support",'Ayarlar'!$A$16:$C$22,3,FALSE)*$J12,0))</x:f>
      </x:c>
      <x:c r="P12" s="115" t="str">
        <x:f>IF($A12="","",IFERROR($I12*$J12*'Ayarlar'!$B$7*'Ayarlar'!$B$6,0))</x:f>
      </x:c>
      <x:c r="Q12" s="115" t="str">
        <x:f>IF($A12="","",IFERROR($I12*$J12*'Ayarlar'!$B$5,0))</x:f>
      </x:c>
      <x:c r="R12" s="115" t="str">
        <x:f>IF($A12="","",IFERROR(($K12+$L12)*'Ayarlar'!$B$8,0))</x:f>
      </x:c>
      <x:c r="S12" s="115" t="str">
        <x:f>IF($A12="","",SUM($N12:$R12)+$M12)</x:f>
      </x:c>
      <x:c r="T12" s="107" t="str">
        <x:f>IF($A12="","",'Ayarlar'!$B$9)</x:f>
      </x:c>
      <x:c r="U12" s="116" t="str">
        <x:f>IF($A12="","",ROUND($S12*(1+$T12),0))</x:f>
      </x:c>
      <x:c r="V12" s="116" t="str">
        <x:f>IF($A12="","",MAX($U12,'Ayarlar'!$B$4))</x:f>
      </x:c>
      <x:c r="W12" s="116"/>
      <x:c r="X12" s="116" t="str">
        <x:f>IF($A12="","",$V12-$W12)</x:f>
      </x:c>
      <x:c r="Y12" s="95"/>
      <x:c r="Z12" s="95"/>
    </x:row>
    <x:row r="13">
      <x:c r="A13" s="95"/>
      <x:c r="B13" s="114"/>
      <x:c r="C13" s="95"/>
      <x:c r="D13" s="95"/>
      <x:c r="E13" s="95"/>
      <x:c r="F13" s="95"/>
      <x:c r="G13" s="106"/>
      <x:c r="H13" s="106"/>
      <x:c r="I13" s="106"/>
      <x:c r="J13" s="106"/>
      <x:c r="K13" s="106"/>
      <x:c r="L13" s="106"/>
      <x:c r="M13" s="106"/>
      <x:c r="N13" s="115" t="str">
        <x:f>IF($A13="","",IFERROR($G13*(1+'Ayarlar'!$B$10)*VLOOKUP($E13,'Ayarlar'!$A$16:$C$22,3,FALSE)*$J13,0))</x:f>
      </x:c>
      <x:c r="O13" s="115" t="str">
        <x:f>IF($A13="","",IFERROR($H13*(1+'Ayarlar'!$B$10)*VLOOKUP("Support",'Ayarlar'!$A$16:$C$22,3,FALSE)*$J13,0))</x:f>
      </x:c>
      <x:c r="P13" s="115" t="str">
        <x:f>IF($A13="","",IFERROR($I13*$J13*'Ayarlar'!$B$7*'Ayarlar'!$B$6,0))</x:f>
      </x:c>
      <x:c r="Q13" s="115" t="str">
        <x:f>IF($A13="","",IFERROR($I13*$J13*'Ayarlar'!$B$5,0))</x:f>
      </x:c>
      <x:c r="R13" s="115" t="str">
        <x:f>IF($A13="","",IFERROR(($K13+$L13)*'Ayarlar'!$B$8,0))</x:f>
      </x:c>
      <x:c r="S13" s="115" t="str">
        <x:f>IF($A13="","",SUM($N13:$R13)+$M13)</x:f>
      </x:c>
      <x:c r="T13" s="107" t="str">
        <x:f>IF($A13="","",'Ayarlar'!$B$9)</x:f>
      </x:c>
      <x:c r="U13" s="116" t="str">
        <x:f>IF($A13="","",ROUND($S13*(1+$T13),0))</x:f>
      </x:c>
      <x:c r="V13" s="116" t="str">
        <x:f>IF($A13="","",MAX($U13,'Ayarlar'!$B$4))</x:f>
      </x:c>
      <x:c r="W13" s="116"/>
      <x:c r="X13" s="116" t="str">
        <x:f>IF($A13="","",$V13-$W13)</x:f>
      </x:c>
      <x:c r="Y13" s="95"/>
      <x:c r="Z13" s="95"/>
    </x:row>
    <x:row r="14">
      <x:c r="A14" s="95"/>
      <x:c r="B14" s="114"/>
      <x:c r="C14" s="95"/>
      <x:c r="D14" s="95"/>
      <x:c r="E14" s="95"/>
      <x:c r="F14" s="95"/>
      <x:c r="G14" s="106"/>
      <x:c r="H14" s="106"/>
      <x:c r="I14" s="106"/>
      <x:c r="J14" s="106"/>
      <x:c r="K14" s="106"/>
      <x:c r="L14" s="106"/>
      <x:c r="M14" s="106"/>
      <x:c r="N14" s="115" t="str">
        <x:f>IF($A14="","",IFERROR($G14*(1+'Ayarlar'!$B$10)*VLOOKUP($E14,'Ayarlar'!$A$16:$C$22,3,FALSE)*$J14,0))</x:f>
      </x:c>
      <x:c r="O14" s="115" t="str">
        <x:f>IF($A14="","",IFERROR($H14*(1+'Ayarlar'!$B$10)*VLOOKUP("Support",'Ayarlar'!$A$16:$C$22,3,FALSE)*$J14,0))</x:f>
      </x:c>
      <x:c r="P14" s="115" t="str">
        <x:f>IF($A14="","",IFERROR($I14*$J14*'Ayarlar'!$B$7*'Ayarlar'!$B$6,0))</x:f>
      </x:c>
      <x:c r="Q14" s="115" t="str">
        <x:f>IF($A14="","",IFERROR($I14*$J14*'Ayarlar'!$B$5,0))</x:f>
      </x:c>
      <x:c r="R14" s="115" t="str">
        <x:f>IF($A14="","",IFERROR(($K14+$L14)*'Ayarlar'!$B$8,0))</x:f>
      </x:c>
      <x:c r="S14" s="115" t="str">
        <x:f>IF($A14="","",SUM($N14:$R14)+$M14)</x:f>
      </x:c>
      <x:c r="T14" s="107" t="str">
        <x:f>IF($A14="","",'Ayarlar'!$B$9)</x:f>
      </x:c>
      <x:c r="U14" s="116" t="str">
        <x:f>IF($A14="","",ROUND($S14*(1+$T14),0))</x:f>
      </x:c>
      <x:c r="V14" s="116" t="str">
        <x:f>IF($A14="","",MAX($U14,'Ayarlar'!$B$4))</x:f>
      </x:c>
      <x:c r="W14" s="116"/>
      <x:c r="X14" s="116" t="str">
        <x:f>IF($A14="","",$V14-$W14)</x:f>
      </x:c>
      <x:c r="Y14" s="95"/>
      <x:c r="Z14" s="95"/>
    </x:row>
    <x:row r="15">
      <x:c r="A15" s="95"/>
      <x:c r="B15" s="114"/>
      <x:c r="C15" s="95"/>
      <x:c r="D15" s="95"/>
      <x:c r="E15" s="95"/>
      <x:c r="F15" s="95"/>
      <x:c r="G15" s="106"/>
      <x:c r="H15" s="106"/>
      <x:c r="I15" s="106"/>
      <x:c r="J15" s="106"/>
      <x:c r="K15" s="106"/>
      <x:c r="L15" s="106"/>
      <x:c r="M15" s="106"/>
      <x:c r="N15" s="115" t="str">
        <x:f>IF($A15="","",IFERROR($G15*(1+'Ayarlar'!$B$10)*VLOOKUP($E15,'Ayarlar'!$A$16:$C$22,3,FALSE)*$J15,0))</x:f>
      </x:c>
      <x:c r="O15" s="115" t="str">
        <x:f>IF($A15="","",IFERROR($H15*(1+'Ayarlar'!$B$10)*VLOOKUP("Support",'Ayarlar'!$A$16:$C$22,3,FALSE)*$J15,0))</x:f>
      </x:c>
      <x:c r="P15" s="115" t="str">
        <x:f>IF($A15="","",IFERROR($I15*$J15*'Ayarlar'!$B$7*'Ayarlar'!$B$6,0))</x:f>
      </x:c>
      <x:c r="Q15" s="115" t="str">
        <x:f>IF($A15="","",IFERROR($I15*$J15*'Ayarlar'!$B$5,0))</x:f>
      </x:c>
      <x:c r="R15" s="115" t="str">
        <x:f>IF($A15="","",IFERROR(($K15+$L15)*'Ayarlar'!$B$8,0))</x:f>
      </x:c>
      <x:c r="S15" s="115" t="str">
        <x:f>IF($A15="","",SUM($N15:$R15)+$M15)</x:f>
      </x:c>
      <x:c r="T15" s="107" t="str">
        <x:f>IF($A15="","",'Ayarlar'!$B$9)</x:f>
      </x:c>
      <x:c r="U15" s="116" t="str">
        <x:f>IF($A15="","",ROUND($S15*(1+$T15),0))</x:f>
      </x:c>
      <x:c r="V15" s="116" t="str">
        <x:f>IF($A15="","",MAX($U15,'Ayarlar'!$B$4))</x:f>
      </x:c>
      <x:c r="W15" s="116"/>
      <x:c r="X15" s="116" t="str">
        <x:f>IF($A15="","",$V15-$W15)</x:f>
      </x:c>
      <x:c r="Y15" s="95"/>
      <x:c r="Z15" s="95"/>
    </x:row>
    <x:row r="16">
      <x:c r="A16" s="95"/>
      <x:c r="B16" s="114"/>
      <x:c r="C16" s="95"/>
      <x:c r="D16" s="95"/>
      <x:c r="E16" s="95"/>
      <x:c r="F16" s="95"/>
      <x:c r="G16" s="106"/>
      <x:c r="H16" s="106"/>
      <x:c r="I16" s="106"/>
      <x:c r="J16" s="106"/>
      <x:c r="K16" s="106"/>
      <x:c r="L16" s="106"/>
      <x:c r="M16" s="106"/>
      <x:c r="N16" s="115" t="str">
        <x:f>IF($A16="","",IFERROR($G16*(1+'Ayarlar'!$B$10)*VLOOKUP($E16,'Ayarlar'!$A$16:$C$22,3,FALSE)*$J16,0))</x:f>
      </x:c>
      <x:c r="O16" s="115" t="str">
        <x:f>IF($A16="","",IFERROR($H16*(1+'Ayarlar'!$B$10)*VLOOKUP("Support",'Ayarlar'!$A$16:$C$22,3,FALSE)*$J16,0))</x:f>
      </x:c>
      <x:c r="P16" s="115" t="str">
        <x:f>IF($A16="","",IFERROR($I16*$J16*'Ayarlar'!$B$7*'Ayarlar'!$B$6,0))</x:f>
      </x:c>
      <x:c r="Q16" s="115" t="str">
        <x:f>IF($A16="","",IFERROR($I16*$J16*'Ayarlar'!$B$5,0))</x:f>
      </x:c>
      <x:c r="R16" s="115" t="str">
        <x:f>IF($A16="","",IFERROR(($K16+$L16)*'Ayarlar'!$B$8,0))</x:f>
      </x:c>
      <x:c r="S16" s="115" t="str">
        <x:f>IF($A16="","",SUM($N16:$R16)+$M16)</x:f>
      </x:c>
      <x:c r="T16" s="107" t="str">
        <x:f>IF($A16="","",'Ayarlar'!$B$9)</x:f>
      </x:c>
      <x:c r="U16" s="116" t="str">
        <x:f>IF($A16="","",ROUND($S16*(1+$T16),0))</x:f>
      </x:c>
      <x:c r="V16" s="116" t="str">
        <x:f>IF($A16="","",MAX($U16,'Ayarlar'!$B$4))</x:f>
      </x:c>
      <x:c r="W16" s="116"/>
      <x:c r="X16" s="116" t="str">
        <x:f>IF($A16="","",$V16-$W16)</x:f>
      </x:c>
      <x:c r="Y16" s="95"/>
      <x:c r="Z16" s="95"/>
    </x:row>
    <x:row r="17">
      <x:c r="A17" s="95"/>
      <x:c r="B17" s="114"/>
      <x:c r="C17" s="95"/>
      <x:c r="D17" s="95"/>
      <x:c r="E17" s="95"/>
      <x:c r="F17" s="95"/>
      <x:c r="G17" s="106"/>
      <x:c r="H17" s="106"/>
      <x:c r="I17" s="106"/>
      <x:c r="J17" s="106"/>
      <x:c r="K17" s="106"/>
      <x:c r="L17" s="106"/>
      <x:c r="M17" s="106"/>
      <x:c r="N17" s="115" t="str">
        <x:f>IF($A17="","",IFERROR($G17*(1+'Ayarlar'!$B$10)*VLOOKUP($E17,'Ayarlar'!$A$16:$C$22,3,FALSE)*$J17,0))</x:f>
      </x:c>
      <x:c r="O17" s="115" t="str">
        <x:f>IF($A17="","",IFERROR($H17*(1+'Ayarlar'!$B$10)*VLOOKUP("Support",'Ayarlar'!$A$16:$C$22,3,FALSE)*$J17,0))</x:f>
      </x:c>
      <x:c r="P17" s="115" t="str">
        <x:f>IF($A17="","",IFERROR($I17*$J17*'Ayarlar'!$B$7*'Ayarlar'!$B$6,0))</x:f>
      </x:c>
      <x:c r="Q17" s="115" t="str">
        <x:f>IF($A17="","",IFERROR($I17*$J17*'Ayarlar'!$B$5,0))</x:f>
      </x:c>
      <x:c r="R17" s="115" t="str">
        <x:f>IF($A17="","",IFERROR(($K17+$L17)*'Ayarlar'!$B$8,0))</x:f>
      </x:c>
      <x:c r="S17" s="115" t="str">
        <x:f>IF($A17="","",SUM($N17:$R17)+$M17)</x:f>
      </x:c>
      <x:c r="T17" s="107" t="str">
        <x:f>IF($A17="","",'Ayarlar'!$B$9)</x:f>
      </x:c>
      <x:c r="U17" s="116" t="str">
        <x:f>IF($A17="","",ROUND($S17*(1+$T17),0))</x:f>
      </x:c>
      <x:c r="V17" s="116" t="str">
        <x:f>IF($A17="","",MAX($U17,'Ayarlar'!$B$4))</x:f>
      </x:c>
      <x:c r="W17" s="116"/>
      <x:c r="X17" s="116" t="str">
        <x:f>IF($A17="","",$V17-$W17)</x:f>
      </x:c>
      <x:c r="Y17" s="95"/>
      <x:c r="Z17" s="95"/>
    </x:row>
    <x:row r="18">
      <x:c r="A18" s="95"/>
      <x:c r="B18" s="114"/>
      <x:c r="C18" s="95"/>
      <x:c r="D18" s="95"/>
      <x:c r="E18" s="95"/>
      <x:c r="F18" s="95"/>
      <x:c r="G18" s="106"/>
      <x:c r="H18" s="106"/>
      <x:c r="I18" s="106"/>
      <x:c r="J18" s="106"/>
      <x:c r="K18" s="106"/>
      <x:c r="L18" s="106"/>
      <x:c r="M18" s="106"/>
      <x:c r="N18" s="115" t="str">
        <x:f>IF($A18="","",IFERROR($G18*(1+'Ayarlar'!$B$10)*VLOOKUP($E18,'Ayarlar'!$A$16:$C$22,3,FALSE)*$J18,0))</x:f>
      </x:c>
      <x:c r="O18" s="115" t="str">
        <x:f>IF($A18="","",IFERROR($H18*(1+'Ayarlar'!$B$10)*VLOOKUP("Support",'Ayarlar'!$A$16:$C$22,3,FALSE)*$J18,0))</x:f>
      </x:c>
      <x:c r="P18" s="115" t="str">
        <x:f>IF($A18="","",IFERROR($I18*$J18*'Ayarlar'!$B$7*'Ayarlar'!$B$6,0))</x:f>
      </x:c>
      <x:c r="Q18" s="115" t="str">
        <x:f>IF($A18="","",IFERROR($I18*$J18*'Ayarlar'!$B$5,0))</x:f>
      </x:c>
      <x:c r="R18" s="115" t="str">
        <x:f>IF($A18="","",IFERROR(($K18+$L18)*'Ayarlar'!$B$8,0))</x:f>
      </x:c>
      <x:c r="S18" s="115" t="str">
        <x:f>IF($A18="","",SUM($N18:$R18)+$M18)</x:f>
      </x:c>
      <x:c r="T18" s="107" t="str">
        <x:f>IF($A18="","",'Ayarlar'!$B$9)</x:f>
      </x:c>
      <x:c r="U18" s="116" t="str">
        <x:f>IF($A18="","",ROUND($S18*(1+$T18),0))</x:f>
      </x:c>
      <x:c r="V18" s="116" t="str">
        <x:f>IF($A18="","",MAX($U18,'Ayarlar'!$B$4))</x:f>
      </x:c>
      <x:c r="W18" s="116"/>
      <x:c r="X18" s="116" t="str">
        <x:f>IF($A18="","",$V18-$W18)</x:f>
      </x:c>
      <x:c r="Y18" s="95"/>
      <x:c r="Z18" s="95"/>
    </x:row>
    <x:row r="19">
      <x:c r="A19" s="95"/>
      <x:c r="B19" s="114"/>
      <x:c r="C19" s="95"/>
      <x:c r="D19" s="95"/>
      <x:c r="E19" s="95"/>
      <x:c r="F19" s="95"/>
      <x:c r="G19" s="106"/>
      <x:c r="H19" s="106"/>
      <x:c r="I19" s="106"/>
      <x:c r="J19" s="106"/>
      <x:c r="K19" s="106"/>
      <x:c r="L19" s="106"/>
      <x:c r="M19" s="106"/>
      <x:c r="N19" s="115" t="str">
        <x:f>IF($A19="","",IFERROR($G19*(1+'Ayarlar'!$B$10)*VLOOKUP($E19,'Ayarlar'!$A$16:$C$22,3,FALSE)*$J19,0))</x:f>
      </x:c>
      <x:c r="O19" s="115" t="str">
        <x:f>IF($A19="","",IFERROR($H19*(1+'Ayarlar'!$B$10)*VLOOKUP("Support",'Ayarlar'!$A$16:$C$22,3,FALSE)*$J19,0))</x:f>
      </x:c>
      <x:c r="P19" s="115" t="str">
        <x:f>IF($A19="","",IFERROR($I19*$J19*'Ayarlar'!$B$7*'Ayarlar'!$B$6,0))</x:f>
      </x:c>
      <x:c r="Q19" s="115" t="str">
        <x:f>IF($A19="","",IFERROR($I19*$J19*'Ayarlar'!$B$5,0))</x:f>
      </x:c>
      <x:c r="R19" s="115" t="str">
        <x:f>IF($A19="","",IFERROR(($K19+$L19)*'Ayarlar'!$B$8,0))</x:f>
      </x:c>
      <x:c r="S19" s="115" t="str">
        <x:f>IF($A19="","",SUM($N19:$R19)+$M19)</x:f>
      </x:c>
      <x:c r="T19" s="107" t="str">
        <x:f>IF($A19="","",'Ayarlar'!$B$9)</x:f>
      </x:c>
      <x:c r="U19" s="116" t="str">
        <x:f>IF($A19="","",ROUND($S19*(1+$T19),0))</x:f>
      </x:c>
      <x:c r="V19" s="116" t="str">
        <x:f>IF($A19="","",MAX($U19,'Ayarlar'!$B$4))</x:f>
      </x:c>
      <x:c r="W19" s="116"/>
      <x:c r="X19" s="116" t="str">
        <x:f>IF($A19="","",$V19-$W19)</x:f>
      </x:c>
      <x:c r="Y19" s="95"/>
      <x:c r="Z19" s="95"/>
    </x:row>
    <x:row r="20">
      <x:c r="A20" s="95"/>
      <x:c r="B20" s="114"/>
      <x:c r="C20" s="95"/>
      <x:c r="D20" s="95"/>
      <x:c r="E20" s="95"/>
      <x:c r="F20" s="95"/>
      <x:c r="G20" s="106"/>
      <x:c r="H20" s="106"/>
      <x:c r="I20" s="106"/>
      <x:c r="J20" s="106"/>
      <x:c r="K20" s="106"/>
      <x:c r="L20" s="106"/>
      <x:c r="M20" s="106"/>
      <x:c r="N20" s="115" t="str">
        <x:f>IF($A20="","",IFERROR($G20*(1+'Ayarlar'!$B$10)*VLOOKUP($E20,'Ayarlar'!$A$16:$C$22,3,FALSE)*$J20,0))</x:f>
      </x:c>
      <x:c r="O20" s="115" t="str">
        <x:f>IF($A20="","",IFERROR($H20*(1+'Ayarlar'!$B$10)*VLOOKUP("Support",'Ayarlar'!$A$16:$C$22,3,FALSE)*$J20,0))</x:f>
      </x:c>
      <x:c r="P20" s="115" t="str">
        <x:f>IF($A20="","",IFERROR($I20*$J20*'Ayarlar'!$B$7*'Ayarlar'!$B$6,0))</x:f>
      </x:c>
      <x:c r="Q20" s="115" t="str">
        <x:f>IF($A20="","",IFERROR($I20*$J20*'Ayarlar'!$B$5,0))</x:f>
      </x:c>
      <x:c r="R20" s="115" t="str">
        <x:f>IF($A20="","",IFERROR(($K20+$L20)*'Ayarlar'!$B$8,0))</x:f>
      </x:c>
      <x:c r="S20" s="115" t="str">
        <x:f>IF($A20="","",SUM($N20:$R20)+$M20)</x:f>
      </x:c>
      <x:c r="T20" s="107" t="str">
        <x:f>IF($A20="","",'Ayarlar'!$B$9)</x:f>
      </x:c>
      <x:c r="U20" s="116" t="str">
        <x:f>IF($A20="","",ROUND($S20*(1+$T20),0))</x:f>
      </x:c>
      <x:c r="V20" s="116" t="str">
        <x:f>IF($A20="","",MAX($U20,'Ayarlar'!$B$4))</x:f>
      </x:c>
      <x:c r="W20" s="116"/>
      <x:c r="X20" s="116" t="str">
        <x:f>IF($A20="","",$V20-$W20)</x:f>
      </x:c>
      <x:c r="Y20" s="95"/>
      <x:c r="Z20" s="95"/>
    </x:row>
    <x:row r="21">
      <x:c r="A21" s="95"/>
      <x:c r="B21" s="114"/>
      <x:c r="C21" s="95"/>
      <x:c r="D21" s="95"/>
      <x:c r="E21" s="95"/>
      <x:c r="F21" s="95"/>
      <x:c r="G21" s="106"/>
      <x:c r="H21" s="106"/>
      <x:c r="I21" s="106"/>
      <x:c r="J21" s="106"/>
      <x:c r="K21" s="106"/>
      <x:c r="L21" s="106"/>
      <x:c r="M21" s="106"/>
      <x:c r="N21" s="115" t="str">
        <x:f>IF($A21="","",IFERROR($G21*(1+'Ayarlar'!$B$10)*VLOOKUP($E21,'Ayarlar'!$A$16:$C$22,3,FALSE)*$J21,0))</x:f>
      </x:c>
      <x:c r="O21" s="115" t="str">
        <x:f>IF($A21="","",IFERROR($H21*(1+'Ayarlar'!$B$10)*VLOOKUP("Support",'Ayarlar'!$A$16:$C$22,3,FALSE)*$J21,0))</x:f>
      </x:c>
      <x:c r="P21" s="115" t="str">
        <x:f>IF($A21="","",IFERROR($I21*$J21*'Ayarlar'!$B$7*'Ayarlar'!$B$6,0))</x:f>
      </x:c>
      <x:c r="Q21" s="115" t="str">
        <x:f>IF($A21="","",IFERROR($I21*$J21*'Ayarlar'!$B$5,0))</x:f>
      </x:c>
      <x:c r="R21" s="115" t="str">
        <x:f>IF($A21="","",IFERROR(($K21+$L21)*'Ayarlar'!$B$8,0))</x:f>
      </x:c>
      <x:c r="S21" s="115" t="str">
        <x:f>IF($A21="","",SUM($N21:$R21)+$M21)</x:f>
      </x:c>
      <x:c r="T21" s="107" t="str">
        <x:f>IF($A21="","",'Ayarlar'!$B$9)</x:f>
      </x:c>
      <x:c r="U21" s="116" t="str">
        <x:f>IF($A21="","",ROUND($S21*(1+$T21),0))</x:f>
      </x:c>
      <x:c r="V21" s="116" t="str">
        <x:f>IF($A21="","",MAX($U21,'Ayarlar'!$B$4))</x:f>
      </x:c>
      <x:c r="W21" s="116"/>
      <x:c r="X21" s="116" t="str">
        <x:f>IF($A21="","",$V21-$W21)</x:f>
      </x:c>
      <x:c r="Y21" s="95"/>
      <x:c r="Z21" s="95"/>
    </x:row>
    <x:row r="22">
      <x:c r="A22" s="95"/>
      <x:c r="B22" s="114"/>
      <x:c r="C22" s="95"/>
      <x:c r="D22" s="95"/>
      <x:c r="E22" s="95"/>
      <x:c r="F22" s="95"/>
      <x:c r="G22" s="106"/>
      <x:c r="H22" s="106"/>
      <x:c r="I22" s="106"/>
      <x:c r="J22" s="106"/>
      <x:c r="K22" s="106"/>
      <x:c r="L22" s="106"/>
      <x:c r="M22" s="106"/>
      <x:c r="N22" s="115" t="str">
        <x:f>IF($A22="","",IFERROR($G22*(1+'Ayarlar'!$B$10)*VLOOKUP($E22,'Ayarlar'!$A$16:$C$22,3,FALSE)*$J22,0))</x:f>
      </x:c>
      <x:c r="O22" s="115" t="str">
        <x:f>IF($A22="","",IFERROR($H22*(1+'Ayarlar'!$B$10)*VLOOKUP("Support",'Ayarlar'!$A$16:$C$22,3,FALSE)*$J22,0))</x:f>
      </x:c>
      <x:c r="P22" s="115" t="str">
        <x:f>IF($A22="","",IFERROR($I22*$J22*'Ayarlar'!$B$7*'Ayarlar'!$B$6,0))</x:f>
      </x:c>
      <x:c r="Q22" s="115" t="str">
        <x:f>IF($A22="","",IFERROR($I22*$J22*'Ayarlar'!$B$5,0))</x:f>
      </x:c>
      <x:c r="R22" s="115" t="str">
        <x:f>IF($A22="","",IFERROR(($K22+$L22)*'Ayarlar'!$B$8,0))</x:f>
      </x:c>
      <x:c r="S22" s="115" t="str">
        <x:f>IF($A22="","",SUM($N22:$R22)+$M22)</x:f>
      </x:c>
      <x:c r="T22" s="107" t="str">
        <x:f>IF($A22="","",'Ayarlar'!$B$9)</x:f>
      </x:c>
      <x:c r="U22" s="116" t="str">
        <x:f>IF($A22="","",ROUND($S22*(1+$T22),0))</x:f>
      </x:c>
      <x:c r="V22" s="116" t="str">
        <x:f>IF($A22="","",MAX($U22,'Ayarlar'!$B$4))</x:f>
      </x:c>
      <x:c r="W22" s="116"/>
      <x:c r="X22" s="116" t="str">
        <x:f>IF($A22="","",$V22-$W22)</x:f>
      </x:c>
      <x:c r="Y22" s="95"/>
      <x:c r="Z22" s="95"/>
    </x:row>
    <x:row r="23">
      <x:c r="A23" s="95"/>
      <x:c r="B23" s="114"/>
      <x:c r="C23" s="95"/>
      <x:c r="D23" s="95"/>
      <x:c r="E23" s="95"/>
      <x:c r="F23" s="95"/>
      <x:c r="G23" s="106"/>
      <x:c r="H23" s="106"/>
      <x:c r="I23" s="106"/>
      <x:c r="J23" s="106"/>
      <x:c r="K23" s="106"/>
      <x:c r="L23" s="106"/>
      <x:c r="M23" s="106"/>
      <x:c r="N23" s="115" t="str">
        <x:f>IF($A23="","",IFERROR($G23*(1+'Ayarlar'!$B$10)*VLOOKUP($E23,'Ayarlar'!$A$16:$C$22,3,FALSE)*$J23,0))</x:f>
      </x:c>
      <x:c r="O23" s="115" t="str">
        <x:f>IF($A23="","",IFERROR($H23*(1+'Ayarlar'!$B$10)*VLOOKUP("Support",'Ayarlar'!$A$16:$C$22,3,FALSE)*$J23,0))</x:f>
      </x:c>
      <x:c r="P23" s="115" t="str">
        <x:f>IF($A23="","",IFERROR($I23*$J23*'Ayarlar'!$B$7*'Ayarlar'!$B$6,0))</x:f>
      </x:c>
      <x:c r="Q23" s="115" t="str">
        <x:f>IF($A23="","",IFERROR($I23*$J23*'Ayarlar'!$B$5,0))</x:f>
      </x:c>
      <x:c r="R23" s="115" t="str">
        <x:f>IF($A23="","",IFERROR(($K23+$L23)*'Ayarlar'!$B$8,0))</x:f>
      </x:c>
      <x:c r="S23" s="115" t="str">
        <x:f>IF($A23="","",SUM($N23:$R23)+$M23)</x:f>
      </x:c>
      <x:c r="T23" s="107" t="str">
        <x:f>IF($A23="","",'Ayarlar'!$B$9)</x:f>
      </x:c>
      <x:c r="U23" s="116" t="str">
        <x:f>IF($A23="","",ROUND($S23*(1+$T23),0))</x:f>
      </x:c>
      <x:c r="V23" s="116" t="str">
        <x:f>IF($A23="","",MAX($U23,'Ayarlar'!$B$4))</x:f>
      </x:c>
      <x:c r="W23" s="116"/>
      <x:c r="X23" s="116" t="str">
        <x:f>IF($A23="","",$V23-$W23)</x:f>
      </x:c>
      <x:c r="Y23" s="95"/>
      <x:c r="Z23" s="95"/>
    </x:row>
    <x:row r="24">
      <x:c r="A24" s="95"/>
      <x:c r="B24" s="114"/>
      <x:c r="C24" s="95"/>
      <x:c r="D24" s="95"/>
      <x:c r="E24" s="95"/>
      <x:c r="F24" s="95"/>
      <x:c r="G24" s="106"/>
      <x:c r="H24" s="106"/>
      <x:c r="I24" s="106"/>
      <x:c r="J24" s="106"/>
      <x:c r="K24" s="106"/>
      <x:c r="L24" s="106"/>
      <x:c r="M24" s="106"/>
      <x:c r="N24" s="115" t="str">
        <x:f>IF($A24="","",IFERROR($G24*(1+'Ayarlar'!$B$10)*VLOOKUP($E24,'Ayarlar'!$A$16:$C$22,3,FALSE)*$J24,0))</x:f>
      </x:c>
      <x:c r="O24" s="115" t="str">
        <x:f>IF($A24="","",IFERROR($H24*(1+'Ayarlar'!$B$10)*VLOOKUP("Support",'Ayarlar'!$A$16:$C$22,3,FALSE)*$J24,0))</x:f>
      </x:c>
      <x:c r="P24" s="115" t="str">
        <x:f>IF($A24="","",IFERROR($I24*$J24*'Ayarlar'!$B$7*'Ayarlar'!$B$6,0))</x:f>
      </x:c>
      <x:c r="Q24" s="115" t="str">
        <x:f>IF($A24="","",IFERROR($I24*$J24*'Ayarlar'!$B$5,0))</x:f>
      </x:c>
      <x:c r="R24" s="115" t="str">
        <x:f>IF($A24="","",IFERROR(($K24+$L24)*'Ayarlar'!$B$8,0))</x:f>
      </x:c>
      <x:c r="S24" s="115" t="str">
        <x:f>IF($A24="","",SUM($N24:$R24)+$M24)</x:f>
      </x:c>
      <x:c r="T24" s="107" t="str">
        <x:f>IF($A24="","",'Ayarlar'!$B$9)</x:f>
      </x:c>
      <x:c r="U24" s="116" t="str">
        <x:f>IF($A24="","",ROUND($S24*(1+$T24),0))</x:f>
      </x:c>
      <x:c r="V24" s="116" t="str">
        <x:f>IF($A24="","",MAX($U24,'Ayarlar'!$B$4))</x:f>
      </x:c>
      <x:c r="W24" s="116"/>
      <x:c r="X24" s="116" t="str">
        <x:f>IF($A24="","",$V24-$W24)</x:f>
      </x:c>
      <x:c r="Y24" s="95"/>
      <x:c r="Z24" s="95"/>
    </x:row>
    <x:row r="25">
      <x:c r="A25" s="95"/>
      <x:c r="B25" s="114"/>
      <x:c r="C25" s="95"/>
      <x:c r="D25" s="95"/>
      <x:c r="E25" s="95"/>
      <x:c r="F25" s="95"/>
      <x:c r="G25" s="106"/>
      <x:c r="H25" s="106"/>
      <x:c r="I25" s="106"/>
      <x:c r="J25" s="106"/>
      <x:c r="K25" s="106"/>
      <x:c r="L25" s="106"/>
      <x:c r="M25" s="106"/>
      <x:c r="N25" s="115" t="str">
        <x:f>IF($A25="","",IFERROR($G25*(1+'Ayarlar'!$B$10)*VLOOKUP($E25,'Ayarlar'!$A$16:$C$22,3,FALSE)*$J25,0))</x:f>
      </x:c>
      <x:c r="O25" s="115" t="str">
        <x:f>IF($A25="","",IFERROR($H25*(1+'Ayarlar'!$B$10)*VLOOKUP("Support",'Ayarlar'!$A$16:$C$22,3,FALSE)*$J25,0))</x:f>
      </x:c>
      <x:c r="P25" s="115" t="str">
        <x:f>IF($A25="","",IFERROR($I25*$J25*'Ayarlar'!$B$7*'Ayarlar'!$B$6,0))</x:f>
      </x:c>
      <x:c r="Q25" s="115" t="str">
        <x:f>IF($A25="","",IFERROR($I25*$J25*'Ayarlar'!$B$5,0))</x:f>
      </x:c>
      <x:c r="R25" s="115" t="str">
        <x:f>IF($A25="","",IFERROR(($K25+$L25)*'Ayarlar'!$B$8,0))</x:f>
      </x:c>
      <x:c r="S25" s="115" t="str">
        <x:f>IF($A25="","",SUM($N25:$R25)+$M25)</x:f>
      </x:c>
      <x:c r="T25" s="107" t="str">
        <x:f>IF($A25="","",'Ayarlar'!$B$9)</x:f>
      </x:c>
      <x:c r="U25" s="116" t="str">
        <x:f>IF($A25="","",ROUND($S25*(1+$T25),0))</x:f>
      </x:c>
      <x:c r="V25" s="116" t="str">
        <x:f>IF($A25="","",MAX($U25,'Ayarlar'!$B$4))</x:f>
      </x:c>
      <x:c r="W25" s="116"/>
      <x:c r="X25" s="116" t="str">
        <x:f>IF($A25="","",$V25-$W25)</x:f>
      </x:c>
      <x:c r="Y25" s="95"/>
      <x:c r="Z25" s="95"/>
    </x:row>
    <x:row r="26">
      <x:c r="A26" s="95"/>
      <x:c r="B26" s="114"/>
      <x:c r="C26" s="95"/>
      <x:c r="D26" s="95"/>
      <x:c r="E26" s="95"/>
      <x:c r="F26" s="95"/>
      <x:c r="G26" s="106"/>
      <x:c r="H26" s="106"/>
      <x:c r="I26" s="106"/>
      <x:c r="J26" s="106"/>
      <x:c r="K26" s="106"/>
      <x:c r="L26" s="106"/>
      <x:c r="M26" s="106"/>
      <x:c r="N26" s="115" t="str">
        <x:f>IF($A26="","",IFERROR($G26*(1+'Ayarlar'!$B$10)*VLOOKUP($E26,'Ayarlar'!$A$16:$C$22,3,FALSE)*$J26,0))</x:f>
      </x:c>
      <x:c r="O26" s="115" t="str">
        <x:f>IF($A26="","",IFERROR($H26*(1+'Ayarlar'!$B$10)*VLOOKUP("Support",'Ayarlar'!$A$16:$C$22,3,FALSE)*$J26,0))</x:f>
      </x:c>
      <x:c r="P26" s="115" t="str">
        <x:f>IF($A26="","",IFERROR($I26*$J26*'Ayarlar'!$B$7*'Ayarlar'!$B$6,0))</x:f>
      </x:c>
      <x:c r="Q26" s="115" t="str">
        <x:f>IF($A26="","",IFERROR($I26*$J26*'Ayarlar'!$B$5,0))</x:f>
      </x:c>
      <x:c r="R26" s="115" t="str">
        <x:f>IF($A26="","",IFERROR(($K26+$L26)*'Ayarlar'!$B$8,0))</x:f>
      </x:c>
      <x:c r="S26" s="115" t="str">
        <x:f>IF($A26="","",SUM($N26:$R26)+$M26)</x:f>
      </x:c>
      <x:c r="T26" s="107" t="str">
        <x:f>IF($A26="","",'Ayarlar'!$B$9)</x:f>
      </x:c>
      <x:c r="U26" s="116" t="str">
        <x:f>IF($A26="","",ROUND($S26*(1+$T26),0))</x:f>
      </x:c>
      <x:c r="V26" s="116" t="str">
        <x:f>IF($A26="","",MAX($U26,'Ayarlar'!$B$4))</x:f>
      </x:c>
      <x:c r="W26" s="116"/>
      <x:c r="X26" s="116" t="str">
        <x:f>IF($A26="","",$V26-$W26)</x:f>
      </x:c>
      <x:c r="Y26" s="95"/>
      <x:c r="Z26" s="95"/>
    </x:row>
    <x:row r="27">
      <x:c r="A27" s="95"/>
      <x:c r="B27" s="114"/>
      <x:c r="C27" s="95"/>
      <x:c r="D27" s="95"/>
      <x:c r="E27" s="95"/>
      <x:c r="F27" s="95"/>
      <x:c r="G27" s="106"/>
      <x:c r="H27" s="106"/>
      <x:c r="I27" s="106"/>
      <x:c r="J27" s="106"/>
      <x:c r="K27" s="106"/>
      <x:c r="L27" s="106"/>
      <x:c r="M27" s="106"/>
      <x:c r="N27" s="115" t="str">
        <x:f>IF($A27="","",IFERROR($G27*(1+'Ayarlar'!$B$10)*VLOOKUP($E27,'Ayarlar'!$A$16:$C$22,3,FALSE)*$J27,0))</x:f>
      </x:c>
      <x:c r="O27" s="115" t="str">
        <x:f>IF($A27="","",IFERROR($H27*(1+'Ayarlar'!$B$10)*VLOOKUP("Support",'Ayarlar'!$A$16:$C$22,3,FALSE)*$J27,0))</x:f>
      </x:c>
      <x:c r="P27" s="115" t="str">
        <x:f>IF($A27="","",IFERROR($I27*$J27*'Ayarlar'!$B$7*'Ayarlar'!$B$6,0))</x:f>
      </x:c>
      <x:c r="Q27" s="115" t="str">
        <x:f>IF($A27="","",IFERROR($I27*$J27*'Ayarlar'!$B$5,0))</x:f>
      </x:c>
      <x:c r="R27" s="115" t="str">
        <x:f>IF($A27="","",IFERROR(($K27+$L27)*'Ayarlar'!$B$8,0))</x:f>
      </x:c>
      <x:c r="S27" s="115" t="str">
        <x:f>IF($A27="","",SUM($N27:$R27)+$M27)</x:f>
      </x:c>
      <x:c r="T27" s="107" t="str">
        <x:f>IF($A27="","",'Ayarlar'!$B$9)</x:f>
      </x:c>
      <x:c r="U27" s="116" t="str">
        <x:f>IF($A27="","",ROUND($S27*(1+$T27),0))</x:f>
      </x:c>
      <x:c r="V27" s="116" t="str">
        <x:f>IF($A27="","",MAX($U27,'Ayarlar'!$B$4))</x:f>
      </x:c>
      <x:c r="W27" s="116"/>
      <x:c r="X27" s="116" t="str">
        <x:f>IF($A27="","",$V27-$W27)</x:f>
      </x:c>
      <x:c r="Y27" s="95"/>
      <x:c r="Z27" s="95"/>
    </x:row>
    <x:row r="28">
      <x:c r="A28" s="95"/>
      <x:c r="B28" s="114"/>
      <x:c r="C28" s="95"/>
      <x:c r="D28" s="95"/>
      <x:c r="E28" s="95"/>
      <x:c r="F28" s="95"/>
      <x:c r="G28" s="106"/>
      <x:c r="H28" s="106"/>
      <x:c r="I28" s="106"/>
      <x:c r="J28" s="106"/>
      <x:c r="K28" s="106"/>
      <x:c r="L28" s="106"/>
      <x:c r="M28" s="106"/>
      <x:c r="N28" s="115" t="str">
        <x:f>IF($A28="","",IFERROR($G28*(1+'Ayarlar'!$B$10)*VLOOKUP($E28,'Ayarlar'!$A$16:$C$22,3,FALSE)*$J28,0))</x:f>
      </x:c>
      <x:c r="O28" s="115" t="str">
        <x:f>IF($A28="","",IFERROR($H28*(1+'Ayarlar'!$B$10)*VLOOKUP("Support",'Ayarlar'!$A$16:$C$22,3,FALSE)*$J28,0))</x:f>
      </x:c>
      <x:c r="P28" s="115" t="str">
        <x:f>IF($A28="","",IFERROR($I28*$J28*'Ayarlar'!$B$7*'Ayarlar'!$B$6,0))</x:f>
      </x:c>
      <x:c r="Q28" s="115" t="str">
        <x:f>IF($A28="","",IFERROR($I28*$J28*'Ayarlar'!$B$5,0))</x:f>
      </x:c>
      <x:c r="R28" s="115" t="str">
        <x:f>IF($A28="","",IFERROR(($K28+$L28)*'Ayarlar'!$B$8,0))</x:f>
      </x:c>
      <x:c r="S28" s="115" t="str">
        <x:f>IF($A28="","",SUM($N28:$R28)+$M28)</x:f>
      </x:c>
      <x:c r="T28" s="107" t="str">
        <x:f>IF($A28="","",'Ayarlar'!$B$9)</x:f>
      </x:c>
      <x:c r="U28" s="116" t="str">
        <x:f>IF($A28="","",ROUND($S28*(1+$T28),0))</x:f>
      </x:c>
      <x:c r="V28" s="116" t="str">
        <x:f>IF($A28="","",MAX($U28,'Ayarlar'!$B$4))</x:f>
      </x:c>
      <x:c r="W28" s="116"/>
      <x:c r="X28" s="116" t="str">
        <x:f>IF($A28="","",$V28-$W28)</x:f>
      </x:c>
      <x:c r="Y28" s="95"/>
      <x:c r="Z28" s="95"/>
    </x:row>
    <x:row r="29">
      <x:c r="A29" s="95"/>
      <x:c r="B29" s="114"/>
      <x:c r="C29" s="95"/>
      <x:c r="D29" s="95"/>
      <x:c r="E29" s="95"/>
      <x:c r="F29" s="95"/>
      <x:c r="G29" s="106"/>
      <x:c r="H29" s="106"/>
      <x:c r="I29" s="106"/>
      <x:c r="J29" s="106"/>
      <x:c r="K29" s="106"/>
      <x:c r="L29" s="106"/>
      <x:c r="M29" s="106"/>
      <x:c r="N29" s="115" t="str">
        <x:f>IF($A29="","",IFERROR($G29*(1+'Ayarlar'!$B$10)*VLOOKUP($E29,'Ayarlar'!$A$16:$C$22,3,FALSE)*$J29,0))</x:f>
      </x:c>
      <x:c r="O29" s="115" t="str">
        <x:f>IF($A29="","",IFERROR($H29*(1+'Ayarlar'!$B$10)*VLOOKUP("Support",'Ayarlar'!$A$16:$C$22,3,FALSE)*$J29,0))</x:f>
      </x:c>
      <x:c r="P29" s="115" t="str">
        <x:f>IF($A29="","",IFERROR($I29*$J29*'Ayarlar'!$B$7*'Ayarlar'!$B$6,0))</x:f>
      </x:c>
      <x:c r="Q29" s="115" t="str">
        <x:f>IF($A29="","",IFERROR($I29*$J29*'Ayarlar'!$B$5,0))</x:f>
      </x:c>
      <x:c r="R29" s="115" t="str">
        <x:f>IF($A29="","",IFERROR(($K29+$L29)*'Ayarlar'!$B$8,0))</x:f>
      </x:c>
      <x:c r="S29" s="115" t="str">
        <x:f>IF($A29="","",SUM($N29:$R29)+$M29)</x:f>
      </x:c>
      <x:c r="T29" s="107" t="str">
        <x:f>IF($A29="","",'Ayarlar'!$B$9)</x:f>
      </x:c>
      <x:c r="U29" s="116" t="str">
        <x:f>IF($A29="","",ROUND($S29*(1+$T29),0))</x:f>
      </x:c>
      <x:c r="V29" s="116" t="str">
        <x:f>IF($A29="","",MAX($U29,'Ayarlar'!$B$4))</x:f>
      </x:c>
      <x:c r="W29" s="116"/>
      <x:c r="X29" s="116" t="str">
        <x:f>IF($A29="","",$V29-$W29)</x:f>
      </x:c>
      <x:c r="Y29" s="95"/>
      <x:c r="Z29" s="95"/>
    </x:row>
    <x:row r="30">
      <x:c r="A30" s="95"/>
      <x:c r="B30" s="114"/>
      <x:c r="C30" s="95"/>
      <x:c r="D30" s="95"/>
      <x:c r="E30" s="95"/>
      <x:c r="F30" s="95"/>
      <x:c r="G30" s="106"/>
      <x:c r="H30" s="106"/>
      <x:c r="I30" s="106"/>
      <x:c r="J30" s="106"/>
      <x:c r="K30" s="106"/>
      <x:c r="L30" s="106"/>
      <x:c r="M30" s="106"/>
      <x:c r="N30" s="115" t="str">
        <x:f>IF($A30="","",IFERROR($G30*(1+'Ayarlar'!$B$10)*VLOOKUP($E30,'Ayarlar'!$A$16:$C$22,3,FALSE)*$J30,0))</x:f>
      </x:c>
      <x:c r="O30" s="115" t="str">
        <x:f>IF($A30="","",IFERROR($H30*(1+'Ayarlar'!$B$10)*VLOOKUP("Support",'Ayarlar'!$A$16:$C$22,3,FALSE)*$J30,0))</x:f>
      </x:c>
      <x:c r="P30" s="115" t="str">
        <x:f>IF($A30="","",IFERROR($I30*$J30*'Ayarlar'!$B$7*'Ayarlar'!$B$6,0))</x:f>
      </x:c>
      <x:c r="Q30" s="115" t="str">
        <x:f>IF($A30="","",IFERROR($I30*$J30*'Ayarlar'!$B$5,0))</x:f>
      </x:c>
      <x:c r="R30" s="115" t="str">
        <x:f>IF($A30="","",IFERROR(($K30+$L30)*'Ayarlar'!$B$8,0))</x:f>
      </x:c>
      <x:c r="S30" s="115" t="str">
        <x:f>IF($A30="","",SUM($N30:$R30)+$M30)</x:f>
      </x:c>
      <x:c r="T30" s="107" t="str">
        <x:f>IF($A30="","",'Ayarlar'!$B$9)</x:f>
      </x:c>
      <x:c r="U30" s="116" t="str">
        <x:f>IF($A30="","",ROUND($S30*(1+$T30),0))</x:f>
      </x:c>
      <x:c r="V30" s="116" t="str">
        <x:f>IF($A30="","",MAX($U30,'Ayarlar'!$B$4))</x:f>
      </x:c>
      <x:c r="W30" s="116"/>
      <x:c r="X30" s="116" t="str">
        <x:f>IF($A30="","",$V30-$W30)</x:f>
      </x:c>
      <x:c r="Y30" s="95"/>
      <x:c r="Z30" s="95"/>
    </x:row>
    <x:row r="31">
      <x:c r="A31" s="95"/>
      <x:c r="B31" s="114"/>
      <x:c r="C31" s="95"/>
      <x:c r="D31" s="95"/>
      <x:c r="E31" s="95"/>
      <x:c r="F31" s="95"/>
      <x:c r="G31" s="106"/>
      <x:c r="H31" s="106"/>
      <x:c r="I31" s="106"/>
      <x:c r="J31" s="106"/>
      <x:c r="K31" s="106"/>
      <x:c r="L31" s="106"/>
      <x:c r="M31" s="106"/>
      <x:c r="N31" s="115" t="str">
        <x:f>IF($A31="","",IFERROR($G31*(1+'Ayarlar'!$B$10)*VLOOKUP($E31,'Ayarlar'!$A$16:$C$22,3,FALSE)*$J31,0))</x:f>
      </x:c>
      <x:c r="O31" s="115" t="str">
        <x:f>IF($A31="","",IFERROR($H31*(1+'Ayarlar'!$B$10)*VLOOKUP("Support",'Ayarlar'!$A$16:$C$22,3,FALSE)*$J31,0))</x:f>
      </x:c>
      <x:c r="P31" s="115" t="str">
        <x:f>IF($A31="","",IFERROR($I31*$J31*'Ayarlar'!$B$7*'Ayarlar'!$B$6,0))</x:f>
      </x:c>
      <x:c r="Q31" s="115" t="str">
        <x:f>IF($A31="","",IFERROR($I31*$J31*'Ayarlar'!$B$5,0))</x:f>
      </x:c>
      <x:c r="R31" s="115" t="str">
        <x:f>IF($A31="","",IFERROR(($K31+$L31)*'Ayarlar'!$B$8,0))</x:f>
      </x:c>
      <x:c r="S31" s="115" t="str">
        <x:f>IF($A31="","",SUM($N31:$R31)+$M31)</x:f>
      </x:c>
      <x:c r="T31" s="107" t="str">
        <x:f>IF($A31="","",'Ayarlar'!$B$9)</x:f>
      </x:c>
      <x:c r="U31" s="116" t="str">
        <x:f>IF($A31="","",ROUND($S31*(1+$T31),0))</x:f>
      </x:c>
      <x:c r="V31" s="116" t="str">
        <x:f>IF($A31="","",MAX($U31,'Ayarlar'!$B$4))</x:f>
      </x:c>
      <x:c r="W31" s="116"/>
      <x:c r="X31" s="116" t="str">
        <x:f>IF($A31="","",$V31-$W31)</x:f>
      </x:c>
      <x:c r="Y31" s="95"/>
      <x:c r="Z31" s="95"/>
    </x:row>
    <x:row r="32">
      <x:c r="A32" s="95"/>
      <x:c r="B32" s="114"/>
      <x:c r="C32" s="95"/>
      <x:c r="D32" s="95"/>
      <x:c r="E32" s="95"/>
      <x:c r="F32" s="95"/>
      <x:c r="G32" s="106"/>
      <x:c r="H32" s="106"/>
      <x:c r="I32" s="106"/>
      <x:c r="J32" s="106"/>
      <x:c r="K32" s="106"/>
      <x:c r="L32" s="106"/>
      <x:c r="M32" s="106"/>
      <x:c r="N32" s="115" t="str">
        <x:f>IF($A32="","",IFERROR($G32*(1+'Ayarlar'!$B$10)*VLOOKUP($E32,'Ayarlar'!$A$16:$C$22,3,FALSE)*$J32,0))</x:f>
      </x:c>
      <x:c r="O32" s="115" t="str">
        <x:f>IF($A32="","",IFERROR($H32*(1+'Ayarlar'!$B$10)*VLOOKUP("Support",'Ayarlar'!$A$16:$C$22,3,FALSE)*$J32,0))</x:f>
      </x:c>
      <x:c r="P32" s="115" t="str">
        <x:f>IF($A32="","",IFERROR($I32*$J32*'Ayarlar'!$B$7*'Ayarlar'!$B$6,0))</x:f>
      </x:c>
      <x:c r="Q32" s="115" t="str">
        <x:f>IF($A32="","",IFERROR($I32*$J32*'Ayarlar'!$B$5,0))</x:f>
      </x:c>
      <x:c r="R32" s="115" t="str">
        <x:f>IF($A32="","",IFERROR(($K32+$L32)*'Ayarlar'!$B$8,0))</x:f>
      </x:c>
      <x:c r="S32" s="115" t="str">
        <x:f>IF($A32="","",SUM($N32:$R32)+$M32)</x:f>
      </x:c>
      <x:c r="T32" s="107" t="str">
        <x:f>IF($A32="","",'Ayarlar'!$B$9)</x:f>
      </x:c>
      <x:c r="U32" s="116" t="str">
        <x:f>IF($A32="","",ROUND($S32*(1+$T32),0))</x:f>
      </x:c>
      <x:c r="V32" s="116" t="str">
        <x:f>IF($A32="","",MAX($U32,'Ayarlar'!$B$4))</x:f>
      </x:c>
      <x:c r="W32" s="116"/>
      <x:c r="X32" s="116" t="str">
        <x:f>IF($A32="","",$V32-$W32)</x:f>
      </x:c>
      <x:c r="Y32" s="95"/>
      <x:c r="Z32" s="95"/>
    </x:row>
    <x:row r="33">
      <x:c r="A33" s="95"/>
      <x:c r="B33" s="114"/>
      <x:c r="C33" s="95"/>
      <x:c r="D33" s="95"/>
      <x:c r="E33" s="95"/>
      <x:c r="F33" s="95"/>
      <x:c r="G33" s="106"/>
      <x:c r="H33" s="106"/>
      <x:c r="I33" s="106"/>
      <x:c r="J33" s="106"/>
      <x:c r="K33" s="106"/>
      <x:c r="L33" s="106"/>
      <x:c r="M33" s="106"/>
      <x:c r="N33" s="115" t="str">
        <x:f>IF($A33="","",IFERROR($G33*(1+'Ayarlar'!$B$10)*VLOOKUP($E33,'Ayarlar'!$A$16:$C$22,3,FALSE)*$J33,0))</x:f>
      </x:c>
      <x:c r="O33" s="115" t="str">
        <x:f>IF($A33="","",IFERROR($H33*(1+'Ayarlar'!$B$10)*VLOOKUP("Support",'Ayarlar'!$A$16:$C$22,3,FALSE)*$J33,0))</x:f>
      </x:c>
      <x:c r="P33" s="115" t="str">
        <x:f>IF($A33="","",IFERROR($I33*$J33*'Ayarlar'!$B$7*'Ayarlar'!$B$6,0))</x:f>
      </x:c>
      <x:c r="Q33" s="115" t="str">
        <x:f>IF($A33="","",IFERROR($I33*$J33*'Ayarlar'!$B$5,0))</x:f>
      </x:c>
      <x:c r="R33" s="115" t="str">
        <x:f>IF($A33="","",IFERROR(($K33+$L33)*'Ayarlar'!$B$8,0))</x:f>
      </x:c>
      <x:c r="S33" s="115" t="str">
        <x:f>IF($A33="","",SUM($N33:$R33)+$M33)</x:f>
      </x:c>
      <x:c r="T33" s="107" t="str">
        <x:f>IF($A33="","",'Ayarlar'!$B$9)</x:f>
      </x:c>
      <x:c r="U33" s="116" t="str">
        <x:f>IF($A33="","",ROUND($S33*(1+$T33),0))</x:f>
      </x:c>
      <x:c r="V33" s="116" t="str">
        <x:f>IF($A33="","",MAX($U33,'Ayarlar'!$B$4))</x:f>
      </x:c>
      <x:c r="W33" s="116"/>
      <x:c r="X33" s="116" t="str">
        <x:f>IF($A33="","",$V33-$W33)</x:f>
      </x:c>
      <x:c r="Y33" s="95"/>
      <x:c r="Z33" s="95"/>
    </x:row>
    <x:row r="34">
      <x:c r="A34" s="95"/>
      <x:c r="B34" s="114"/>
      <x:c r="C34" s="95"/>
      <x:c r="D34" s="95"/>
      <x:c r="E34" s="95"/>
      <x:c r="F34" s="95"/>
      <x:c r="G34" s="106"/>
      <x:c r="H34" s="106"/>
      <x:c r="I34" s="106"/>
      <x:c r="J34" s="106"/>
      <x:c r="K34" s="106"/>
      <x:c r="L34" s="106"/>
      <x:c r="M34" s="106"/>
      <x:c r="N34" s="115" t="str">
        <x:f>IF($A34="","",IFERROR($G34*(1+'Ayarlar'!$B$10)*VLOOKUP($E34,'Ayarlar'!$A$16:$C$22,3,FALSE)*$J34,0))</x:f>
      </x:c>
      <x:c r="O34" s="115" t="str">
        <x:f>IF($A34="","",IFERROR($H34*(1+'Ayarlar'!$B$10)*VLOOKUP("Support",'Ayarlar'!$A$16:$C$22,3,FALSE)*$J34,0))</x:f>
      </x:c>
      <x:c r="P34" s="115" t="str">
        <x:f>IF($A34="","",IFERROR($I34*$J34*'Ayarlar'!$B$7*'Ayarlar'!$B$6,0))</x:f>
      </x:c>
      <x:c r="Q34" s="115" t="str">
        <x:f>IF($A34="","",IFERROR($I34*$J34*'Ayarlar'!$B$5,0))</x:f>
      </x:c>
      <x:c r="R34" s="115" t="str">
        <x:f>IF($A34="","",IFERROR(($K34+$L34)*'Ayarlar'!$B$8,0))</x:f>
      </x:c>
      <x:c r="S34" s="115" t="str">
        <x:f>IF($A34="","",SUM($N34:$R34)+$M34)</x:f>
      </x:c>
      <x:c r="T34" s="107" t="str">
        <x:f>IF($A34="","",'Ayarlar'!$B$9)</x:f>
      </x:c>
      <x:c r="U34" s="116" t="str">
        <x:f>IF($A34="","",ROUND($S34*(1+$T34),0))</x:f>
      </x:c>
      <x:c r="V34" s="116" t="str">
        <x:f>IF($A34="","",MAX($U34,'Ayarlar'!$B$4))</x:f>
      </x:c>
      <x:c r="W34" s="116"/>
      <x:c r="X34" s="116" t="str">
        <x:f>IF($A34="","",$V34-$W34)</x:f>
      </x:c>
      <x:c r="Y34" s="95"/>
      <x:c r="Z34" s="95"/>
    </x:row>
    <x:row r="35">
      <x:c r="A35" s="95"/>
      <x:c r="B35" s="114"/>
      <x:c r="C35" s="95"/>
      <x:c r="D35" s="95"/>
      <x:c r="E35" s="95"/>
      <x:c r="F35" s="95"/>
      <x:c r="G35" s="106"/>
      <x:c r="H35" s="106"/>
      <x:c r="I35" s="106"/>
      <x:c r="J35" s="106"/>
      <x:c r="K35" s="106"/>
      <x:c r="L35" s="106"/>
      <x:c r="M35" s="106"/>
      <x:c r="N35" s="115" t="str">
        <x:f>IF($A35="","",IFERROR($G35*(1+'Ayarlar'!$B$10)*VLOOKUP($E35,'Ayarlar'!$A$16:$C$22,3,FALSE)*$J35,0))</x:f>
      </x:c>
      <x:c r="O35" s="115" t="str">
        <x:f>IF($A35="","",IFERROR($H35*(1+'Ayarlar'!$B$10)*VLOOKUP("Support",'Ayarlar'!$A$16:$C$22,3,FALSE)*$J35,0))</x:f>
      </x:c>
      <x:c r="P35" s="115" t="str">
        <x:f>IF($A35="","",IFERROR($I35*$J35*'Ayarlar'!$B$7*'Ayarlar'!$B$6,0))</x:f>
      </x:c>
      <x:c r="Q35" s="115" t="str">
        <x:f>IF($A35="","",IFERROR($I35*$J35*'Ayarlar'!$B$5,0))</x:f>
      </x:c>
      <x:c r="R35" s="115" t="str">
        <x:f>IF($A35="","",IFERROR(($K35+$L35)*'Ayarlar'!$B$8,0))</x:f>
      </x:c>
      <x:c r="S35" s="115" t="str">
        <x:f>IF($A35="","",SUM($N35:$R35)+$M35)</x:f>
      </x:c>
      <x:c r="T35" s="107" t="str">
        <x:f>IF($A35="","",'Ayarlar'!$B$9)</x:f>
      </x:c>
      <x:c r="U35" s="116" t="str">
        <x:f>IF($A35="","",ROUND($S35*(1+$T35),0))</x:f>
      </x:c>
      <x:c r="V35" s="116" t="str">
        <x:f>IF($A35="","",MAX($U35,'Ayarlar'!$B$4))</x:f>
      </x:c>
      <x:c r="W35" s="116"/>
      <x:c r="X35" s="116" t="str">
        <x:f>IF($A35="","",$V35-$W35)</x:f>
      </x:c>
      <x:c r="Y35" s="95"/>
      <x:c r="Z35" s="95"/>
    </x:row>
    <x:row r="36">
      <x:c r="A36" s="95"/>
      <x:c r="B36" s="114"/>
      <x:c r="C36" s="95"/>
      <x:c r="D36" s="95"/>
      <x:c r="E36" s="95"/>
      <x:c r="F36" s="95"/>
      <x:c r="G36" s="106"/>
      <x:c r="H36" s="106"/>
      <x:c r="I36" s="106"/>
      <x:c r="J36" s="106"/>
      <x:c r="K36" s="106"/>
      <x:c r="L36" s="106"/>
      <x:c r="M36" s="106"/>
      <x:c r="N36" s="115" t="str">
        <x:f>IF($A36="","",IFERROR($G36*(1+'Ayarlar'!$B$10)*VLOOKUP($E36,'Ayarlar'!$A$16:$C$22,3,FALSE)*$J36,0))</x:f>
      </x:c>
      <x:c r="O36" s="115" t="str">
        <x:f>IF($A36="","",IFERROR($H36*(1+'Ayarlar'!$B$10)*VLOOKUP("Support",'Ayarlar'!$A$16:$C$22,3,FALSE)*$J36,0))</x:f>
      </x:c>
      <x:c r="P36" s="115" t="str">
        <x:f>IF($A36="","",IFERROR($I36*$J36*'Ayarlar'!$B$7*'Ayarlar'!$B$6,0))</x:f>
      </x:c>
      <x:c r="Q36" s="115" t="str">
        <x:f>IF($A36="","",IFERROR($I36*$J36*'Ayarlar'!$B$5,0))</x:f>
      </x:c>
      <x:c r="R36" s="115" t="str">
        <x:f>IF($A36="","",IFERROR(($K36+$L36)*'Ayarlar'!$B$8,0))</x:f>
      </x:c>
      <x:c r="S36" s="115" t="str">
        <x:f>IF($A36="","",SUM($N36:$R36)+$M36)</x:f>
      </x:c>
      <x:c r="T36" s="107" t="str">
        <x:f>IF($A36="","",'Ayarlar'!$B$9)</x:f>
      </x:c>
      <x:c r="U36" s="116" t="str">
        <x:f>IF($A36="","",ROUND($S36*(1+$T36),0))</x:f>
      </x:c>
      <x:c r="V36" s="116" t="str">
        <x:f>IF($A36="","",MAX($U36,'Ayarlar'!$B$4))</x:f>
      </x:c>
      <x:c r="W36" s="116"/>
      <x:c r="X36" s="116" t="str">
        <x:f>IF($A36="","",$V36-$W36)</x:f>
      </x:c>
      <x:c r="Y36" s="95"/>
      <x:c r="Z36" s="95"/>
    </x:row>
    <x:row r="37">
      <x:c r="A37" s="95"/>
      <x:c r="B37" s="114"/>
      <x:c r="C37" s="95"/>
      <x:c r="D37" s="95"/>
      <x:c r="E37" s="95"/>
      <x:c r="F37" s="95"/>
      <x:c r="G37" s="106"/>
      <x:c r="H37" s="106"/>
      <x:c r="I37" s="106"/>
      <x:c r="J37" s="106"/>
      <x:c r="K37" s="106"/>
      <x:c r="L37" s="106"/>
      <x:c r="M37" s="106"/>
      <x:c r="N37" s="115" t="str">
        <x:f>IF($A37="","",IFERROR($G37*(1+'Ayarlar'!$B$10)*VLOOKUP($E37,'Ayarlar'!$A$16:$C$22,3,FALSE)*$J37,0))</x:f>
      </x:c>
      <x:c r="O37" s="115" t="str">
        <x:f>IF($A37="","",IFERROR($H37*(1+'Ayarlar'!$B$10)*VLOOKUP("Support",'Ayarlar'!$A$16:$C$22,3,FALSE)*$J37,0))</x:f>
      </x:c>
      <x:c r="P37" s="115" t="str">
        <x:f>IF($A37="","",IFERROR($I37*$J37*'Ayarlar'!$B$7*'Ayarlar'!$B$6,0))</x:f>
      </x:c>
      <x:c r="Q37" s="115" t="str">
        <x:f>IF($A37="","",IFERROR($I37*$J37*'Ayarlar'!$B$5,0))</x:f>
      </x:c>
      <x:c r="R37" s="115" t="str">
        <x:f>IF($A37="","",IFERROR(($K37+$L37)*'Ayarlar'!$B$8,0))</x:f>
      </x:c>
      <x:c r="S37" s="115" t="str">
        <x:f>IF($A37="","",SUM($N37:$R37)+$M37)</x:f>
      </x:c>
      <x:c r="T37" s="107" t="str">
        <x:f>IF($A37="","",'Ayarlar'!$B$9)</x:f>
      </x:c>
      <x:c r="U37" s="116" t="str">
        <x:f>IF($A37="","",ROUND($S37*(1+$T37),0))</x:f>
      </x:c>
      <x:c r="V37" s="116" t="str">
        <x:f>IF($A37="","",MAX($U37,'Ayarlar'!$B$4))</x:f>
      </x:c>
      <x:c r="W37" s="116"/>
      <x:c r="X37" s="116" t="str">
        <x:f>IF($A37="","",$V37-$W37)</x:f>
      </x:c>
      <x:c r="Y37" s="95"/>
      <x:c r="Z37" s="95"/>
    </x:row>
    <x:row r="38">
      <x:c r="A38" s="95"/>
      <x:c r="B38" s="114"/>
      <x:c r="C38" s="95"/>
      <x:c r="D38" s="95"/>
      <x:c r="E38" s="95"/>
      <x:c r="F38" s="95"/>
      <x:c r="G38" s="106"/>
      <x:c r="H38" s="106"/>
      <x:c r="I38" s="106"/>
      <x:c r="J38" s="106"/>
      <x:c r="K38" s="106"/>
      <x:c r="L38" s="106"/>
      <x:c r="M38" s="106"/>
      <x:c r="N38" s="115" t="str">
        <x:f>IF($A38="","",IFERROR($G38*(1+'Ayarlar'!$B$10)*VLOOKUP($E38,'Ayarlar'!$A$16:$C$22,3,FALSE)*$J38,0))</x:f>
      </x:c>
      <x:c r="O38" s="115" t="str">
        <x:f>IF($A38="","",IFERROR($H38*(1+'Ayarlar'!$B$10)*VLOOKUP("Support",'Ayarlar'!$A$16:$C$22,3,FALSE)*$J38,0))</x:f>
      </x:c>
      <x:c r="P38" s="115" t="str">
        <x:f>IF($A38="","",IFERROR($I38*$J38*'Ayarlar'!$B$7*'Ayarlar'!$B$6,0))</x:f>
      </x:c>
      <x:c r="Q38" s="115" t="str">
        <x:f>IF($A38="","",IFERROR($I38*$J38*'Ayarlar'!$B$5,0))</x:f>
      </x:c>
      <x:c r="R38" s="115" t="str">
        <x:f>IF($A38="","",IFERROR(($K38+$L38)*'Ayarlar'!$B$8,0))</x:f>
      </x:c>
      <x:c r="S38" s="115" t="str">
        <x:f>IF($A38="","",SUM($N38:$R38)+$M38)</x:f>
      </x:c>
      <x:c r="T38" s="107" t="str">
        <x:f>IF($A38="","",'Ayarlar'!$B$9)</x:f>
      </x:c>
      <x:c r="U38" s="116" t="str">
        <x:f>IF($A38="","",ROUND($S38*(1+$T38),0))</x:f>
      </x:c>
      <x:c r="V38" s="116" t="str">
        <x:f>IF($A38="","",MAX($U38,'Ayarlar'!$B$4))</x:f>
      </x:c>
      <x:c r="W38" s="116"/>
      <x:c r="X38" s="116" t="str">
        <x:f>IF($A38="","",$V38-$W38)</x:f>
      </x:c>
      <x:c r="Y38" s="95"/>
      <x:c r="Z38" s="95"/>
    </x:row>
    <x:row r="39">
      <x:c r="A39" s="95"/>
      <x:c r="B39" s="114"/>
      <x:c r="C39" s="95"/>
      <x:c r="D39" s="95"/>
      <x:c r="E39" s="95"/>
      <x:c r="F39" s="95"/>
      <x:c r="G39" s="106"/>
      <x:c r="H39" s="106"/>
      <x:c r="I39" s="106"/>
      <x:c r="J39" s="106"/>
      <x:c r="K39" s="106"/>
      <x:c r="L39" s="106"/>
      <x:c r="M39" s="106"/>
      <x:c r="N39" s="115" t="str">
        <x:f>IF($A39="","",IFERROR($G39*(1+'Ayarlar'!$B$10)*VLOOKUP($E39,'Ayarlar'!$A$16:$C$22,3,FALSE)*$J39,0))</x:f>
      </x:c>
      <x:c r="O39" s="115" t="str">
        <x:f>IF($A39="","",IFERROR($H39*(1+'Ayarlar'!$B$10)*VLOOKUP("Support",'Ayarlar'!$A$16:$C$22,3,FALSE)*$J39,0))</x:f>
      </x:c>
      <x:c r="P39" s="115" t="str">
        <x:f>IF($A39="","",IFERROR($I39*$J39*'Ayarlar'!$B$7*'Ayarlar'!$B$6,0))</x:f>
      </x:c>
      <x:c r="Q39" s="115" t="str">
        <x:f>IF($A39="","",IFERROR($I39*$J39*'Ayarlar'!$B$5,0))</x:f>
      </x:c>
      <x:c r="R39" s="115" t="str">
        <x:f>IF($A39="","",IFERROR(($K39+$L39)*'Ayarlar'!$B$8,0))</x:f>
      </x:c>
      <x:c r="S39" s="115" t="str">
        <x:f>IF($A39="","",SUM($N39:$R39)+$M39)</x:f>
      </x:c>
      <x:c r="T39" s="107" t="str">
        <x:f>IF($A39="","",'Ayarlar'!$B$9)</x:f>
      </x:c>
      <x:c r="U39" s="116" t="str">
        <x:f>IF($A39="","",ROUND($S39*(1+$T39),0))</x:f>
      </x:c>
      <x:c r="V39" s="116" t="str">
        <x:f>IF($A39="","",MAX($U39,'Ayarlar'!$B$4))</x:f>
      </x:c>
      <x:c r="W39" s="116"/>
      <x:c r="X39" s="116" t="str">
        <x:f>IF($A39="","",$V39-$W39)</x:f>
      </x:c>
      <x:c r="Y39" s="95"/>
      <x:c r="Z39" s="95"/>
    </x:row>
    <x:row r="40">
      <x:c r="A40" s="95"/>
      <x:c r="B40" s="114"/>
      <x:c r="C40" s="95"/>
      <x:c r="D40" s="95"/>
      <x:c r="E40" s="95"/>
      <x:c r="F40" s="95"/>
      <x:c r="G40" s="106"/>
      <x:c r="H40" s="106"/>
      <x:c r="I40" s="106"/>
      <x:c r="J40" s="106"/>
      <x:c r="K40" s="106"/>
      <x:c r="L40" s="106"/>
      <x:c r="M40" s="106"/>
      <x:c r="N40" s="115" t="str">
        <x:f>IF($A40="","",IFERROR($G40*(1+'Ayarlar'!$B$10)*VLOOKUP($E40,'Ayarlar'!$A$16:$C$22,3,FALSE)*$J40,0))</x:f>
      </x:c>
      <x:c r="O40" s="115" t="str">
        <x:f>IF($A40="","",IFERROR($H40*(1+'Ayarlar'!$B$10)*VLOOKUP("Support",'Ayarlar'!$A$16:$C$22,3,FALSE)*$J40,0))</x:f>
      </x:c>
      <x:c r="P40" s="115" t="str">
        <x:f>IF($A40="","",IFERROR($I40*$J40*'Ayarlar'!$B$7*'Ayarlar'!$B$6,0))</x:f>
      </x:c>
      <x:c r="Q40" s="115" t="str">
        <x:f>IF($A40="","",IFERROR($I40*$J40*'Ayarlar'!$B$5,0))</x:f>
      </x:c>
      <x:c r="R40" s="115" t="str">
        <x:f>IF($A40="","",IFERROR(($K40+$L40)*'Ayarlar'!$B$8,0))</x:f>
      </x:c>
      <x:c r="S40" s="115" t="str">
        <x:f>IF($A40="","",SUM($N40:$R40)+$M40)</x:f>
      </x:c>
      <x:c r="T40" s="107" t="str">
        <x:f>IF($A40="","",'Ayarlar'!$B$9)</x:f>
      </x:c>
      <x:c r="U40" s="116" t="str">
        <x:f>IF($A40="","",ROUND($S40*(1+$T40),0))</x:f>
      </x:c>
      <x:c r="V40" s="116" t="str">
        <x:f>IF($A40="","",MAX($U40,'Ayarlar'!$B$4))</x:f>
      </x:c>
      <x:c r="W40" s="116"/>
      <x:c r="X40" s="116" t="str">
        <x:f>IF($A40="","",$V40-$W40)</x:f>
      </x:c>
      <x:c r="Y40" s="95"/>
      <x:c r="Z40" s="95"/>
    </x:row>
    <x:row r="41">
      <x:c r="A41" s="95"/>
      <x:c r="B41" s="114"/>
      <x:c r="C41" s="95"/>
      <x:c r="D41" s="95"/>
      <x:c r="E41" s="95"/>
      <x:c r="F41" s="95"/>
      <x:c r="G41" s="106"/>
      <x:c r="H41" s="106"/>
      <x:c r="I41" s="106"/>
      <x:c r="J41" s="106"/>
      <x:c r="K41" s="106"/>
      <x:c r="L41" s="106"/>
      <x:c r="M41" s="106"/>
      <x:c r="N41" s="115" t="str">
        <x:f>IF($A41="","",IFERROR($G41*(1+'Ayarlar'!$B$10)*VLOOKUP($E41,'Ayarlar'!$A$16:$C$22,3,FALSE)*$J41,0))</x:f>
      </x:c>
      <x:c r="O41" s="115" t="str">
        <x:f>IF($A41="","",IFERROR($H41*(1+'Ayarlar'!$B$10)*VLOOKUP("Support",'Ayarlar'!$A$16:$C$22,3,FALSE)*$J41,0))</x:f>
      </x:c>
      <x:c r="P41" s="115" t="str">
        <x:f>IF($A41="","",IFERROR($I41*$J41*'Ayarlar'!$B$7*'Ayarlar'!$B$6,0))</x:f>
      </x:c>
      <x:c r="Q41" s="115" t="str">
        <x:f>IF($A41="","",IFERROR($I41*$J41*'Ayarlar'!$B$5,0))</x:f>
      </x:c>
      <x:c r="R41" s="115" t="str">
        <x:f>IF($A41="","",IFERROR(($K41+$L41)*'Ayarlar'!$B$8,0))</x:f>
      </x:c>
      <x:c r="S41" s="115" t="str">
        <x:f>IF($A41="","",SUM($N41:$R41)+$M41)</x:f>
      </x:c>
      <x:c r="T41" s="107" t="str">
        <x:f>IF($A41="","",'Ayarlar'!$B$9)</x:f>
      </x:c>
      <x:c r="U41" s="116" t="str">
        <x:f>IF($A41="","",ROUND($S41*(1+$T41),0))</x:f>
      </x:c>
      <x:c r="V41" s="116" t="str">
        <x:f>IF($A41="","",MAX($U41,'Ayarlar'!$B$4))</x:f>
      </x:c>
      <x:c r="W41" s="116"/>
      <x:c r="X41" s="116" t="str">
        <x:f>IF($A41="","",$V41-$W41)</x:f>
      </x:c>
      <x:c r="Y41" s="95"/>
      <x:c r="Z41" s="95"/>
    </x:row>
    <x:row r="42">
      <x:c r="A42" s="95"/>
      <x:c r="B42" s="114"/>
      <x:c r="C42" s="95"/>
      <x:c r="D42" s="95"/>
      <x:c r="E42" s="95"/>
      <x:c r="F42" s="95"/>
      <x:c r="G42" s="106"/>
      <x:c r="H42" s="106"/>
      <x:c r="I42" s="106"/>
      <x:c r="J42" s="106"/>
      <x:c r="K42" s="106"/>
      <x:c r="L42" s="106"/>
      <x:c r="M42" s="106"/>
      <x:c r="N42" s="115" t="str">
        <x:f>IF($A42="","",IFERROR($G42*(1+'Ayarlar'!$B$10)*VLOOKUP($E42,'Ayarlar'!$A$16:$C$22,3,FALSE)*$J42,0))</x:f>
      </x:c>
      <x:c r="O42" s="115" t="str">
        <x:f>IF($A42="","",IFERROR($H42*(1+'Ayarlar'!$B$10)*VLOOKUP("Support",'Ayarlar'!$A$16:$C$22,3,FALSE)*$J42,0))</x:f>
      </x:c>
      <x:c r="P42" s="115" t="str">
        <x:f>IF($A42="","",IFERROR($I42*$J42*'Ayarlar'!$B$7*'Ayarlar'!$B$6,0))</x:f>
      </x:c>
      <x:c r="Q42" s="115" t="str">
        <x:f>IF($A42="","",IFERROR($I42*$J42*'Ayarlar'!$B$5,0))</x:f>
      </x:c>
      <x:c r="R42" s="115" t="str">
        <x:f>IF($A42="","",IFERROR(($K42+$L42)*'Ayarlar'!$B$8,0))</x:f>
      </x:c>
      <x:c r="S42" s="115" t="str">
        <x:f>IF($A42="","",SUM($N42:$R42)+$M42)</x:f>
      </x:c>
      <x:c r="T42" s="107" t="str">
        <x:f>IF($A42="","",'Ayarlar'!$B$9)</x:f>
      </x:c>
      <x:c r="U42" s="116" t="str">
        <x:f>IF($A42="","",ROUND($S42*(1+$T42),0))</x:f>
      </x:c>
      <x:c r="V42" s="116" t="str">
        <x:f>IF($A42="","",MAX($U42,'Ayarlar'!$B$4))</x:f>
      </x:c>
      <x:c r="W42" s="116"/>
      <x:c r="X42" s="116" t="str">
        <x:f>IF($A42="","",$V42-$W42)</x:f>
      </x:c>
      <x:c r="Y42" s="95"/>
      <x:c r="Z42" s="95"/>
    </x:row>
    <x:row r="43">
      <x:c r="A43" s="95"/>
      <x:c r="B43" s="114"/>
      <x:c r="C43" s="95"/>
      <x:c r="D43" s="95"/>
      <x:c r="E43" s="95"/>
      <x:c r="F43" s="95"/>
      <x:c r="G43" s="106"/>
      <x:c r="H43" s="106"/>
      <x:c r="I43" s="106"/>
      <x:c r="J43" s="106"/>
      <x:c r="K43" s="106"/>
      <x:c r="L43" s="106"/>
      <x:c r="M43" s="106"/>
      <x:c r="N43" s="115" t="str">
        <x:f>IF($A43="","",IFERROR($G43*(1+'Ayarlar'!$B$10)*VLOOKUP($E43,'Ayarlar'!$A$16:$C$22,3,FALSE)*$J43,0))</x:f>
      </x:c>
      <x:c r="O43" s="115" t="str">
        <x:f>IF($A43="","",IFERROR($H43*(1+'Ayarlar'!$B$10)*VLOOKUP("Support",'Ayarlar'!$A$16:$C$22,3,FALSE)*$J43,0))</x:f>
      </x:c>
      <x:c r="P43" s="115" t="str">
        <x:f>IF($A43="","",IFERROR($I43*$J43*'Ayarlar'!$B$7*'Ayarlar'!$B$6,0))</x:f>
      </x:c>
      <x:c r="Q43" s="115" t="str">
        <x:f>IF($A43="","",IFERROR($I43*$J43*'Ayarlar'!$B$5,0))</x:f>
      </x:c>
      <x:c r="R43" s="115" t="str">
        <x:f>IF($A43="","",IFERROR(($K43+$L43)*'Ayarlar'!$B$8,0))</x:f>
      </x:c>
      <x:c r="S43" s="115" t="str">
        <x:f>IF($A43="","",SUM($N43:$R43)+$M43)</x:f>
      </x:c>
      <x:c r="T43" s="107" t="str">
        <x:f>IF($A43="","",'Ayarlar'!$B$9)</x:f>
      </x:c>
      <x:c r="U43" s="116" t="str">
        <x:f>IF($A43="","",ROUND($S43*(1+$T43),0))</x:f>
      </x:c>
      <x:c r="V43" s="116" t="str">
        <x:f>IF($A43="","",MAX($U43,'Ayarlar'!$B$4))</x:f>
      </x:c>
      <x:c r="W43" s="116"/>
      <x:c r="X43" s="116" t="str">
        <x:f>IF($A43="","",$V43-$W43)</x:f>
      </x:c>
      <x:c r="Y43" s="95"/>
      <x:c r="Z43" s="95"/>
    </x:row>
    <x:row r="44">
      <x:c r="A44" s="95"/>
      <x:c r="B44" s="114"/>
      <x:c r="C44" s="95"/>
      <x:c r="D44" s="95"/>
      <x:c r="E44" s="95"/>
      <x:c r="F44" s="95"/>
      <x:c r="G44" s="106"/>
      <x:c r="H44" s="106"/>
      <x:c r="I44" s="106"/>
      <x:c r="J44" s="106"/>
      <x:c r="K44" s="106"/>
      <x:c r="L44" s="106"/>
      <x:c r="M44" s="106"/>
      <x:c r="N44" s="115" t="str">
        <x:f>IF($A44="","",IFERROR($G44*(1+'Ayarlar'!$B$10)*VLOOKUP($E44,'Ayarlar'!$A$16:$C$22,3,FALSE)*$J44,0))</x:f>
      </x:c>
      <x:c r="O44" s="115" t="str">
        <x:f>IF($A44="","",IFERROR($H44*(1+'Ayarlar'!$B$10)*VLOOKUP("Support",'Ayarlar'!$A$16:$C$22,3,FALSE)*$J44,0))</x:f>
      </x:c>
      <x:c r="P44" s="115" t="str">
        <x:f>IF($A44="","",IFERROR($I44*$J44*'Ayarlar'!$B$7*'Ayarlar'!$B$6,0))</x:f>
      </x:c>
      <x:c r="Q44" s="115" t="str">
        <x:f>IF($A44="","",IFERROR($I44*$J44*'Ayarlar'!$B$5,0))</x:f>
      </x:c>
      <x:c r="R44" s="115" t="str">
        <x:f>IF($A44="","",IFERROR(($K44+$L44)*'Ayarlar'!$B$8,0))</x:f>
      </x:c>
      <x:c r="S44" s="115" t="str">
        <x:f>IF($A44="","",SUM($N44:$R44)+$M44)</x:f>
      </x:c>
      <x:c r="T44" s="107" t="str">
        <x:f>IF($A44="","",'Ayarlar'!$B$9)</x:f>
      </x:c>
      <x:c r="U44" s="116" t="str">
        <x:f>IF($A44="","",ROUND($S44*(1+$T44),0))</x:f>
      </x:c>
      <x:c r="V44" s="116" t="str">
        <x:f>IF($A44="","",MAX($U44,'Ayarlar'!$B$4))</x:f>
      </x:c>
      <x:c r="W44" s="116"/>
      <x:c r="X44" s="116" t="str">
        <x:f>IF($A44="","",$V44-$W44)</x:f>
      </x:c>
      <x:c r="Y44" s="95"/>
      <x:c r="Z44" s="95"/>
    </x:row>
    <x:row r="45">
      <x:c r="A45" s="95"/>
      <x:c r="B45" s="114"/>
      <x:c r="C45" s="95"/>
      <x:c r="D45" s="95"/>
      <x:c r="E45" s="95"/>
      <x:c r="F45" s="95"/>
      <x:c r="G45" s="106"/>
      <x:c r="H45" s="106"/>
      <x:c r="I45" s="106"/>
      <x:c r="J45" s="106"/>
      <x:c r="K45" s="106"/>
      <x:c r="L45" s="106"/>
      <x:c r="M45" s="106"/>
      <x:c r="N45" s="115" t="str">
        <x:f>IF($A45="","",IFERROR($G45*(1+'Ayarlar'!$B$10)*VLOOKUP($E45,'Ayarlar'!$A$16:$C$22,3,FALSE)*$J45,0))</x:f>
      </x:c>
      <x:c r="O45" s="115" t="str">
        <x:f>IF($A45="","",IFERROR($H45*(1+'Ayarlar'!$B$10)*VLOOKUP("Support",'Ayarlar'!$A$16:$C$22,3,FALSE)*$J45,0))</x:f>
      </x:c>
      <x:c r="P45" s="115" t="str">
        <x:f>IF($A45="","",IFERROR($I45*$J45*'Ayarlar'!$B$7*'Ayarlar'!$B$6,0))</x:f>
      </x:c>
      <x:c r="Q45" s="115" t="str">
        <x:f>IF($A45="","",IFERROR($I45*$J45*'Ayarlar'!$B$5,0))</x:f>
      </x:c>
      <x:c r="R45" s="115" t="str">
        <x:f>IF($A45="","",IFERROR(($K45+$L45)*'Ayarlar'!$B$8,0))</x:f>
      </x:c>
      <x:c r="S45" s="115" t="str">
        <x:f>IF($A45="","",SUM($N45:$R45)+$M45)</x:f>
      </x:c>
      <x:c r="T45" s="107" t="str">
        <x:f>IF($A45="","",'Ayarlar'!$B$9)</x:f>
      </x:c>
      <x:c r="U45" s="116" t="str">
        <x:f>IF($A45="","",ROUND($S45*(1+$T45),0))</x:f>
      </x:c>
      <x:c r="V45" s="116" t="str">
        <x:f>IF($A45="","",MAX($U45,'Ayarlar'!$B$4))</x:f>
      </x:c>
      <x:c r="W45" s="116"/>
      <x:c r="X45" s="116" t="str">
        <x:f>IF($A45="","",$V45-$W45)</x:f>
      </x:c>
      <x:c r="Y45" s="95"/>
      <x:c r="Z45" s="95"/>
    </x:row>
    <x:row r="46">
      <x:c r="A46" s="95"/>
      <x:c r="B46" s="114"/>
      <x:c r="C46" s="95"/>
      <x:c r="D46" s="95"/>
      <x:c r="E46" s="95"/>
      <x:c r="F46" s="95"/>
      <x:c r="G46" s="106"/>
      <x:c r="H46" s="106"/>
      <x:c r="I46" s="106"/>
      <x:c r="J46" s="106"/>
      <x:c r="K46" s="106"/>
      <x:c r="L46" s="106"/>
      <x:c r="M46" s="106"/>
      <x:c r="N46" s="115" t="str">
        <x:f>IF($A46="","",IFERROR($G46*(1+'Ayarlar'!$B$10)*VLOOKUP($E46,'Ayarlar'!$A$16:$C$22,3,FALSE)*$J46,0))</x:f>
      </x:c>
      <x:c r="O46" s="115" t="str">
        <x:f>IF($A46="","",IFERROR($H46*(1+'Ayarlar'!$B$10)*VLOOKUP("Support",'Ayarlar'!$A$16:$C$22,3,FALSE)*$J46,0))</x:f>
      </x:c>
      <x:c r="P46" s="115" t="str">
        <x:f>IF($A46="","",IFERROR($I46*$J46*'Ayarlar'!$B$7*'Ayarlar'!$B$6,0))</x:f>
      </x:c>
      <x:c r="Q46" s="115" t="str">
        <x:f>IF($A46="","",IFERROR($I46*$J46*'Ayarlar'!$B$5,0))</x:f>
      </x:c>
      <x:c r="R46" s="115" t="str">
        <x:f>IF($A46="","",IFERROR(($K46+$L46)*'Ayarlar'!$B$8,0))</x:f>
      </x:c>
      <x:c r="S46" s="115" t="str">
        <x:f>IF($A46="","",SUM($N46:$R46)+$M46)</x:f>
      </x:c>
      <x:c r="T46" s="107" t="str">
        <x:f>IF($A46="","",'Ayarlar'!$B$9)</x:f>
      </x:c>
      <x:c r="U46" s="116" t="str">
        <x:f>IF($A46="","",ROUND($S46*(1+$T46),0))</x:f>
      </x:c>
      <x:c r="V46" s="116" t="str">
        <x:f>IF($A46="","",MAX($U46,'Ayarlar'!$B$4))</x:f>
      </x:c>
      <x:c r="W46" s="116"/>
      <x:c r="X46" s="116" t="str">
        <x:f>IF($A46="","",$V46-$W46)</x:f>
      </x:c>
      <x:c r="Y46" s="95"/>
      <x:c r="Z46" s="95"/>
    </x:row>
    <x:row r="47">
      <x:c r="A47" s="95"/>
      <x:c r="B47" s="114"/>
      <x:c r="C47" s="95"/>
      <x:c r="D47" s="95"/>
      <x:c r="E47" s="95"/>
      <x:c r="F47" s="95"/>
      <x:c r="G47" s="106"/>
      <x:c r="H47" s="106"/>
      <x:c r="I47" s="106"/>
      <x:c r="J47" s="106"/>
      <x:c r="K47" s="106"/>
      <x:c r="L47" s="106"/>
      <x:c r="M47" s="106"/>
      <x:c r="N47" s="115" t="str">
        <x:f>IF($A47="","",IFERROR($G47*(1+'Ayarlar'!$B$10)*VLOOKUP($E47,'Ayarlar'!$A$16:$C$22,3,FALSE)*$J47,0))</x:f>
      </x:c>
      <x:c r="O47" s="115" t="str">
        <x:f>IF($A47="","",IFERROR($H47*(1+'Ayarlar'!$B$10)*VLOOKUP("Support",'Ayarlar'!$A$16:$C$22,3,FALSE)*$J47,0))</x:f>
      </x:c>
      <x:c r="P47" s="115" t="str">
        <x:f>IF($A47="","",IFERROR($I47*$J47*'Ayarlar'!$B$7*'Ayarlar'!$B$6,0))</x:f>
      </x:c>
      <x:c r="Q47" s="115" t="str">
        <x:f>IF($A47="","",IFERROR($I47*$J47*'Ayarlar'!$B$5,0))</x:f>
      </x:c>
      <x:c r="R47" s="115" t="str">
        <x:f>IF($A47="","",IFERROR(($K47+$L47)*'Ayarlar'!$B$8,0))</x:f>
      </x:c>
      <x:c r="S47" s="115" t="str">
        <x:f>IF($A47="","",SUM($N47:$R47)+$M47)</x:f>
      </x:c>
      <x:c r="T47" s="107" t="str">
        <x:f>IF($A47="","",'Ayarlar'!$B$9)</x:f>
      </x:c>
      <x:c r="U47" s="116" t="str">
        <x:f>IF($A47="","",ROUND($S47*(1+$T47),0))</x:f>
      </x:c>
      <x:c r="V47" s="116" t="str">
        <x:f>IF($A47="","",MAX($U47,'Ayarlar'!$B$4))</x:f>
      </x:c>
      <x:c r="W47" s="116"/>
      <x:c r="X47" s="116" t="str">
        <x:f>IF($A47="","",$V47-$W47)</x:f>
      </x:c>
      <x:c r="Y47" s="95"/>
      <x:c r="Z47" s="95"/>
    </x:row>
    <x:row r="48">
      <x:c r="A48" s="95"/>
      <x:c r="B48" s="114"/>
      <x:c r="C48" s="95"/>
      <x:c r="D48" s="95"/>
      <x:c r="E48" s="95"/>
      <x:c r="F48" s="95"/>
      <x:c r="G48" s="106"/>
      <x:c r="H48" s="106"/>
      <x:c r="I48" s="106"/>
      <x:c r="J48" s="106"/>
      <x:c r="K48" s="106"/>
      <x:c r="L48" s="106"/>
      <x:c r="M48" s="106"/>
      <x:c r="N48" s="115" t="str">
        <x:f>IF($A48="","",IFERROR($G48*(1+'Ayarlar'!$B$10)*VLOOKUP($E48,'Ayarlar'!$A$16:$C$22,3,FALSE)*$J48,0))</x:f>
      </x:c>
      <x:c r="O48" s="115" t="str">
        <x:f>IF($A48="","",IFERROR($H48*(1+'Ayarlar'!$B$10)*VLOOKUP("Support",'Ayarlar'!$A$16:$C$22,3,FALSE)*$J48,0))</x:f>
      </x:c>
      <x:c r="P48" s="115" t="str">
        <x:f>IF($A48="","",IFERROR($I48*$J48*'Ayarlar'!$B$7*'Ayarlar'!$B$6,0))</x:f>
      </x:c>
      <x:c r="Q48" s="115" t="str">
        <x:f>IF($A48="","",IFERROR($I48*$J48*'Ayarlar'!$B$5,0))</x:f>
      </x:c>
      <x:c r="R48" s="115" t="str">
        <x:f>IF($A48="","",IFERROR(($K48+$L48)*'Ayarlar'!$B$8,0))</x:f>
      </x:c>
      <x:c r="S48" s="115" t="str">
        <x:f>IF($A48="","",SUM($N48:$R48)+$M48)</x:f>
      </x:c>
      <x:c r="T48" s="107" t="str">
        <x:f>IF($A48="","",'Ayarlar'!$B$9)</x:f>
      </x:c>
      <x:c r="U48" s="116" t="str">
        <x:f>IF($A48="","",ROUND($S48*(1+$T48),0))</x:f>
      </x:c>
      <x:c r="V48" s="116" t="str">
        <x:f>IF($A48="","",MAX($U48,'Ayarlar'!$B$4))</x:f>
      </x:c>
      <x:c r="W48" s="116"/>
      <x:c r="X48" s="116" t="str">
        <x:f>IF($A48="","",$V48-$W48)</x:f>
      </x:c>
      <x:c r="Y48" s="95"/>
      <x:c r="Z48" s="95"/>
    </x:row>
    <x:row r="49">
      <x:c r="A49" s="95"/>
      <x:c r="B49" s="114"/>
      <x:c r="C49" s="95"/>
      <x:c r="D49" s="95"/>
      <x:c r="E49" s="95"/>
      <x:c r="F49" s="95"/>
      <x:c r="G49" s="106"/>
      <x:c r="H49" s="106"/>
      <x:c r="I49" s="106"/>
      <x:c r="J49" s="106"/>
      <x:c r="K49" s="106"/>
      <x:c r="L49" s="106"/>
      <x:c r="M49" s="106"/>
      <x:c r="N49" s="115" t="str">
        <x:f>IF($A49="","",IFERROR($G49*(1+'Ayarlar'!$B$10)*VLOOKUP($E49,'Ayarlar'!$A$16:$C$22,3,FALSE)*$J49,0))</x:f>
      </x:c>
      <x:c r="O49" s="115" t="str">
        <x:f>IF($A49="","",IFERROR($H49*(1+'Ayarlar'!$B$10)*VLOOKUP("Support",'Ayarlar'!$A$16:$C$22,3,FALSE)*$J49,0))</x:f>
      </x:c>
      <x:c r="P49" s="115" t="str">
        <x:f>IF($A49="","",IFERROR($I49*$J49*'Ayarlar'!$B$7*'Ayarlar'!$B$6,0))</x:f>
      </x:c>
      <x:c r="Q49" s="115" t="str">
        <x:f>IF($A49="","",IFERROR($I49*$J49*'Ayarlar'!$B$5,0))</x:f>
      </x:c>
      <x:c r="R49" s="115" t="str">
        <x:f>IF($A49="","",IFERROR(($K49+$L49)*'Ayarlar'!$B$8,0))</x:f>
      </x:c>
      <x:c r="S49" s="115" t="str">
        <x:f>IF($A49="","",SUM($N49:$R49)+$M49)</x:f>
      </x:c>
      <x:c r="T49" s="107" t="str">
        <x:f>IF($A49="","",'Ayarlar'!$B$9)</x:f>
      </x:c>
      <x:c r="U49" s="116" t="str">
        <x:f>IF($A49="","",ROUND($S49*(1+$T49),0))</x:f>
      </x:c>
      <x:c r="V49" s="116" t="str">
        <x:f>IF($A49="","",MAX($U49,'Ayarlar'!$B$4))</x:f>
      </x:c>
      <x:c r="W49" s="116"/>
      <x:c r="X49" s="116" t="str">
        <x:f>IF($A49="","",$V49-$W49)</x:f>
      </x:c>
      <x:c r="Y49" s="95"/>
      <x:c r="Z49" s="95"/>
    </x:row>
    <x:row r="50">
      <x:c r="A50" s="95"/>
      <x:c r="B50" s="114"/>
      <x:c r="C50" s="95"/>
      <x:c r="D50" s="95"/>
      <x:c r="E50" s="95"/>
      <x:c r="F50" s="95"/>
      <x:c r="G50" s="106"/>
      <x:c r="H50" s="106"/>
      <x:c r="I50" s="106"/>
      <x:c r="J50" s="106"/>
      <x:c r="K50" s="106"/>
      <x:c r="L50" s="106"/>
      <x:c r="M50" s="106"/>
      <x:c r="N50" s="115" t="str">
        <x:f>IF($A50="","",IFERROR($G50*(1+'Ayarlar'!$B$10)*VLOOKUP($E50,'Ayarlar'!$A$16:$C$22,3,FALSE)*$J50,0))</x:f>
      </x:c>
      <x:c r="O50" s="115" t="str">
        <x:f>IF($A50="","",IFERROR($H50*(1+'Ayarlar'!$B$10)*VLOOKUP("Support",'Ayarlar'!$A$16:$C$22,3,FALSE)*$J50,0))</x:f>
      </x:c>
      <x:c r="P50" s="115" t="str">
        <x:f>IF($A50="","",IFERROR($I50*$J50*'Ayarlar'!$B$7*'Ayarlar'!$B$6,0))</x:f>
      </x:c>
      <x:c r="Q50" s="115" t="str">
        <x:f>IF($A50="","",IFERROR($I50*$J50*'Ayarlar'!$B$5,0))</x:f>
      </x:c>
      <x:c r="R50" s="115" t="str">
        <x:f>IF($A50="","",IFERROR(($K50+$L50)*'Ayarlar'!$B$8,0))</x:f>
      </x:c>
      <x:c r="S50" s="115" t="str">
        <x:f>IF($A50="","",SUM($N50:$R50)+$M50)</x:f>
      </x:c>
      <x:c r="T50" s="107" t="str">
        <x:f>IF($A50="","",'Ayarlar'!$B$9)</x:f>
      </x:c>
      <x:c r="U50" s="116" t="str">
        <x:f>IF($A50="","",ROUND($S50*(1+$T50),0))</x:f>
      </x:c>
      <x:c r="V50" s="116" t="str">
        <x:f>IF($A50="","",MAX($U50,'Ayarlar'!$B$4))</x:f>
      </x:c>
      <x:c r="W50" s="116"/>
      <x:c r="X50" s="116" t="str">
        <x:f>IF($A50="","",$V50-$W50)</x:f>
      </x:c>
      <x:c r="Y50" s="95"/>
      <x:c r="Z50" s="95"/>
    </x:row>
    <x:row r="51">
      <x:c r="A51" s="95"/>
      <x:c r="B51" s="114"/>
      <x:c r="C51" s="95"/>
      <x:c r="D51" s="95"/>
      <x:c r="E51" s="95"/>
      <x:c r="F51" s="95"/>
      <x:c r="G51" s="106"/>
      <x:c r="H51" s="106"/>
      <x:c r="I51" s="106"/>
      <x:c r="J51" s="106"/>
      <x:c r="K51" s="106"/>
      <x:c r="L51" s="106"/>
      <x:c r="M51" s="106"/>
      <x:c r="N51" s="115" t="str">
        <x:f>IF($A51="","",IFERROR($G51*(1+'Ayarlar'!$B$10)*VLOOKUP($E51,'Ayarlar'!$A$16:$C$22,3,FALSE)*$J51,0))</x:f>
      </x:c>
      <x:c r="O51" s="115" t="str">
        <x:f>IF($A51="","",IFERROR($H51*(1+'Ayarlar'!$B$10)*VLOOKUP("Support",'Ayarlar'!$A$16:$C$22,3,FALSE)*$J51,0))</x:f>
      </x:c>
      <x:c r="P51" s="115" t="str">
        <x:f>IF($A51="","",IFERROR($I51*$J51*'Ayarlar'!$B$7*'Ayarlar'!$B$6,0))</x:f>
      </x:c>
      <x:c r="Q51" s="115" t="str">
        <x:f>IF($A51="","",IFERROR($I51*$J51*'Ayarlar'!$B$5,0))</x:f>
      </x:c>
      <x:c r="R51" s="115" t="str">
        <x:f>IF($A51="","",IFERROR(($K51+$L51)*'Ayarlar'!$B$8,0))</x:f>
      </x:c>
      <x:c r="S51" s="115" t="str">
        <x:f>IF($A51="","",SUM($N51:$R51)+$M51)</x:f>
      </x:c>
      <x:c r="T51" s="107" t="str">
        <x:f>IF($A51="","",'Ayarlar'!$B$9)</x:f>
      </x:c>
      <x:c r="U51" s="116" t="str">
        <x:f>IF($A51="","",ROUND($S51*(1+$T51),0))</x:f>
      </x:c>
      <x:c r="V51" s="116" t="str">
        <x:f>IF($A51="","",MAX($U51,'Ayarlar'!$B$4))</x:f>
      </x:c>
      <x:c r="W51" s="116"/>
      <x:c r="X51" s="116" t="str">
        <x:f>IF($A51="","",$V51-$W51)</x:f>
      </x:c>
      <x:c r="Y51" s="95"/>
      <x:c r="Z51" s="95"/>
    </x:row>
    <x:row r="52">
      <x:c r="A52" s="95"/>
      <x:c r="B52" s="114"/>
      <x:c r="C52" s="95"/>
      <x:c r="D52" s="95"/>
      <x:c r="E52" s="95"/>
      <x:c r="F52" s="95"/>
      <x:c r="G52" s="106"/>
      <x:c r="H52" s="106"/>
      <x:c r="I52" s="106"/>
      <x:c r="J52" s="106"/>
      <x:c r="K52" s="106"/>
      <x:c r="L52" s="106"/>
      <x:c r="M52" s="106"/>
      <x:c r="N52" s="115" t="str">
        <x:f>IF($A52="","",IFERROR($G52*(1+'Ayarlar'!$B$10)*VLOOKUP($E52,'Ayarlar'!$A$16:$C$22,3,FALSE)*$J52,0))</x:f>
      </x:c>
      <x:c r="O52" s="115" t="str">
        <x:f>IF($A52="","",IFERROR($H52*(1+'Ayarlar'!$B$10)*VLOOKUP("Support",'Ayarlar'!$A$16:$C$22,3,FALSE)*$J52,0))</x:f>
      </x:c>
      <x:c r="P52" s="115" t="str">
        <x:f>IF($A52="","",IFERROR($I52*$J52*'Ayarlar'!$B$7*'Ayarlar'!$B$6,0))</x:f>
      </x:c>
      <x:c r="Q52" s="115" t="str">
        <x:f>IF($A52="","",IFERROR($I52*$J52*'Ayarlar'!$B$5,0))</x:f>
      </x:c>
      <x:c r="R52" s="115" t="str">
        <x:f>IF($A52="","",IFERROR(($K52+$L52)*'Ayarlar'!$B$8,0))</x:f>
      </x:c>
      <x:c r="S52" s="115" t="str">
        <x:f>IF($A52="","",SUM($N52:$R52)+$M52)</x:f>
      </x:c>
      <x:c r="T52" s="107" t="str">
        <x:f>IF($A52="","",'Ayarlar'!$B$9)</x:f>
      </x:c>
      <x:c r="U52" s="116" t="str">
        <x:f>IF($A52="","",ROUND($S52*(1+$T52),0))</x:f>
      </x:c>
      <x:c r="V52" s="116" t="str">
        <x:f>IF($A52="","",MAX($U52,'Ayarlar'!$B$4))</x:f>
      </x:c>
      <x:c r="W52" s="116"/>
      <x:c r="X52" s="116" t="str">
        <x:f>IF($A52="","",$V52-$W52)</x:f>
      </x:c>
      <x:c r="Y52" s="95"/>
      <x:c r="Z52" s="95"/>
    </x:row>
    <x:row r="53">
      <x:c r="A53" s="95"/>
      <x:c r="B53" s="114"/>
      <x:c r="C53" s="95"/>
      <x:c r="D53" s="95"/>
      <x:c r="E53" s="95"/>
      <x:c r="F53" s="95"/>
      <x:c r="G53" s="106"/>
      <x:c r="H53" s="106"/>
      <x:c r="I53" s="106"/>
      <x:c r="J53" s="106"/>
      <x:c r="K53" s="106"/>
      <x:c r="L53" s="106"/>
      <x:c r="M53" s="106"/>
      <x:c r="N53" s="115" t="str">
        <x:f>IF($A53="","",IFERROR($G53*(1+'Ayarlar'!$B$10)*VLOOKUP($E53,'Ayarlar'!$A$16:$C$22,3,FALSE)*$J53,0))</x:f>
      </x:c>
      <x:c r="O53" s="115" t="str">
        <x:f>IF($A53="","",IFERROR($H53*(1+'Ayarlar'!$B$10)*VLOOKUP("Support",'Ayarlar'!$A$16:$C$22,3,FALSE)*$J53,0))</x:f>
      </x:c>
      <x:c r="P53" s="115" t="str">
        <x:f>IF($A53="","",IFERROR($I53*$J53*'Ayarlar'!$B$7*'Ayarlar'!$B$6,0))</x:f>
      </x:c>
      <x:c r="Q53" s="115" t="str">
        <x:f>IF($A53="","",IFERROR($I53*$J53*'Ayarlar'!$B$5,0))</x:f>
      </x:c>
      <x:c r="R53" s="115" t="str">
        <x:f>IF($A53="","",IFERROR(($K53+$L53)*'Ayarlar'!$B$8,0))</x:f>
      </x:c>
      <x:c r="S53" s="115" t="str">
        <x:f>IF($A53="","",SUM($N53:$R53)+$M53)</x:f>
      </x:c>
      <x:c r="T53" s="107" t="str">
        <x:f>IF($A53="","",'Ayarlar'!$B$9)</x:f>
      </x:c>
      <x:c r="U53" s="116" t="str">
        <x:f>IF($A53="","",ROUND($S53*(1+$T53),0))</x:f>
      </x:c>
      <x:c r="V53" s="116" t="str">
        <x:f>IF($A53="","",MAX($U53,'Ayarlar'!$B$4))</x:f>
      </x:c>
      <x:c r="W53" s="116"/>
      <x:c r="X53" s="116" t="str">
        <x:f>IF($A53="","",$V53-$W53)</x:f>
      </x:c>
      <x:c r="Y53" s="95"/>
      <x:c r="Z53" s="95"/>
    </x:row>
    <x:row r="54">
      <x:c r="A54" s="95"/>
      <x:c r="B54" s="114"/>
      <x:c r="C54" s="95"/>
      <x:c r="D54" s="95"/>
      <x:c r="E54" s="95"/>
      <x:c r="F54" s="95"/>
      <x:c r="G54" s="106"/>
      <x:c r="H54" s="106"/>
      <x:c r="I54" s="106"/>
      <x:c r="J54" s="106"/>
      <x:c r="K54" s="106"/>
      <x:c r="L54" s="106"/>
      <x:c r="M54" s="106"/>
      <x:c r="N54" s="115" t="str">
        <x:f>IF($A54="","",IFERROR($G54*(1+'Ayarlar'!$B$10)*VLOOKUP($E54,'Ayarlar'!$A$16:$C$22,3,FALSE)*$J54,0))</x:f>
      </x:c>
      <x:c r="O54" s="115" t="str">
        <x:f>IF($A54="","",IFERROR($H54*(1+'Ayarlar'!$B$10)*VLOOKUP("Support",'Ayarlar'!$A$16:$C$22,3,FALSE)*$J54,0))</x:f>
      </x:c>
      <x:c r="P54" s="115" t="str">
        <x:f>IF($A54="","",IFERROR($I54*$J54*'Ayarlar'!$B$7*'Ayarlar'!$B$6,0))</x:f>
      </x:c>
      <x:c r="Q54" s="115" t="str">
        <x:f>IF($A54="","",IFERROR($I54*$J54*'Ayarlar'!$B$5,0))</x:f>
      </x:c>
      <x:c r="R54" s="115" t="str">
        <x:f>IF($A54="","",IFERROR(($K54+$L54)*'Ayarlar'!$B$8,0))</x:f>
      </x:c>
      <x:c r="S54" s="115" t="str">
        <x:f>IF($A54="","",SUM($N54:$R54)+$M54)</x:f>
      </x:c>
      <x:c r="T54" s="107" t="str">
        <x:f>IF($A54="","",'Ayarlar'!$B$9)</x:f>
      </x:c>
      <x:c r="U54" s="116" t="str">
        <x:f>IF($A54="","",ROUND($S54*(1+$T54),0))</x:f>
      </x:c>
      <x:c r="V54" s="116" t="str">
        <x:f>IF($A54="","",MAX($U54,'Ayarlar'!$B$4))</x:f>
      </x:c>
      <x:c r="W54" s="116"/>
      <x:c r="X54" s="116" t="str">
        <x:f>IF($A54="","",$V54-$W54)</x:f>
      </x:c>
      <x:c r="Y54" s="95"/>
      <x:c r="Z54" s="95"/>
    </x:row>
    <x:row r="55">
      <x:c r="A55" s="95"/>
      <x:c r="B55" s="114"/>
      <x:c r="C55" s="95"/>
      <x:c r="D55" s="95"/>
      <x:c r="E55" s="95"/>
      <x:c r="F55" s="95"/>
      <x:c r="G55" s="106"/>
      <x:c r="H55" s="106"/>
      <x:c r="I55" s="106"/>
      <x:c r="J55" s="106"/>
      <x:c r="K55" s="106"/>
      <x:c r="L55" s="106"/>
      <x:c r="M55" s="106"/>
      <x:c r="N55" s="115" t="str">
        <x:f>IF($A55="","",IFERROR($G55*(1+'Ayarlar'!$B$10)*VLOOKUP($E55,'Ayarlar'!$A$16:$C$22,3,FALSE)*$J55,0))</x:f>
      </x:c>
      <x:c r="O55" s="115" t="str">
        <x:f>IF($A55="","",IFERROR($H55*(1+'Ayarlar'!$B$10)*VLOOKUP("Support",'Ayarlar'!$A$16:$C$22,3,FALSE)*$J55,0))</x:f>
      </x:c>
      <x:c r="P55" s="115" t="str">
        <x:f>IF($A55="","",IFERROR($I55*$J55*'Ayarlar'!$B$7*'Ayarlar'!$B$6,0))</x:f>
      </x:c>
      <x:c r="Q55" s="115" t="str">
        <x:f>IF($A55="","",IFERROR($I55*$J55*'Ayarlar'!$B$5,0))</x:f>
      </x:c>
      <x:c r="R55" s="115" t="str">
        <x:f>IF($A55="","",IFERROR(($K55+$L55)*'Ayarlar'!$B$8,0))</x:f>
      </x:c>
      <x:c r="S55" s="115" t="str">
        <x:f>IF($A55="","",SUM($N55:$R55)+$M55)</x:f>
      </x:c>
      <x:c r="T55" s="107" t="str">
        <x:f>IF($A55="","",'Ayarlar'!$B$9)</x:f>
      </x:c>
      <x:c r="U55" s="116" t="str">
        <x:f>IF($A55="","",ROUND($S55*(1+$T55),0))</x:f>
      </x:c>
      <x:c r="V55" s="116" t="str">
        <x:f>IF($A55="","",MAX($U55,'Ayarlar'!$B$4))</x:f>
      </x:c>
      <x:c r="W55" s="116"/>
      <x:c r="X55" s="116" t="str">
        <x:f>IF($A55="","",$V55-$W55)</x:f>
      </x:c>
      <x:c r="Y55" s="95"/>
      <x:c r="Z55" s="95"/>
    </x:row>
    <x:row r="56">
      <x:c r="A56" s="95"/>
      <x:c r="B56" s="114"/>
      <x:c r="C56" s="95"/>
      <x:c r="D56" s="95"/>
      <x:c r="E56" s="95"/>
      <x:c r="F56" s="95"/>
      <x:c r="G56" s="106"/>
      <x:c r="H56" s="106"/>
      <x:c r="I56" s="106"/>
      <x:c r="J56" s="106"/>
      <x:c r="K56" s="106"/>
      <x:c r="L56" s="106"/>
      <x:c r="M56" s="106"/>
      <x:c r="N56" s="115" t="str">
        <x:f>IF($A56="","",IFERROR($G56*(1+'Ayarlar'!$B$10)*VLOOKUP($E56,'Ayarlar'!$A$16:$C$22,3,FALSE)*$J56,0))</x:f>
      </x:c>
      <x:c r="O56" s="115" t="str">
        <x:f>IF($A56="","",IFERROR($H56*(1+'Ayarlar'!$B$10)*VLOOKUP("Support",'Ayarlar'!$A$16:$C$22,3,FALSE)*$J56,0))</x:f>
      </x:c>
      <x:c r="P56" s="115" t="str">
        <x:f>IF($A56="","",IFERROR($I56*$J56*'Ayarlar'!$B$7*'Ayarlar'!$B$6,0))</x:f>
      </x:c>
      <x:c r="Q56" s="115" t="str">
        <x:f>IF($A56="","",IFERROR($I56*$J56*'Ayarlar'!$B$5,0))</x:f>
      </x:c>
      <x:c r="R56" s="115" t="str">
        <x:f>IF($A56="","",IFERROR(($K56+$L56)*'Ayarlar'!$B$8,0))</x:f>
      </x:c>
      <x:c r="S56" s="115" t="str">
        <x:f>IF($A56="","",SUM($N56:$R56)+$M56)</x:f>
      </x:c>
      <x:c r="T56" s="107" t="str">
        <x:f>IF($A56="","",'Ayarlar'!$B$9)</x:f>
      </x:c>
      <x:c r="U56" s="116" t="str">
        <x:f>IF($A56="","",ROUND($S56*(1+$T56),0))</x:f>
      </x:c>
      <x:c r="V56" s="116" t="str">
        <x:f>IF($A56="","",MAX($U56,'Ayarlar'!$B$4))</x:f>
      </x:c>
      <x:c r="W56" s="116"/>
      <x:c r="X56" s="116" t="str">
        <x:f>IF($A56="","",$V56-$W56)</x:f>
      </x:c>
      <x:c r="Y56" s="95"/>
      <x:c r="Z56" s="95"/>
    </x:row>
    <x:row r="57">
      <x:c r="A57" s="95"/>
      <x:c r="B57" s="114"/>
      <x:c r="C57" s="95"/>
      <x:c r="D57" s="95"/>
      <x:c r="E57" s="95"/>
      <x:c r="F57" s="95"/>
      <x:c r="G57" s="106"/>
      <x:c r="H57" s="106"/>
      <x:c r="I57" s="106"/>
      <x:c r="J57" s="106"/>
      <x:c r="K57" s="106"/>
      <x:c r="L57" s="106"/>
      <x:c r="M57" s="106"/>
      <x:c r="N57" s="115" t="str">
        <x:f>IF($A57="","",IFERROR($G57*(1+'Ayarlar'!$B$10)*VLOOKUP($E57,'Ayarlar'!$A$16:$C$22,3,FALSE)*$J57,0))</x:f>
      </x:c>
      <x:c r="O57" s="115" t="str">
        <x:f>IF($A57="","",IFERROR($H57*(1+'Ayarlar'!$B$10)*VLOOKUP("Support",'Ayarlar'!$A$16:$C$22,3,FALSE)*$J57,0))</x:f>
      </x:c>
      <x:c r="P57" s="115" t="str">
        <x:f>IF($A57="","",IFERROR($I57*$J57*'Ayarlar'!$B$7*'Ayarlar'!$B$6,0))</x:f>
      </x:c>
      <x:c r="Q57" s="115" t="str">
        <x:f>IF($A57="","",IFERROR($I57*$J57*'Ayarlar'!$B$5,0))</x:f>
      </x:c>
      <x:c r="R57" s="115" t="str">
        <x:f>IF($A57="","",IFERROR(($K57+$L57)*'Ayarlar'!$B$8,0))</x:f>
      </x:c>
      <x:c r="S57" s="115" t="str">
        <x:f>IF($A57="","",SUM($N57:$R57)+$M57)</x:f>
      </x:c>
      <x:c r="T57" s="107" t="str">
        <x:f>IF($A57="","",'Ayarlar'!$B$9)</x:f>
      </x:c>
      <x:c r="U57" s="116" t="str">
        <x:f>IF($A57="","",ROUND($S57*(1+$T57),0))</x:f>
      </x:c>
      <x:c r="V57" s="116" t="str">
        <x:f>IF($A57="","",MAX($U57,'Ayarlar'!$B$4))</x:f>
      </x:c>
      <x:c r="W57" s="116"/>
      <x:c r="X57" s="116" t="str">
        <x:f>IF($A57="","",$V57-$W57)</x:f>
      </x:c>
      <x:c r="Y57" s="95"/>
      <x:c r="Z57" s="95"/>
    </x:row>
    <x:row r="58">
      <x:c r="A58" s="95"/>
      <x:c r="B58" s="114"/>
      <x:c r="C58" s="95"/>
      <x:c r="D58" s="95"/>
      <x:c r="E58" s="95"/>
      <x:c r="F58" s="95"/>
      <x:c r="G58" s="106"/>
      <x:c r="H58" s="106"/>
      <x:c r="I58" s="106"/>
      <x:c r="J58" s="106"/>
      <x:c r="K58" s="106"/>
      <x:c r="L58" s="106"/>
      <x:c r="M58" s="106"/>
      <x:c r="N58" s="115" t="str">
        <x:f>IF($A58="","",IFERROR($G58*(1+'Ayarlar'!$B$10)*VLOOKUP($E58,'Ayarlar'!$A$16:$C$22,3,FALSE)*$J58,0))</x:f>
      </x:c>
      <x:c r="O58" s="115" t="str">
        <x:f>IF($A58="","",IFERROR($H58*(1+'Ayarlar'!$B$10)*VLOOKUP("Support",'Ayarlar'!$A$16:$C$22,3,FALSE)*$J58,0))</x:f>
      </x:c>
      <x:c r="P58" s="115" t="str">
        <x:f>IF($A58="","",IFERROR($I58*$J58*'Ayarlar'!$B$7*'Ayarlar'!$B$6,0))</x:f>
      </x:c>
      <x:c r="Q58" s="115" t="str">
        <x:f>IF($A58="","",IFERROR($I58*$J58*'Ayarlar'!$B$5,0))</x:f>
      </x:c>
      <x:c r="R58" s="115" t="str">
        <x:f>IF($A58="","",IFERROR(($K58+$L58)*'Ayarlar'!$B$8,0))</x:f>
      </x:c>
      <x:c r="S58" s="115" t="str">
        <x:f>IF($A58="","",SUM($N58:$R58)+$M58)</x:f>
      </x:c>
      <x:c r="T58" s="107" t="str">
        <x:f>IF($A58="","",'Ayarlar'!$B$9)</x:f>
      </x:c>
      <x:c r="U58" s="116" t="str">
        <x:f>IF($A58="","",ROUND($S58*(1+$T58),0))</x:f>
      </x:c>
      <x:c r="V58" s="116" t="str">
        <x:f>IF($A58="","",MAX($U58,'Ayarlar'!$B$4))</x:f>
      </x:c>
      <x:c r="W58" s="116"/>
      <x:c r="X58" s="116" t="str">
        <x:f>IF($A58="","",$V58-$W58)</x:f>
      </x:c>
      <x:c r="Y58" s="95"/>
      <x:c r="Z58" s="95"/>
    </x:row>
    <x:row r="59">
      <x:c r="A59" s="95"/>
      <x:c r="B59" s="114"/>
      <x:c r="C59" s="95"/>
      <x:c r="D59" s="95"/>
      <x:c r="E59" s="95"/>
      <x:c r="F59" s="95"/>
      <x:c r="G59" s="106"/>
      <x:c r="H59" s="106"/>
      <x:c r="I59" s="106"/>
      <x:c r="J59" s="106"/>
      <x:c r="K59" s="106"/>
      <x:c r="L59" s="106"/>
      <x:c r="M59" s="106"/>
      <x:c r="N59" s="115" t="str">
        <x:f>IF($A59="","",IFERROR($G59*(1+'Ayarlar'!$B$10)*VLOOKUP($E59,'Ayarlar'!$A$16:$C$22,3,FALSE)*$J59,0))</x:f>
      </x:c>
      <x:c r="O59" s="115" t="str">
        <x:f>IF($A59="","",IFERROR($H59*(1+'Ayarlar'!$B$10)*VLOOKUP("Support",'Ayarlar'!$A$16:$C$22,3,FALSE)*$J59,0))</x:f>
      </x:c>
      <x:c r="P59" s="115" t="str">
        <x:f>IF($A59="","",IFERROR($I59*$J59*'Ayarlar'!$B$7*'Ayarlar'!$B$6,0))</x:f>
      </x:c>
      <x:c r="Q59" s="115" t="str">
        <x:f>IF($A59="","",IFERROR($I59*$J59*'Ayarlar'!$B$5,0))</x:f>
      </x:c>
      <x:c r="R59" s="115" t="str">
        <x:f>IF($A59="","",IFERROR(($K59+$L59)*'Ayarlar'!$B$8,0))</x:f>
      </x:c>
      <x:c r="S59" s="115" t="str">
        <x:f>IF($A59="","",SUM($N59:$R59)+$M59)</x:f>
      </x:c>
      <x:c r="T59" s="107" t="str">
        <x:f>IF($A59="","",'Ayarlar'!$B$9)</x:f>
      </x:c>
      <x:c r="U59" s="116" t="str">
        <x:f>IF($A59="","",ROUND($S59*(1+$T59),0))</x:f>
      </x:c>
      <x:c r="V59" s="116" t="str">
        <x:f>IF($A59="","",MAX($U59,'Ayarlar'!$B$4))</x:f>
      </x:c>
      <x:c r="W59" s="116"/>
      <x:c r="X59" s="116" t="str">
        <x:f>IF($A59="","",$V59-$W59)</x:f>
      </x:c>
      <x:c r="Y59" s="95"/>
      <x:c r="Z59" s="95"/>
    </x:row>
    <x:row r="60">
      <x:c r="A60" s="95"/>
      <x:c r="B60" s="114"/>
      <x:c r="C60" s="95"/>
      <x:c r="D60" s="95"/>
      <x:c r="E60" s="95"/>
      <x:c r="F60" s="95"/>
      <x:c r="G60" s="106"/>
      <x:c r="H60" s="106"/>
      <x:c r="I60" s="106"/>
      <x:c r="J60" s="106"/>
      <x:c r="K60" s="106"/>
      <x:c r="L60" s="106"/>
      <x:c r="M60" s="106"/>
      <x:c r="N60" s="115" t="str">
        <x:f>IF($A60="","",IFERROR($G60*(1+'Ayarlar'!$B$10)*VLOOKUP($E60,'Ayarlar'!$A$16:$C$22,3,FALSE)*$J60,0))</x:f>
      </x:c>
      <x:c r="O60" s="115" t="str">
        <x:f>IF($A60="","",IFERROR($H60*(1+'Ayarlar'!$B$10)*VLOOKUP("Support",'Ayarlar'!$A$16:$C$22,3,FALSE)*$J60,0))</x:f>
      </x:c>
      <x:c r="P60" s="115" t="str">
        <x:f>IF($A60="","",IFERROR($I60*$J60*'Ayarlar'!$B$7*'Ayarlar'!$B$6,0))</x:f>
      </x:c>
      <x:c r="Q60" s="115" t="str">
        <x:f>IF($A60="","",IFERROR($I60*$J60*'Ayarlar'!$B$5,0))</x:f>
      </x:c>
      <x:c r="R60" s="115" t="str">
        <x:f>IF($A60="","",IFERROR(($K60+$L60)*'Ayarlar'!$B$8,0))</x:f>
      </x:c>
      <x:c r="S60" s="115" t="str">
        <x:f>IF($A60="","",SUM($N60:$R60)+$M60)</x:f>
      </x:c>
      <x:c r="T60" s="107" t="str">
        <x:f>IF($A60="","",'Ayarlar'!$B$9)</x:f>
      </x:c>
      <x:c r="U60" s="116" t="str">
        <x:f>IF($A60="","",ROUND($S60*(1+$T60),0))</x:f>
      </x:c>
      <x:c r="V60" s="116" t="str">
        <x:f>IF($A60="","",MAX($U60,'Ayarlar'!$B$4))</x:f>
      </x:c>
      <x:c r="W60" s="116"/>
      <x:c r="X60" s="116" t="str">
        <x:f>IF($A60="","",$V60-$W60)</x:f>
      </x:c>
      <x:c r="Y60" s="95"/>
      <x:c r="Z60" s="95"/>
    </x:row>
    <x:row r="61">
      <x:c r="A61" s="95"/>
      <x:c r="B61" s="114"/>
      <x:c r="C61" s="95"/>
      <x:c r="D61" s="95"/>
      <x:c r="E61" s="95"/>
      <x:c r="F61" s="95"/>
      <x:c r="G61" s="106"/>
      <x:c r="H61" s="106"/>
      <x:c r="I61" s="106"/>
      <x:c r="J61" s="106"/>
      <x:c r="K61" s="106"/>
      <x:c r="L61" s="106"/>
      <x:c r="M61" s="106"/>
      <x:c r="N61" s="115" t="str">
        <x:f>IF($A61="","",IFERROR($G61*(1+'Ayarlar'!$B$10)*VLOOKUP($E61,'Ayarlar'!$A$16:$C$22,3,FALSE)*$J61,0))</x:f>
      </x:c>
      <x:c r="O61" s="115" t="str">
        <x:f>IF($A61="","",IFERROR($H61*(1+'Ayarlar'!$B$10)*VLOOKUP("Support",'Ayarlar'!$A$16:$C$22,3,FALSE)*$J61,0))</x:f>
      </x:c>
      <x:c r="P61" s="115" t="str">
        <x:f>IF($A61="","",IFERROR($I61*$J61*'Ayarlar'!$B$7*'Ayarlar'!$B$6,0))</x:f>
      </x:c>
      <x:c r="Q61" s="115" t="str">
        <x:f>IF($A61="","",IFERROR($I61*$J61*'Ayarlar'!$B$5,0))</x:f>
      </x:c>
      <x:c r="R61" s="115" t="str">
        <x:f>IF($A61="","",IFERROR(($K61+$L61)*'Ayarlar'!$B$8,0))</x:f>
      </x:c>
      <x:c r="S61" s="115" t="str">
        <x:f>IF($A61="","",SUM($N61:$R61)+$M61)</x:f>
      </x:c>
      <x:c r="T61" s="107" t="str">
        <x:f>IF($A61="","",'Ayarlar'!$B$9)</x:f>
      </x:c>
      <x:c r="U61" s="116" t="str">
        <x:f>IF($A61="","",ROUND($S61*(1+$T61),0))</x:f>
      </x:c>
      <x:c r="V61" s="116" t="str">
        <x:f>IF($A61="","",MAX($U61,'Ayarlar'!$B$4))</x:f>
      </x:c>
      <x:c r="W61" s="116"/>
      <x:c r="X61" s="116" t="str">
        <x:f>IF($A61="","",$V61-$W61)</x:f>
      </x:c>
      <x:c r="Y61" s="95"/>
      <x:c r="Z61" s="95"/>
    </x:row>
    <x:row r="62">
      <x:c r="A62" s="95"/>
      <x:c r="B62" s="114"/>
      <x:c r="C62" s="95"/>
      <x:c r="D62" s="95"/>
      <x:c r="E62" s="95"/>
      <x:c r="F62" s="95"/>
      <x:c r="G62" s="106"/>
      <x:c r="H62" s="106"/>
      <x:c r="I62" s="106"/>
      <x:c r="J62" s="106"/>
      <x:c r="K62" s="106"/>
      <x:c r="L62" s="106"/>
      <x:c r="M62" s="106"/>
      <x:c r="N62" s="115" t="str">
        <x:f>IF($A62="","",IFERROR($G62*(1+'Ayarlar'!$B$10)*VLOOKUP($E62,'Ayarlar'!$A$16:$C$22,3,FALSE)*$J62,0))</x:f>
      </x:c>
      <x:c r="O62" s="115" t="str">
        <x:f>IF($A62="","",IFERROR($H62*(1+'Ayarlar'!$B$10)*VLOOKUP("Support",'Ayarlar'!$A$16:$C$22,3,FALSE)*$J62,0))</x:f>
      </x:c>
      <x:c r="P62" s="115" t="str">
        <x:f>IF($A62="","",IFERROR($I62*$J62*'Ayarlar'!$B$7*'Ayarlar'!$B$6,0))</x:f>
      </x:c>
      <x:c r="Q62" s="115" t="str">
        <x:f>IF($A62="","",IFERROR($I62*$J62*'Ayarlar'!$B$5,0))</x:f>
      </x:c>
      <x:c r="R62" s="115" t="str">
        <x:f>IF($A62="","",IFERROR(($K62+$L62)*'Ayarlar'!$B$8,0))</x:f>
      </x:c>
      <x:c r="S62" s="115" t="str">
        <x:f>IF($A62="","",SUM($N62:$R62)+$M62)</x:f>
      </x:c>
      <x:c r="T62" s="107" t="str">
        <x:f>IF($A62="","",'Ayarlar'!$B$9)</x:f>
      </x:c>
      <x:c r="U62" s="116" t="str">
        <x:f>IF($A62="","",ROUND($S62*(1+$T62),0))</x:f>
      </x:c>
      <x:c r="V62" s="116" t="str">
        <x:f>IF($A62="","",MAX($U62,'Ayarlar'!$B$4))</x:f>
      </x:c>
      <x:c r="W62" s="116"/>
      <x:c r="X62" s="116" t="str">
        <x:f>IF($A62="","",$V62-$W62)</x:f>
      </x:c>
      <x:c r="Y62" s="95"/>
      <x:c r="Z62" s="95"/>
    </x:row>
    <x:row r="63">
      <x:c r="A63" s="95"/>
      <x:c r="B63" s="114"/>
      <x:c r="C63" s="95"/>
      <x:c r="D63" s="95"/>
      <x:c r="E63" s="95"/>
      <x:c r="F63" s="95"/>
      <x:c r="G63" s="106"/>
      <x:c r="H63" s="106"/>
      <x:c r="I63" s="106"/>
      <x:c r="J63" s="106"/>
      <x:c r="K63" s="106"/>
      <x:c r="L63" s="106"/>
      <x:c r="M63" s="106"/>
      <x:c r="N63" s="115" t="str">
        <x:f>IF($A63="","",IFERROR($G63*(1+'Ayarlar'!$B$10)*VLOOKUP($E63,'Ayarlar'!$A$16:$C$22,3,FALSE)*$J63,0))</x:f>
      </x:c>
      <x:c r="O63" s="115" t="str">
        <x:f>IF($A63="","",IFERROR($H63*(1+'Ayarlar'!$B$10)*VLOOKUP("Support",'Ayarlar'!$A$16:$C$22,3,FALSE)*$J63,0))</x:f>
      </x:c>
      <x:c r="P63" s="115" t="str">
        <x:f>IF($A63="","",IFERROR($I63*$J63*'Ayarlar'!$B$7*'Ayarlar'!$B$6,0))</x:f>
      </x:c>
      <x:c r="Q63" s="115" t="str">
        <x:f>IF($A63="","",IFERROR($I63*$J63*'Ayarlar'!$B$5,0))</x:f>
      </x:c>
      <x:c r="R63" s="115" t="str">
        <x:f>IF($A63="","",IFERROR(($K63+$L63)*'Ayarlar'!$B$8,0))</x:f>
      </x:c>
      <x:c r="S63" s="115" t="str">
        <x:f>IF($A63="","",SUM($N63:$R63)+$M63)</x:f>
      </x:c>
      <x:c r="T63" s="107" t="str">
        <x:f>IF($A63="","",'Ayarlar'!$B$9)</x:f>
      </x:c>
      <x:c r="U63" s="116" t="str">
        <x:f>IF($A63="","",ROUND($S63*(1+$T63),0))</x:f>
      </x:c>
      <x:c r="V63" s="116" t="str">
        <x:f>IF($A63="","",MAX($U63,'Ayarlar'!$B$4))</x:f>
      </x:c>
      <x:c r="W63" s="116"/>
      <x:c r="X63" s="116" t="str">
        <x:f>IF($A63="","",$V63-$W63)</x:f>
      </x:c>
      <x:c r="Y63" s="95"/>
      <x:c r="Z63" s="95"/>
    </x:row>
    <x:row r="64">
      <x:c r="A64" s="95"/>
      <x:c r="B64" s="114"/>
      <x:c r="C64" s="95"/>
      <x:c r="D64" s="95"/>
      <x:c r="E64" s="95"/>
      <x:c r="F64" s="95"/>
      <x:c r="G64" s="106"/>
      <x:c r="H64" s="106"/>
      <x:c r="I64" s="106"/>
      <x:c r="J64" s="106"/>
      <x:c r="K64" s="106"/>
      <x:c r="L64" s="106"/>
      <x:c r="M64" s="106"/>
      <x:c r="N64" s="115" t="str">
        <x:f>IF($A64="","",IFERROR($G64*(1+'Ayarlar'!$B$10)*VLOOKUP($E64,'Ayarlar'!$A$16:$C$22,3,FALSE)*$J64,0))</x:f>
      </x:c>
      <x:c r="O64" s="115" t="str">
        <x:f>IF($A64="","",IFERROR($H64*(1+'Ayarlar'!$B$10)*VLOOKUP("Support",'Ayarlar'!$A$16:$C$22,3,FALSE)*$J64,0))</x:f>
      </x:c>
      <x:c r="P64" s="115" t="str">
        <x:f>IF($A64="","",IFERROR($I64*$J64*'Ayarlar'!$B$7*'Ayarlar'!$B$6,0))</x:f>
      </x:c>
      <x:c r="Q64" s="115" t="str">
        <x:f>IF($A64="","",IFERROR($I64*$J64*'Ayarlar'!$B$5,0))</x:f>
      </x:c>
      <x:c r="R64" s="115" t="str">
        <x:f>IF($A64="","",IFERROR(($K64+$L64)*'Ayarlar'!$B$8,0))</x:f>
      </x:c>
      <x:c r="S64" s="115" t="str">
        <x:f>IF($A64="","",SUM($N64:$R64)+$M64)</x:f>
      </x:c>
      <x:c r="T64" s="107" t="str">
        <x:f>IF($A64="","",'Ayarlar'!$B$9)</x:f>
      </x:c>
      <x:c r="U64" s="116" t="str">
        <x:f>IF($A64="","",ROUND($S64*(1+$T64),0))</x:f>
      </x:c>
      <x:c r="V64" s="116" t="str">
        <x:f>IF($A64="","",MAX($U64,'Ayarlar'!$B$4))</x:f>
      </x:c>
      <x:c r="W64" s="116"/>
      <x:c r="X64" s="116" t="str">
        <x:f>IF($A64="","",$V64-$W64)</x:f>
      </x:c>
      <x:c r="Y64" s="95"/>
      <x:c r="Z64" s="95"/>
    </x:row>
    <x:row r="65">
      <x:c r="A65" s="95"/>
      <x:c r="B65" s="114"/>
      <x:c r="C65" s="95"/>
      <x:c r="D65" s="95"/>
      <x:c r="E65" s="95"/>
      <x:c r="F65" s="95"/>
      <x:c r="G65" s="106"/>
      <x:c r="H65" s="106"/>
      <x:c r="I65" s="106"/>
      <x:c r="J65" s="106"/>
      <x:c r="K65" s="106"/>
      <x:c r="L65" s="106"/>
      <x:c r="M65" s="106"/>
      <x:c r="N65" s="115" t="str">
        <x:f>IF($A65="","",IFERROR($G65*(1+'Ayarlar'!$B$10)*VLOOKUP($E65,'Ayarlar'!$A$16:$C$22,3,FALSE)*$J65,0))</x:f>
      </x:c>
      <x:c r="O65" s="115" t="str">
        <x:f>IF($A65="","",IFERROR($H65*(1+'Ayarlar'!$B$10)*VLOOKUP("Support",'Ayarlar'!$A$16:$C$22,3,FALSE)*$J65,0))</x:f>
      </x:c>
      <x:c r="P65" s="115" t="str">
        <x:f>IF($A65="","",IFERROR($I65*$J65*'Ayarlar'!$B$7*'Ayarlar'!$B$6,0))</x:f>
      </x:c>
      <x:c r="Q65" s="115" t="str">
        <x:f>IF($A65="","",IFERROR($I65*$J65*'Ayarlar'!$B$5,0))</x:f>
      </x:c>
      <x:c r="R65" s="115" t="str">
        <x:f>IF($A65="","",IFERROR(($K65+$L65)*'Ayarlar'!$B$8,0))</x:f>
      </x:c>
      <x:c r="S65" s="115" t="str">
        <x:f>IF($A65="","",SUM($N65:$R65)+$M65)</x:f>
      </x:c>
      <x:c r="T65" s="107" t="str">
        <x:f>IF($A65="","",'Ayarlar'!$B$9)</x:f>
      </x:c>
      <x:c r="U65" s="116" t="str">
        <x:f>IF($A65="","",ROUND($S65*(1+$T65),0))</x:f>
      </x:c>
      <x:c r="V65" s="116" t="str">
        <x:f>IF($A65="","",MAX($U65,'Ayarlar'!$B$4))</x:f>
      </x:c>
      <x:c r="W65" s="116"/>
      <x:c r="X65" s="116" t="str">
        <x:f>IF($A65="","",$V65-$W65)</x:f>
      </x:c>
      <x:c r="Y65" s="95"/>
      <x:c r="Z65" s="95"/>
    </x:row>
    <x:row r="66">
      <x:c r="A66" s="95"/>
      <x:c r="B66" s="114"/>
      <x:c r="C66" s="95"/>
      <x:c r="D66" s="95"/>
      <x:c r="E66" s="95"/>
      <x:c r="F66" s="95"/>
      <x:c r="G66" s="106"/>
      <x:c r="H66" s="106"/>
      <x:c r="I66" s="106"/>
      <x:c r="J66" s="106"/>
      <x:c r="K66" s="106"/>
      <x:c r="L66" s="106"/>
      <x:c r="M66" s="106"/>
      <x:c r="N66" s="115" t="str">
        <x:f>IF($A66="","",IFERROR($G66*(1+'Ayarlar'!$B$10)*VLOOKUP($E66,'Ayarlar'!$A$16:$C$22,3,FALSE)*$J66,0))</x:f>
      </x:c>
      <x:c r="O66" s="115" t="str">
        <x:f>IF($A66="","",IFERROR($H66*(1+'Ayarlar'!$B$10)*VLOOKUP("Support",'Ayarlar'!$A$16:$C$22,3,FALSE)*$J66,0))</x:f>
      </x:c>
      <x:c r="P66" s="115" t="str">
        <x:f>IF($A66="","",IFERROR($I66*$J66*'Ayarlar'!$B$7*'Ayarlar'!$B$6,0))</x:f>
      </x:c>
      <x:c r="Q66" s="115" t="str">
        <x:f>IF($A66="","",IFERROR($I66*$J66*'Ayarlar'!$B$5,0))</x:f>
      </x:c>
      <x:c r="R66" s="115" t="str">
        <x:f>IF($A66="","",IFERROR(($K66+$L66)*'Ayarlar'!$B$8,0))</x:f>
      </x:c>
      <x:c r="S66" s="115" t="str">
        <x:f>IF($A66="","",SUM($N66:$R66)+$M66)</x:f>
      </x:c>
      <x:c r="T66" s="107" t="str">
        <x:f>IF($A66="","",'Ayarlar'!$B$9)</x:f>
      </x:c>
      <x:c r="U66" s="116" t="str">
        <x:f>IF($A66="","",ROUND($S66*(1+$T66),0))</x:f>
      </x:c>
      <x:c r="V66" s="116" t="str">
        <x:f>IF($A66="","",MAX($U66,'Ayarlar'!$B$4))</x:f>
      </x:c>
      <x:c r="W66" s="116"/>
      <x:c r="X66" s="116" t="str">
        <x:f>IF($A66="","",$V66-$W66)</x:f>
      </x:c>
      <x:c r="Y66" s="95"/>
      <x:c r="Z66" s="95"/>
    </x:row>
    <x:row r="67">
      <x:c r="A67" s="95"/>
      <x:c r="B67" s="114"/>
      <x:c r="C67" s="95"/>
      <x:c r="D67" s="95"/>
      <x:c r="E67" s="95"/>
      <x:c r="F67" s="95"/>
      <x:c r="G67" s="106"/>
      <x:c r="H67" s="106"/>
      <x:c r="I67" s="106"/>
      <x:c r="J67" s="106"/>
      <x:c r="K67" s="106"/>
      <x:c r="L67" s="106"/>
      <x:c r="M67" s="106"/>
      <x:c r="N67" s="115" t="str">
        <x:f>IF($A67="","",IFERROR($G67*(1+'Ayarlar'!$B$10)*VLOOKUP($E67,'Ayarlar'!$A$16:$C$22,3,FALSE)*$J67,0))</x:f>
      </x:c>
      <x:c r="O67" s="115" t="str">
        <x:f>IF($A67="","",IFERROR($H67*(1+'Ayarlar'!$B$10)*VLOOKUP("Support",'Ayarlar'!$A$16:$C$22,3,FALSE)*$J67,0))</x:f>
      </x:c>
      <x:c r="P67" s="115" t="str">
        <x:f>IF($A67="","",IFERROR($I67*$J67*'Ayarlar'!$B$7*'Ayarlar'!$B$6,0))</x:f>
      </x:c>
      <x:c r="Q67" s="115" t="str">
        <x:f>IF($A67="","",IFERROR($I67*$J67*'Ayarlar'!$B$5,0))</x:f>
      </x:c>
      <x:c r="R67" s="115" t="str">
        <x:f>IF($A67="","",IFERROR(($K67+$L67)*'Ayarlar'!$B$8,0))</x:f>
      </x:c>
      <x:c r="S67" s="115" t="str">
        <x:f>IF($A67="","",SUM($N67:$R67)+$M67)</x:f>
      </x:c>
      <x:c r="T67" s="107" t="str">
        <x:f>IF($A67="","",'Ayarlar'!$B$9)</x:f>
      </x:c>
      <x:c r="U67" s="116" t="str">
        <x:f>IF($A67="","",ROUND($S67*(1+$T67),0))</x:f>
      </x:c>
      <x:c r="V67" s="116" t="str">
        <x:f>IF($A67="","",MAX($U67,'Ayarlar'!$B$4))</x:f>
      </x:c>
      <x:c r="W67" s="116"/>
      <x:c r="X67" s="116" t="str">
        <x:f>IF($A67="","",$V67-$W67)</x:f>
      </x:c>
      <x:c r="Y67" s="95"/>
      <x:c r="Z67" s="95"/>
    </x:row>
    <x:row r="68">
      <x:c r="A68" s="95"/>
      <x:c r="B68" s="114"/>
      <x:c r="C68" s="95"/>
      <x:c r="D68" s="95"/>
      <x:c r="E68" s="95"/>
      <x:c r="F68" s="95"/>
      <x:c r="G68" s="106"/>
      <x:c r="H68" s="106"/>
      <x:c r="I68" s="106"/>
      <x:c r="J68" s="106"/>
      <x:c r="K68" s="106"/>
      <x:c r="L68" s="106"/>
      <x:c r="M68" s="106"/>
      <x:c r="N68" s="115" t="str">
        <x:f>IF($A68="","",IFERROR($G68*(1+'Ayarlar'!$B$10)*VLOOKUP($E68,'Ayarlar'!$A$16:$C$22,3,FALSE)*$J68,0))</x:f>
      </x:c>
      <x:c r="O68" s="115" t="str">
        <x:f>IF($A68="","",IFERROR($H68*(1+'Ayarlar'!$B$10)*VLOOKUP("Support",'Ayarlar'!$A$16:$C$22,3,FALSE)*$J68,0))</x:f>
      </x:c>
      <x:c r="P68" s="115" t="str">
        <x:f>IF($A68="","",IFERROR($I68*$J68*'Ayarlar'!$B$7*'Ayarlar'!$B$6,0))</x:f>
      </x:c>
      <x:c r="Q68" s="115" t="str">
        <x:f>IF($A68="","",IFERROR($I68*$J68*'Ayarlar'!$B$5,0))</x:f>
      </x:c>
      <x:c r="R68" s="115" t="str">
        <x:f>IF($A68="","",IFERROR(($K68+$L68)*'Ayarlar'!$B$8,0))</x:f>
      </x:c>
      <x:c r="S68" s="115" t="str">
        <x:f>IF($A68="","",SUM($N68:$R68)+$M68)</x:f>
      </x:c>
      <x:c r="T68" s="107" t="str">
        <x:f>IF($A68="","",'Ayarlar'!$B$9)</x:f>
      </x:c>
      <x:c r="U68" s="116" t="str">
        <x:f>IF($A68="","",ROUND($S68*(1+$T68),0))</x:f>
      </x:c>
      <x:c r="V68" s="116" t="str">
        <x:f>IF($A68="","",MAX($U68,'Ayarlar'!$B$4))</x:f>
      </x:c>
      <x:c r="W68" s="116"/>
      <x:c r="X68" s="116" t="str">
        <x:f>IF($A68="","",$V68-$W68)</x:f>
      </x:c>
      <x:c r="Y68" s="95"/>
      <x:c r="Z68" s="95"/>
    </x:row>
    <x:row r="69">
      <x:c r="A69" s="95"/>
      <x:c r="B69" s="114"/>
      <x:c r="C69" s="95"/>
      <x:c r="D69" s="95"/>
      <x:c r="E69" s="95"/>
      <x:c r="F69" s="95"/>
      <x:c r="G69" s="106"/>
      <x:c r="H69" s="106"/>
      <x:c r="I69" s="106"/>
      <x:c r="J69" s="106"/>
      <x:c r="K69" s="106"/>
      <x:c r="L69" s="106"/>
      <x:c r="M69" s="106"/>
      <x:c r="N69" s="115" t="str">
        <x:f>IF($A69="","",IFERROR($G69*(1+'Ayarlar'!$B$10)*VLOOKUP($E69,'Ayarlar'!$A$16:$C$22,3,FALSE)*$J69,0))</x:f>
      </x:c>
      <x:c r="O69" s="115" t="str">
        <x:f>IF($A69="","",IFERROR($H69*(1+'Ayarlar'!$B$10)*VLOOKUP("Support",'Ayarlar'!$A$16:$C$22,3,FALSE)*$J69,0))</x:f>
      </x:c>
      <x:c r="P69" s="115" t="str">
        <x:f>IF($A69="","",IFERROR($I69*$J69*'Ayarlar'!$B$7*'Ayarlar'!$B$6,0))</x:f>
      </x:c>
      <x:c r="Q69" s="115" t="str">
        <x:f>IF($A69="","",IFERROR($I69*$J69*'Ayarlar'!$B$5,0))</x:f>
      </x:c>
      <x:c r="R69" s="115" t="str">
        <x:f>IF($A69="","",IFERROR(($K69+$L69)*'Ayarlar'!$B$8,0))</x:f>
      </x:c>
      <x:c r="S69" s="115" t="str">
        <x:f>IF($A69="","",SUM($N69:$R69)+$M69)</x:f>
      </x:c>
      <x:c r="T69" s="107" t="str">
        <x:f>IF($A69="","",'Ayarlar'!$B$9)</x:f>
      </x:c>
      <x:c r="U69" s="116" t="str">
        <x:f>IF($A69="","",ROUND($S69*(1+$T69),0))</x:f>
      </x:c>
      <x:c r="V69" s="116" t="str">
        <x:f>IF($A69="","",MAX($U69,'Ayarlar'!$B$4))</x:f>
      </x:c>
      <x:c r="W69" s="116"/>
      <x:c r="X69" s="116" t="str">
        <x:f>IF($A69="","",$V69-$W69)</x:f>
      </x:c>
      <x:c r="Y69" s="95"/>
      <x:c r="Z69" s="95"/>
    </x:row>
    <x:row r="70">
      <x:c r="A70" s="95"/>
      <x:c r="B70" s="114"/>
      <x:c r="C70" s="95"/>
      <x:c r="D70" s="95"/>
      <x:c r="E70" s="95"/>
      <x:c r="F70" s="95"/>
      <x:c r="G70" s="106"/>
      <x:c r="H70" s="106"/>
      <x:c r="I70" s="106"/>
      <x:c r="J70" s="106"/>
      <x:c r="K70" s="106"/>
      <x:c r="L70" s="106"/>
      <x:c r="M70" s="106"/>
      <x:c r="N70" s="115" t="str">
        <x:f>IF($A70="","",IFERROR($G70*(1+'Ayarlar'!$B$10)*VLOOKUP($E70,'Ayarlar'!$A$16:$C$22,3,FALSE)*$J70,0))</x:f>
      </x:c>
      <x:c r="O70" s="115" t="str">
        <x:f>IF($A70="","",IFERROR($H70*(1+'Ayarlar'!$B$10)*VLOOKUP("Support",'Ayarlar'!$A$16:$C$22,3,FALSE)*$J70,0))</x:f>
      </x:c>
      <x:c r="P70" s="115" t="str">
        <x:f>IF($A70="","",IFERROR($I70*$J70*'Ayarlar'!$B$7*'Ayarlar'!$B$6,0))</x:f>
      </x:c>
      <x:c r="Q70" s="115" t="str">
        <x:f>IF($A70="","",IFERROR($I70*$J70*'Ayarlar'!$B$5,0))</x:f>
      </x:c>
      <x:c r="R70" s="115" t="str">
        <x:f>IF($A70="","",IFERROR(($K70+$L70)*'Ayarlar'!$B$8,0))</x:f>
      </x:c>
      <x:c r="S70" s="115" t="str">
        <x:f>IF($A70="","",SUM($N70:$R70)+$M70)</x:f>
      </x:c>
      <x:c r="T70" s="107" t="str">
        <x:f>IF($A70="","",'Ayarlar'!$B$9)</x:f>
      </x:c>
      <x:c r="U70" s="116" t="str">
        <x:f>IF($A70="","",ROUND($S70*(1+$T70),0))</x:f>
      </x:c>
      <x:c r="V70" s="116" t="str">
        <x:f>IF($A70="","",MAX($U70,'Ayarlar'!$B$4))</x:f>
      </x:c>
      <x:c r="W70" s="116"/>
      <x:c r="X70" s="116" t="str">
        <x:f>IF($A70="","",$V70-$W70)</x:f>
      </x:c>
      <x:c r="Y70" s="95"/>
      <x:c r="Z70" s="95"/>
    </x:row>
    <x:row r="71">
      <x:c r="A71" s="95"/>
      <x:c r="B71" s="114"/>
      <x:c r="C71" s="95"/>
      <x:c r="D71" s="95"/>
      <x:c r="E71" s="95"/>
      <x:c r="F71" s="95"/>
      <x:c r="G71" s="106"/>
      <x:c r="H71" s="106"/>
      <x:c r="I71" s="106"/>
      <x:c r="J71" s="106"/>
      <x:c r="K71" s="106"/>
      <x:c r="L71" s="106"/>
      <x:c r="M71" s="106"/>
      <x:c r="N71" s="115" t="str">
        <x:f>IF($A71="","",IFERROR($G71*(1+'Ayarlar'!$B$10)*VLOOKUP($E71,'Ayarlar'!$A$16:$C$22,3,FALSE)*$J71,0))</x:f>
      </x:c>
      <x:c r="O71" s="115" t="str">
        <x:f>IF($A71="","",IFERROR($H71*(1+'Ayarlar'!$B$10)*VLOOKUP("Support",'Ayarlar'!$A$16:$C$22,3,FALSE)*$J71,0))</x:f>
      </x:c>
      <x:c r="P71" s="115" t="str">
        <x:f>IF($A71="","",IFERROR($I71*$J71*'Ayarlar'!$B$7*'Ayarlar'!$B$6,0))</x:f>
      </x:c>
      <x:c r="Q71" s="115" t="str">
        <x:f>IF($A71="","",IFERROR($I71*$J71*'Ayarlar'!$B$5,0))</x:f>
      </x:c>
      <x:c r="R71" s="115" t="str">
        <x:f>IF($A71="","",IFERROR(($K71+$L71)*'Ayarlar'!$B$8,0))</x:f>
      </x:c>
      <x:c r="S71" s="115" t="str">
        <x:f>IF($A71="","",SUM($N71:$R71)+$M71)</x:f>
      </x:c>
      <x:c r="T71" s="107" t="str">
        <x:f>IF($A71="","",'Ayarlar'!$B$9)</x:f>
      </x:c>
      <x:c r="U71" s="116" t="str">
        <x:f>IF($A71="","",ROUND($S71*(1+$T71),0))</x:f>
      </x:c>
      <x:c r="V71" s="116" t="str">
        <x:f>IF($A71="","",MAX($U71,'Ayarlar'!$B$4))</x:f>
      </x:c>
      <x:c r="W71" s="116"/>
      <x:c r="X71" s="116" t="str">
        <x:f>IF($A71="","",$V71-$W71)</x:f>
      </x:c>
      <x:c r="Y71" s="95"/>
      <x:c r="Z71" s="95"/>
    </x:row>
    <x:row r="72">
      <x:c r="A72" s="95"/>
      <x:c r="B72" s="114"/>
      <x:c r="C72" s="95"/>
      <x:c r="D72" s="95"/>
      <x:c r="E72" s="95"/>
      <x:c r="F72" s="95"/>
      <x:c r="G72" s="106"/>
      <x:c r="H72" s="106"/>
      <x:c r="I72" s="106"/>
      <x:c r="J72" s="106"/>
      <x:c r="K72" s="106"/>
      <x:c r="L72" s="106"/>
      <x:c r="M72" s="106"/>
      <x:c r="N72" s="115" t="str">
        <x:f>IF($A72="","",IFERROR($G72*(1+'Ayarlar'!$B$10)*VLOOKUP($E72,'Ayarlar'!$A$16:$C$22,3,FALSE)*$J72,0))</x:f>
      </x:c>
      <x:c r="O72" s="115" t="str">
        <x:f>IF($A72="","",IFERROR($H72*(1+'Ayarlar'!$B$10)*VLOOKUP("Support",'Ayarlar'!$A$16:$C$22,3,FALSE)*$J72,0))</x:f>
      </x:c>
      <x:c r="P72" s="115" t="str">
        <x:f>IF($A72="","",IFERROR($I72*$J72*'Ayarlar'!$B$7*'Ayarlar'!$B$6,0))</x:f>
      </x:c>
      <x:c r="Q72" s="115" t="str">
        <x:f>IF($A72="","",IFERROR($I72*$J72*'Ayarlar'!$B$5,0))</x:f>
      </x:c>
      <x:c r="R72" s="115" t="str">
        <x:f>IF($A72="","",IFERROR(($K72+$L72)*'Ayarlar'!$B$8,0))</x:f>
      </x:c>
      <x:c r="S72" s="115" t="str">
        <x:f>IF($A72="","",SUM($N72:$R72)+$M72)</x:f>
      </x:c>
      <x:c r="T72" s="107" t="str">
        <x:f>IF($A72="","",'Ayarlar'!$B$9)</x:f>
      </x:c>
      <x:c r="U72" s="116" t="str">
        <x:f>IF($A72="","",ROUND($S72*(1+$T72),0))</x:f>
      </x:c>
      <x:c r="V72" s="116" t="str">
        <x:f>IF($A72="","",MAX($U72,'Ayarlar'!$B$4))</x:f>
      </x:c>
      <x:c r="W72" s="116"/>
      <x:c r="X72" s="116" t="str">
        <x:f>IF($A72="","",$V72-$W72)</x:f>
      </x:c>
      <x:c r="Y72" s="95"/>
      <x:c r="Z72" s="95"/>
    </x:row>
    <x:row r="73">
      <x:c r="A73" s="95"/>
      <x:c r="B73" s="114"/>
      <x:c r="C73" s="95"/>
      <x:c r="D73" s="95"/>
      <x:c r="E73" s="95"/>
      <x:c r="F73" s="95"/>
      <x:c r="G73" s="106"/>
      <x:c r="H73" s="106"/>
      <x:c r="I73" s="106"/>
      <x:c r="J73" s="106"/>
      <x:c r="K73" s="106"/>
      <x:c r="L73" s="106"/>
      <x:c r="M73" s="106"/>
      <x:c r="N73" s="115" t="str">
        <x:f>IF($A73="","",IFERROR($G73*(1+'Ayarlar'!$B$10)*VLOOKUP($E73,'Ayarlar'!$A$16:$C$22,3,FALSE)*$J73,0))</x:f>
      </x:c>
      <x:c r="O73" s="115" t="str">
        <x:f>IF($A73="","",IFERROR($H73*(1+'Ayarlar'!$B$10)*VLOOKUP("Support",'Ayarlar'!$A$16:$C$22,3,FALSE)*$J73,0))</x:f>
      </x:c>
      <x:c r="P73" s="115" t="str">
        <x:f>IF($A73="","",IFERROR($I73*$J73*'Ayarlar'!$B$7*'Ayarlar'!$B$6,0))</x:f>
      </x:c>
      <x:c r="Q73" s="115" t="str">
        <x:f>IF($A73="","",IFERROR($I73*$J73*'Ayarlar'!$B$5,0))</x:f>
      </x:c>
      <x:c r="R73" s="115" t="str">
        <x:f>IF($A73="","",IFERROR(($K73+$L73)*'Ayarlar'!$B$8,0))</x:f>
      </x:c>
      <x:c r="S73" s="115" t="str">
        <x:f>IF($A73="","",SUM($N73:$R73)+$M73)</x:f>
      </x:c>
      <x:c r="T73" s="107" t="str">
        <x:f>IF($A73="","",'Ayarlar'!$B$9)</x:f>
      </x:c>
      <x:c r="U73" s="116" t="str">
        <x:f>IF($A73="","",ROUND($S73*(1+$T73),0))</x:f>
      </x:c>
      <x:c r="V73" s="116" t="str">
        <x:f>IF($A73="","",MAX($U73,'Ayarlar'!$B$4))</x:f>
      </x:c>
      <x:c r="W73" s="116"/>
      <x:c r="X73" s="116" t="str">
        <x:f>IF($A73="","",$V73-$W73)</x:f>
      </x:c>
      <x:c r="Y73" s="95"/>
      <x:c r="Z73" s="95"/>
    </x:row>
    <x:row r="74">
      <x:c r="A74" s="95"/>
      <x:c r="B74" s="114"/>
      <x:c r="C74" s="95"/>
      <x:c r="D74" s="95"/>
      <x:c r="E74" s="95"/>
      <x:c r="F74" s="95"/>
      <x:c r="G74" s="106"/>
      <x:c r="H74" s="106"/>
      <x:c r="I74" s="106"/>
      <x:c r="J74" s="106"/>
      <x:c r="K74" s="106"/>
      <x:c r="L74" s="106"/>
      <x:c r="M74" s="106"/>
      <x:c r="N74" s="115" t="str">
        <x:f>IF($A74="","",IFERROR($G74*(1+'Ayarlar'!$B$10)*VLOOKUP($E74,'Ayarlar'!$A$16:$C$22,3,FALSE)*$J74,0))</x:f>
      </x:c>
      <x:c r="O74" s="115" t="str">
        <x:f>IF($A74="","",IFERROR($H74*(1+'Ayarlar'!$B$10)*VLOOKUP("Support",'Ayarlar'!$A$16:$C$22,3,FALSE)*$J74,0))</x:f>
      </x:c>
      <x:c r="P74" s="115" t="str">
        <x:f>IF($A74="","",IFERROR($I74*$J74*'Ayarlar'!$B$7*'Ayarlar'!$B$6,0))</x:f>
      </x:c>
      <x:c r="Q74" s="115" t="str">
        <x:f>IF($A74="","",IFERROR($I74*$J74*'Ayarlar'!$B$5,0))</x:f>
      </x:c>
      <x:c r="R74" s="115" t="str">
        <x:f>IF($A74="","",IFERROR(($K74+$L74)*'Ayarlar'!$B$8,0))</x:f>
      </x:c>
      <x:c r="S74" s="115" t="str">
        <x:f>IF($A74="","",SUM($N74:$R74)+$M74)</x:f>
      </x:c>
      <x:c r="T74" s="107" t="str">
        <x:f>IF($A74="","",'Ayarlar'!$B$9)</x:f>
      </x:c>
      <x:c r="U74" s="116" t="str">
        <x:f>IF($A74="","",ROUND($S74*(1+$T74),0))</x:f>
      </x:c>
      <x:c r="V74" s="116" t="str">
        <x:f>IF($A74="","",MAX($U74,'Ayarlar'!$B$4))</x:f>
      </x:c>
      <x:c r="W74" s="116"/>
      <x:c r="X74" s="116" t="str">
        <x:f>IF($A74="","",$V74-$W74)</x:f>
      </x:c>
      <x:c r="Y74" s="95"/>
      <x:c r="Z74" s="95"/>
    </x:row>
    <x:row r="75">
      <x:c r="A75" s="95"/>
      <x:c r="B75" s="114"/>
      <x:c r="C75" s="95"/>
      <x:c r="D75" s="95"/>
      <x:c r="E75" s="95"/>
      <x:c r="F75" s="95"/>
      <x:c r="G75" s="106"/>
      <x:c r="H75" s="106"/>
      <x:c r="I75" s="106"/>
      <x:c r="J75" s="106"/>
      <x:c r="K75" s="106"/>
      <x:c r="L75" s="106"/>
      <x:c r="M75" s="106"/>
      <x:c r="N75" s="115" t="str">
        <x:f>IF($A75="","",IFERROR($G75*(1+'Ayarlar'!$B$10)*VLOOKUP($E75,'Ayarlar'!$A$16:$C$22,3,FALSE)*$J75,0))</x:f>
      </x:c>
      <x:c r="O75" s="115" t="str">
        <x:f>IF($A75="","",IFERROR($H75*(1+'Ayarlar'!$B$10)*VLOOKUP("Support",'Ayarlar'!$A$16:$C$22,3,FALSE)*$J75,0))</x:f>
      </x:c>
      <x:c r="P75" s="115" t="str">
        <x:f>IF($A75="","",IFERROR($I75*$J75*'Ayarlar'!$B$7*'Ayarlar'!$B$6,0))</x:f>
      </x:c>
      <x:c r="Q75" s="115" t="str">
        <x:f>IF($A75="","",IFERROR($I75*$J75*'Ayarlar'!$B$5,0))</x:f>
      </x:c>
      <x:c r="R75" s="115" t="str">
        <x:f>IF($A75="","",IFERROR(($K75+$L75)*'Ayarlar'!$B$8,0))</x:f>
      </x:c>
      <x:c r="S75" s="115" t="str">
        <x:f>IF($A75="","",SUM($N75:$R75)+$M75)</x:f>
      </x:c>
      <x:c r="T75" s="107" t="str">
        <x:f>IF($A75="","",'Ayarlar'!$B$9)</x:f>
      </x:c>
      <x:c r="U75" s="116" t="str">
        <x:f>IF($A75="","",ROUND($S75*(1+$T75),0))</x:f>
      </x:c>
      <x:c r="V75" s="116" t="str">
        <x:f>IF($A75="","",MAX($U75,'Ayarlar'!$B$4))</x:f>
      </x:c>
      <x:c r="W75" s="116"/>
      <x:c r="X75" s="116" t="str">
        <x:f>IF($A75="","",$V75-$W75)</x:f>
      </x:c>
      <x:c r="Y75" s="95"/>
      <x:c r="Z75" s="95"/>
    </x:row>
    <x:row r="76">
      <x:c r="A76" s="95"/>
      <x:c r="B76" s="114"/>
      <x:c r="C76" s="95"/>
      <x:c r="D76" s="95"/>
      <x:c r="E76" s="95"/>
      <x:c r="F76" s="95"/>
      <x:c r="G76" s="106"/>
      <x:c r="H76" s="106"/>
      <x:c r="I76" s="106"/>
      <x:c r="J76" s="106"/>
      <x:c r="K76" s="106"/>
      <x:c r="L76" s="106"/>
      <x:c r="M76" s="106"/>
      <x:c r="N76" s="115" t="str">
        <x:f>IF($A76="","",IFERROR($G76*(1+'Ayarlar'!$B$10)*VLOOKUP($E76,'Ayarlar'!$A$16:$C$22,3,FALSE)*$J76,0))</x:f>
      </x:c>
      <x:c r="O76" s="115" t="str">
        <x:f>IF($A76="","",IFERROR($H76*(1+'Ayarlar'!$B$10)*VLOOKUP("Support",'Ayarlar'!$A$16:$C$22,3,FALSE)*$J76,0))</x:f>
      </x:c>
      <x:c r="P76" s="115" t="str">
        <x:f>IF($A76="","",IFERROR($I76*$J76*'Ayarlar'!$B$7*'Ayarlar'!$B$6,0))</x:f>
      </x:c>
      <x:c r="Q76" s="115" t="str">
        <x:f>IF($A76="","",IFERROR($I76*$J76*'Ayarlar'!$B$5,0))</x:f>
      </x:c>
      <x:c r="R76" s="115" t="str">
        <x:f>IF($A76="","",IFERROR(($K76+$L76)*'Ayarlar'!$B$8,0))</x:f>
      </x:c>
      <x:c r="S76" s="115" t="str">
        <x:f>IF($A76="","",SUM($N76:$R76)+$M76)</x:f>
      </x:c>
      <x:c r="T76" s="107" t="str">
        <x:f>IF($A76="","",'Ayarlar'!$B$9)</x:f>
      </x:c>
      <x:c r="U76" s="116" t="str">
        <x:f>IF($A76="","",ROUND($S76*(1+$T76),0))</x:f>
      </x:c>
      <x:c r="V76" s="116" t="str">
        <x:f>IF($A76="","",MAX($U76,'Ayarlar'!$B$4))</x:f>
      </x:c>
      <x:c r="W76" s="116"/>
      <x:c r="X76" s="116" t="str">
        <x:f>IF($A76="","",$V76-$W76)</x:f>
      </x:c>
      <x:c r="Y76" s="95"/>
      <x:c r="Z76" s="95"/>
    </x:row>
    <x:row r="77">
      <x:c r="A77" s="95"/>
      <x:c r="B77" s="114"/>
      <x:c r="C77" s="95"/>
      <x:c r="D77" s="95"/>
      <x:c r="E77" s="95"/>
      <x:c r="F77" s="95"/>
      <x:c r="G77" s="106"/>
      <x:c r="H77" s="106"/>
      <x:c r="I77" s="106"/>
      <x:c r="J77" s="106"/>
      <x:c r="K77" s="106"/>
      <x:c r="L77" s="106"/>
      <x:c r="M77" s="106"/>
      <x:c r="N77" s="115" t="str">
        <x:f>IF($A77="","",IFERROR($G77*(1+'Ayarlar'!$B$10)*VLOOKUP($E77,'Ayarlar'!$A$16:$C$22,3,FALSE)*$J77,0))</x:f>
      </x:c>
      <x:c r="O77" s="115" t="str">
        <x:f>IF($A77="","",IFERROR($H77*(1+'Ayarlar'!$B$10)*VLOOKUP("Support",'Ayarlar'!$A$16:$C$22,3,FALSE)*$J77,0))</x:f>
      </x:c>
      <x:c r="P77" s="115" t="str">
        <x:f>IF($A77="","",IFERROR($I77*$J77*'Ayarlar'!$B$7*'Ayarlar'!$B$6,0))</x:f>
      </x:c>
      <x:c r="Q77" s="115" t="str">
        <x:f>IF($A77="","",IFERROR($I77*$J77*'Ayarlar'!$B$5,0))</x:f>
      </x:c>
      <x:c r="R77" s="115" t="str">
        <x:f>IF($A77="","",IFERROR(($K77+$L77)*'Ayarlar'!$B$8,0))</x:f>
      </x:c>
      <x:c r="S77" s="115" t="str">
        <x:f>IF($A77="","",SUM($N77:$R77)+$M77)</x:f>
      </x:c>
      <x:c r="T77" s="107" t="str">
        <x:f>IF($A77="","",'Ayarlar'!$B$9)</x:f>
      </x:c>
      <x:c r="U77" s="116" t="str">
        <x:f>IF($A77="","",ROUND($S77*(1+$T77),0))</x:f>
      </x:c>
      <x:c r="V77" s="116" t="str">
        <x:f>IF($A77="","",MAX($U77,'Ayarlar'!$B$4))</x:f>
      </x:c>
      <x:c r="W77" s="116"/>
      <x:c r="X77" s="116" t="str">
        <x:f>IF($A77="","",$V77-$W77)</x:f>
      </x:c>
      <x:c r="Y77" s="95"/>
      <x:c r="Z77" s="95"/>
    </x:row>
    <x:row r="78">
      <x:c r="A78" s="95"/>
      <x:c r="B78" s="114"/>
      <x:c r="C78" s="95"/>
      <x:c r="D78" s="95"/>
      <x:c r="E78" s="95"/>
      <x:c r="F78" s="95"/>
      <x:c r="G78" s="106"/>
      <x:c r="H78" s="106"/>
      <x:c r="I78" s="106"/>
      <x:c r="J78" s="106"/>
      <x:c r="K78" s="106"/>
      <x:c r="L78" s="106"/>
      <x:c r="M78" s="106"/>
      <x:c r="N78" s="115" t="str">
        <x:f>IF($A78="","",IFERROR($G78*(1+'Ayarlar'!$B$10)*VLOOKUP($E78,'Ayarlar'!$A$16:$C$22,3,FALSE)*$J78,0))</x:f>
      </x:c>
      <x:c r="O78" s="115" t="str">
        <x:f>IF($A78="","",IFERROR($H78*(1+'Ayarlar'!$B$10)*VLOOKUP("Support",'Ayarlar'!$A$16:$C$22,3,FALSE)*$J78,0))</x:f>
      </x:c>
      <x:c r="P78" s="115" t="str">
        <x:f>IF($A78="","",IFERROR($I78*$J78*'Ayarlar'!$B$7*'Ayarlar'!$B$6,0))</x:f>
      </x:c>
      <x:c r="Q78" s="115" t="str">
        <x:f>IF($A78="","",IFERROR($I78*$J78*'Ayarlar'!$B$5,0))</x:f>
      </x:c>
      <x:c r="R78" s="115" t="str">
        <x:f>IF($A78="","",IFERROR(($K78+$L78)*'Ayarlar'!$B$8,0))</x:f>
      </x:c>
      <x:c r="S78" s="115" t="str">
        <x:f>IF($A78="","",SUM($N78:$R78)+$M78)</x:f>
      </x:c>
      <x:c r="T78" s="107" t="str">
        <x:f>IF($A78="","",'Ayarlar'!$B$9)</x:f>
      </x:c>
      <x:c r="U78" s="116" t="str">
        <x:f>IF($A78="","",ROUND($S78*(1+$T78),0))</x:f>
      </x:c>
      <x:c r="V78" s="116" t="str">
        <x:f>IF($A78="","",MAX($U78,'Ayarlar'!$B$4))</x:f>
      </x:c>
      <x:c r="W78" s="116"/>
      <x:c r="X78" s="116" t="str">
        <x:f>IF($A78="","",$V78-$W78)</x:f>
      </x:c>
      <x:c r="Y78" s="95"/>
      <x:c r="Z78" s="95"/>
    </x:row>
    <x:row r="79">
      <x:c r="A79" s="95"/>
      <x:c r="B79" s="114"/>
      <x:c r="C79" s="95"/>
      <x:c r="D79" s="95"/>
      <x:c r="E79" s="95"/>
      <x:c r="F79" s="95"/>
      <x:c r="G79" s="106"/>
      <x:c r="H79" s="106"/>
      <x:c r="I79" s="106"/>
      <x:c r="J79" s="106"/>
      <x:c r="K79" s="106"/>
      <x:c r="L79" s="106"/>
      <x:c r="M79" s="106"/>
      <x:c r="N79" s="115" t="str">
        <x:f>IF($A79="","",IFERROR($G79*(1+'Ayarlar'!$B$10)*VLOOKUP($E79,'Ayarlar'!$A$16:$C$22,3,FALSE)*$J79,0))</x:f>
      </x:c>
      <x:c r="O79" s="115" t="str">
        <x:f>IF($A79="","",IFERROR($H79*(1+'Ayarlar'!$B$10)*VLOOKUP("Support",'Ayarlar'!$A$16:$C$22,3,FALSE)*$J79,0))</x:f>
      </x:c>
      <x:c r="P79" s="115" t="str">
        <x:f>IF($A79="","",IFERROR($I79*$J79*'Ayarlar'!$B$7*'Ayarlar'!$B$6,0))</x:f>
      </x:c>
      <x:c r="Q79" s="115" t="str">
        <x:f>IF($A79="","",IFERROR($I79*$J79*'Ayarlar'!$B$5,0))</x:f>
      </x:c>
      <x:c r="R79" s="115" t="str">
        <x:f>IF($A79="","",IFERROR(($K79+$L79)*'Ayarlar'!$B$8,0))</x:f>
      </x:c>
      <x:c r="S79" s="115" t="str">
        <x:f>IF($A79="","",SUM($N79:$R79)+$M79)</x:f>
      </x:c>
      <x:c r="T79" s="107" t="str">
        <x:f>IF($A79="","",'Ayarlar'!$B$9)</x:f>
      </x:c>
      <x:c r="U79" s="116" t="str">
        <x:f>IF($A79="","",ROUND($S79*(1+$T79),0))</x:f>
      </x:c>
      <x:c r="V79" s="116" t="str">
        <x:f>IF($A79="","",MAX($U79,'Ayarlar'!$B$4))</x:f>
      </x:c>
      <x:c r="W79" s="116"/>
      <x:c r="X79" s="116" t="str">
        <x:f>IF($A79="","",$V79-$W79)</x:f>
      </x:c>
      <x:c r="Y79" s="95"/>
      <x:c r="Z79" s="95"/>
    </x:row>
    <x:row r="80">
      <x:c r="A80" s="95"/>
      <x:c r="B80" s="114"/>
      <x:c r="C80" s="95"/>
      <x:c r="D80" s="95"/>
      <x:c r="E80" s="95"/>
      <x:c r="F80" s="95"/>
      <x:c r="G80" s="106"/>
      <x:c r="H80" s="106"/>
      <x:c r="I80" s="106"/>
      <x:c r="J80" s="106"/>
      <x:c r="K80" s="106"/>
      <x:c r="L80" s="106"/>
      <x:c r="M80" s="106"/>
      <x:c r="N80" s="115" t="str">
        <x:f>IF($A80="","",IFERROR($G80*(1+'Ayarlar'!$B$10)*VLOOKUP($E80,'Ayarlar'!$A$16:$C$22,3,FALSE)*$J80,0))</x:f>
      </x:c>
      <x:c r="O80" s="115" t="str">
        <x:f>IF($A80="","",IFERROR($H80*(1+'Ayarlar'!$B$10)*VLOOKUP("Support",'Ayarlar'!$A$16:$C$22,3,FALSE)*$J80,0))</x:f>
      </x:c>
      <x:c r="P80" s="115" t="str">
        <x:f>IF($A80="","",IFERROR($I80*$J80*'Ayarlar'!$B$7*'Ayarlar'!$B$6,0))</x:f>
      </x:c>
      <x:c r="Q80" s="115" t="str">
        <x:f>IF($A80="","",IFERROR($I80*$J80*'Ayarlar'!$B$5,0))</x:f>
      </x:c>
      <x:c r="R80" s="115" t="str">
        <x:f>IF($A80="","",IFERROR(($K80+$L80)*'Ayarlar'!$B$8,0))</x:f>
      </x:c>
      <x:c r="S80" s="115" t="str">
        <x:f>IF($A80="","",SUM($N80:$R80)+$M80)</x:f>
      </x:c>
      <x:c r="T80" s="107" t="str">
        <x:f>IF($A80="","",'Ayarlar'!$B$9)</x:f>
      </x:c>
      <x:c r="U80" s="116" t="str">
        <x:f>IF($A80="","",ROUND($S80*(1+$T80),0))</x:f>
      </x:c>
      <x:c r="V80" s="116" t="str">
        <x:f>IF($A80="","",MAX($U80,'Ayarlar'!$B$4))</x:f>
      </x:c>
      <x:c r="W80" s="116"/>
      <x:c r="X80" s="116" t="str">
        <x:f>IF($A80="","",$V80-$W80)</x:f>
      </x:c>
      <x:c r="Y80" s="95"/>
      <x:c r="Z80" s="95"/>
    </x:row>
    <x:row r="81">
      <x:c r="A81" s="95"/>
      <x:c r="B81" s="114"/>
      <x:c r="C81" s="95"/>
      <x:c r="D81" s="95"/>
      <x:c r="E81" s="95"/>
      <x:c r="F81" s="95"/>
      <x:c r="G81" s="106"/>
      <x:c r="H81" s="106"/>
      <x:c r="I81" s="106"/>
      <x:c r="J81" s="106"/>
      <x:c r="K81" s="106"/>
      <x:c r="L81" s="106"/>
      <x:c r="M81" s="106"/>
      <x:c r="N81" s="115" t="str">
        <x:f>IF($A81="","",IFERROR($G81*(1+'Ayarlar'!$B$10)*VLOOKUP($E81,'Ayarlar'!$A$16:$C$22,3,FALSE)*$J81,0))</x:f>
      </x:c>
      <x:c r="O81" s="115" t="str">
        <x:f>IF($A81="","",IFERROR($H81*(1+'Ayarlar'!$B$10)*VLOOKUP("Support",'Ayarlar'!$A$16:$C$22,3,FALSE)*$J81,0))</x:f>
      </x:c>
      <x:c r="P81" s="115" t="str">
        <x:f>IF($A81="","",IFERROR($I81*$J81*'Ayarlar'!$B$7*'Ayarlar'!$B$6,0))</x:f>
      </x:c>
      <x:c r="Q81" s="115" t="str">
        <x:f>IF($A81="","",IFERROR($I81*$J81*'Ayarlar'!$B$5,0))</x:f>
      </x:c>
      <x:c r="R81" s="115" t="str">
        <x:f>IF($A81="","",IFERROR(($K81+$L81)*'Ayarlar'!$B$8,0))</x:f>
      </x:c>
      <x:c r="S81" s="115" t="str">
        <x:f>IF($A81="","",SUM($N81:$R81)+$M81)</x:f>
      </x:c>
      <x:c r="T81" s="107" t="str">
        <x:f>IF($A81="","",'Ayarlar'!$B$9)</x:f>
      </x:c>
      <x:c r="U81" s="116" t="str">
        <x:f>IF($A81="","",ROUND($S81*(1+$T81),0))</x:f>
      </x:c>
      <x:c r="V81" s="116" t="str">
        <x:f>IF($A81="","",MAX($U81,'Ayarlar'!$B$4))</x:f>
      </x:c>
      <x:c r="W81" s="116"/>
      <x:c r="X81" s="116" t="str">
        <x:f>IF($A81="","",$V81-$W81)</x:f>
      </x:c>
      <x:c r="Y81" s="95"/>
      <x:c r="Z81" s="95"/>
    </x:row>
    <x:row r="82">
      <x:c r="A82" s="95"/>
      <x:c r="B82" s="114"/>
      <x:c r="C82" s="95"/>
      <x:c r="D82" s="95"/>
      <x:c r="E82" s="95"/>
      <x:c r="F82" s="95"/>
      <x:c r="G82" s="106"/>
      <x:c r="H82" s="106"/>
      <x:c r="I82" s="106"/>
      <x:c r="J82" s="106"/>
      <x:c r="K82" s="106"/>
      <x:c r="L82" s="106"/>
      <x:c r="M82" s="106"/>
      <x:c r="N82" s="115" t="str">
        <x:f>IF($A82="","",IFERROR($G82*(1+'Ayarlar'!$B$10)*VLOOKUP($E82,'Ayarlar'!$A$16:$C$22,3,FALSE)*$J82,0))</x:f>
      </x:c>
      <x:c r="O82" s="115" t="str">
        <x:f>IF($A82="","",IFERROR($H82*(1+'Ayarlar'!$B$10)*VLOOKUP("Support",'Ayarlar'!$A$16:$C$22,3,FALSE)*$J82,0))</x:f>
      </x:c>
      <x:c r="P82" s="115" t="str">
        <x:f>IF($A82="","",IFERROR($I82*$J82*'Ayarlar'!$B$7*'Ayarlar'!$B$6,0))</x:f>
      </x:c>
      <x:c r="Q82" s="115" t="str">
        <x:f>IF($A82="","",IFERROR($I82*$J82*'Ayarlar'!$B$5,0))</x:f>
      </x:c>
      <x:c r="R82" s="115" t="str">
        <x:f>IF($A82="","",IFERROR(($K82+$L82)*'Ayarlar'!$B$8,0))</x:f>
      </x:c>
      <x:c r="S82" s="115" t="str">
        <x:f>IF($A82="","",SUM($N82:$R82)+$M82)</x:f>
      </x:c>
      <x:c r="T82" s="107" t="str">
        <x:f>IF($A82="","",'Ayarlar'!$B$9)</x:f>
      </x:c>
      <x:c r="U82" s="116" t="str">
        <x:f>IF($A82="","",ROUND($S82*(1+$T82),0))</x:f>
      </x:c>
      <x:c r="V82" s="116" t="str">
        <x:f>IF($A82="","",MAX($U82,'Ayarlar'!$B$4))</x:f>
      </x:c>
      <x:c r="W82" s="116"/>
      <x:c r="X82" s="116" t="str">
        <x:f>IF($A82="","",$V82-$W82)</x:f>
      </x:c>
      <x:c r="Y82" s="95"/>
      <x:c r="Z82" s="95"/>
    </x:row>
    <x:row r="83">
      <x:c r="A83" s="95"/>
      <x:c r="B83" s="114"/>
      <x:c r="C83" s="95"/>
      <x:c r="D83" s="95"/>
      <x:c r="E83" s="95"/>
      <x:c r="F83" s="95"/>
      <x:c r="G83" s="106"/>
      <x:c r="H83" s="106"/>
      <x:c r="I83" s="106"/>
      <x:c r="J83" s="106"/>
      <x:c r="K83" s="106"/>
      <x:c r="L83" s="106"/>
      <x:c r="M83" s="106"/>
      <x:c r="N83" s="115" t="str">
        <x:f>IF($A83="","",IFERROR($G83*(1+'Ayarlar'!$B$10)*VLOOKUP($E83,'Ayarlar'!$A$16:$C$22,3,FALSE)*$J83,0))</x:f>
      </x:c>
      <x:c r="O83" s="115" t="str">
        <x:f>IF($A83="","",IFERROR($H83*(1+'Ayarlar'!$B$10)*VLOOKUP("Support",'Ayarlar'!$A$16:$C$22,3,FALSE)*$J83,0))</x:f>
      </x:c>
      <x:c r="P83" s="115" t="str">
        <x:f>IF($A83="","",IFERROR($I83*$J83*'Ayarlar'!$B$7*'Ayarlar'!$B$6,0))</x:f>
      </x:c>
      <x:c r="Q83" s="115" t="str">
        <x:f>IF($A83="","",IFERROR($I83*$J83*'Ayarlar'!$B$5,0))</x:f>
      </x:c>
      <x:c r="R83" s="115" t="str">
        <x:f>IF($A83="","",IFERROR(($K83+$L83)*'Ayarlar'!$B$8,0))</x:f>
      </x:c>
      <x:c r="S83" s="115" t="str">
        <x:f>IF($A83="","",SUM($N83:$R83)+$M83)</x:f>
      </x:c>
      <x:c r="T83" s="107" t="str">
        <x:f>IF($A83="","",'Ayarlar'!$B$9)</x:f>
      </x:c>
      <x:c r="U83" s="116" t="str">
        <x:f>IF($A83="","",ROUND($S83*(1+$T83),0))</x:f>
      </x:c>
      <x:c r="V83" s="116" t="str">
        <x:f>IF($A83="","",MAX($U83,'Ayarlar'!$B$4))</x:f>
      </x:c>
      <x:c r="W83" s="116"/>
      <x:c r="X83" s="116" t="str">
        <x:f>IF($A83="","",$V83-$W83)</x:f>
      </x:c>
      <x:c r="Y83" s="95"/>
      <x:c r="Z83" s="95"/>
    </x:row>
    <x:row r="84">
      <x:c r="A84" s="95"/>
      <x:c r="B84" s="114"/>
      <x:c r="C84" s="95"/>
      <x:c r="D84" s="95"/>
      <x:c r="E84" s="95"/>
      <x:c r="F84" s="95"/>
      <x:c r="G84" s="106"/>
      <x:c r="H84" s="106"/>
      <x:c r="I84" s="106"/>
      <x:c r="J84" s="106"/>
      <x:c r="K84" s="106"/>
      <x:c r="L84" s="106"/>
      <x:c r="M84" s="106"/>
      <x:c r="N84" s="115" t="str">
        <x:f>IF($A84="","",IFERROR($G84*(1+'Ayarlar'!$B$10)*VLOOKUP($E84,'Ayarlar'!$A$16:$C$22,3,FALSE)*$J84,0))</x:f>
      </x:c>
      <x:c r="O84" s="115" t="str">
        <x:f>IF($A84="","",IFERROR($H84*(1+'Ayarlar'!$B$10)*VLOOKUP("Support",'Ayarlar'!$A$16:$C$22,3,FALSE)*$J84,0))</x:f>
      </x:c>
      <x:c r="P84" s="115" t="str">
        <x:f>IF($A84="","",IFERROR($I84*$J84*'Ayarlar'!$B$7*'Ayarlar'!$B$6,0))</x:f>
      </x:c>
      <x:c r="Q84" s="115" t="str">
        <x:f>IF($A84="","",IFERROR($I84*$J84*'Ayarlar'!$B$5,0))</x:f>
      </x:c>
      <x:c r="R84" s="115" t="str">
        <x:f>IF($A84="","",IFERROR(($K84+$L84)*'Ayarlar'!$B$8,0))</x:f>
      </x:c>
      <x:c r="S84" s="115" t="str">
        <x:f>IF($A84="","",SUM($N84:$R84)+$M84)</x:f>
      </x:c>
      <x:c r="T84" s="107" t="str">
        <x:f>IF($A84="","",'Ayarlar'!$B$9)</x:f>
      </x:c>
      <x:c r="U84" s="116" t="str">
        <x:f>IF($A84="","",ROUND($S84*(1+$T84),0))</x:f>
      </x:c>
      <x:c r="V84" s="116" t="str">
        <x:f>IF($A84="","",MAX($U84,'Ayarlar'!$B$4))</x:f>
      </x:c>
      <x:c r="W84" s="116"/>
      <x:c r="X84" s="116" t="str">
        <x:f>IF($A84="","",$V84-$W84)</x:f>
      </x:c>
      <x:c r="Y84" s="95"/>
      <x:c r="Z84" s="95"/>
    </x:row>
    <x:row r="85">
      <x:c r="A85" s="95"/>
      <x:c r="B85" s="114"/>
      <x:c r="C85" s="95"/>
      <x:c r="D85" s="95"/>
      <x:c r="E85" s="95"/>
      <x:c r="F85" s="95"/>
      <x:c r="G85" s="106"/>
      <x:c r="H85" s="106"/>
      <x:c r="I85" s="106"/>
      <x:c r="J85" s="106"/>
      <x:c r="K85" s="106"/>
      <x:c r="L85" s="106"/>
      <x:c r="M85" s="106"/>
      <x:c r="N85" s="115" t="str">
        <x:f>IF($A85="","",IFERROR($G85*(1+'Ayarlar'!$B$10)*VLOOKUP($E85,'Ayarlar'!$A$16:$C$22,3,FALSE)*$J85,0))</x:f>
      </x:c>
      <x:c r="O85" s="115" t="str">
        <x:f>IF($A85="","",IFERROR($H85*(1+'Ayarlar'!$B$10)*VLOOKUP("Support",'Ayarlar'!$A$16:$C$22,3,FALSE)*$J85,0))</x:f>
      </x:c>
      <x:c r="P85" s="115" t="str">
        <x:f>IF($A85="","",IFERROR($I85*$J85*'Ayarlar'!$B$7*'Ayarlar'!$B$6,0))</x:f>
      </x:c>
      <x:c r="Q85" s="115" t="str">
        <x:f>IF($A85="","",IFERROR($I85*$J85*'Ayarlar'!$B$5,0))</x:f>
      </x:c>
      <x:c r="R85" s="115" t="str">
        <x:f>IF($A85="","",IFERROR(($K85+$L85)*'Ayarlar'!$B$8,0))</x:f>
      </x:c>
      <x:c r="S85" s="115" t="str">
        <x:f>IF($A85="","",SUM($N85:$R85)+$M85)</x:f>
      </x:c>
      <x:c r="T85" s="107" t="str">
        <x:f>IF($A85="","",'Ayarlar'!$B$9)</x:f>
      </x:c>
      <x:c r="U85" s="116" t="str">
        <x:f>IF($A85="","",ROUND($S85*(1+$T85),0))</x:f>
      </x:c>
      <x:c r="V85" s="116" t="str">
        <x:f>IF($A85="","",MAX($U85,'Ayarlar'!$B$4))</x:f>
      </x:c>
      <x:c r="W85" s="116"/>
      <x:c r="X85" s="116" t="str">
        <x:f>IF($A85="","",$V85-$W85)</x:f>
      </x:c>
      <x:c r="Y85" s="95"/>
      <x:c r="Z85" s="95"/>
    </x:row>
    <x:row r="86">
      <x:c r="A86" s="95"/>
      <x:c r="B86" s="114"/>
      <x:c r="C86" s="95"/>
      <x:c r="D86" s="95"/>
      <x:c r="E86" s="95"/>
      <x:c r="F86" s="95"/>
      <x:c r="G86" s="106"/>
      <x:c r="H86" s="106"/>
      <x:c r="I86" s="106"/>
      <x:c r="J86" s="106"/>
      <x:c r="K86" s="106"/>
      <x:c r="L86" s="106"/>
      <x:c r="M86" s="106"/>
      <x:c r="N86" s="115" t="str">
        <x:f>IF($A86="","",IFERROR($G86*(1+'Ayarlar'!$B$10)*VLOOKUP($E86,'Ayarlar'!$A$16:$C$22,3,FALSE)*$J86,0))</x:f>
      </x:c>
      <x:c r="O86" s="115" t="str">
        <x:f>IF($A86="","",IFERROR($H86*(1+'Ayarlar'!$B$10)*VLOOKUP("Support",'Ayarlar'!$A$16:$C$22,3,FALSE)*$J86,0))</x:f>
      </x:c>
      <x:c r="P86" s="115" t="str">
        <x:f>IF($A86="","",IFERROR($I86*$J86*'Ayarlar'!$B$7*'Ayarlar'!$B$6,0))</x:f>
      </x:c>
      <x:c r="Q86" s="115" t="str">
        <x:f>IF($A86="","",IFERROR($I86*$J86*'Ayarlar'!$B$5,0))</x:f>
      </x:c>
      <x:c r="R86" s="115" t="str">
        <x:f>IF($A86="","",IFERROR(($K86+$L86)*'Ayarlar'!$B$8,0))</x:f>
      </x:c>
      <x:c r="S86" s="115" t="str">
        <x:f>IF($A86="","",SUM($N86:$R86)+$M86)</x:f>
      </x:c>
      <x:c r="T86" s="107" t="str">
        <x:f>IF($A86="","",'Ayarlar'!$B$9)</x:f>
      </x:c>
      <x:c r="U86" s="116" t="str">
        <x:f>IF($A86="","",ROUND($S86*(1+$T86),0))</x:f>
      </x:c>
      <x:c r="V86" s="116" t="str">
        <x:f>IF($A86="","",MAX($U86,'Ayarlar'!$B$4))</x:f>
      </x:c>
      <x:c r="W86" s="116"/>
      <x:c r="X86" s="116" t="str">
        <x:f>IF($A86="","",$V86-$W86)</x:f>
      </x:c>
      <x:c r="Y86" s="95"/>
      <x:c r="Z86" s="95"/>
    </x:row>
    <x:row r="87">
      <x:c r="A87" s="95"/>
      <x:c r="B87" s="114"/>
      <x:c r="C87" s="95"/>
      <x:c r="D87" s="95"/>
      <x:c r="E87" s="95"/>
      <x:c r="F87" s="95"/>
      <x:c r="G87" s="106"/>
      <x:c r="H87" s="106"/>
      <x:c r="I87" s="106"/>
      <x:c r="J87" s="106"/>
      <x:c r="K87" s="106"/>
      <x:c r="L87" s="106"/>
      <x:c r="M87" s="106"/>
      <x:c r="N87" s="115" t="str">
        <x:f>IF($A87="","",IFERROR($G87*(1+'Ayarlar'!$B$10)*VLOOKUP($E87,'Ayarlar'!$A$16:$C$22,3,FALSE)*$J87,0))</x:f>
      </x:c>
      <x:c r="O87" s="115" t="str">
        <x:f>IF($A87="","",IFERROR($H87*(1+'Ayarlar'!$B$10)*VLOOKUP("Support",'Ayarlar'!$A$16:$C$22,3,FALSE)*$J87,0))</x:f>
      </x:c>
      <x:c r="P87" s="115" t="str">
        <x:f>IF($A87="","",IFERROR($I87*$J87*'Ayarlar'!$B$7*'Ayarlar'!$B$6,0))</x:f>
      </x:c>
      <x:c r="Q87" s="115" t="str">
        <x:f>IF($A87="","",IFERROR($I87*$J87*'Ayarlar'!$B$5,0))</x:f>
      </x:c>
      <x:c r="R87" s="115" t="str">
        <x:f>IF($A87="","",IFERROR(($K87+$L87)*'Ayarlar'!$B$8,0))</x:f>
      </x:c>
      <x:c r="S87" s="115" t="str">
        <x:f>IF($A87="","",SUM($N87:$R87)+$M87)</x:f>
      </x:c>
      <x:c r="T87" s="107" t="str">
        <x:f>IF($A87="","",'Ayarlar'!$B$9)</x:f>
      </x:c>
      <x:c r="U87" s="116" t="str">
        <x:f>IF($A87="","",ROUND($S87*(1+$T87),0))</x:f>
      </x:c>
      <x:c r="V87" s="116" t="str">
        <x:f>IF($A87="","",MAX($U87,'Ayarlar'!$B$4))</x:f>
      </x:c>
      <x:c r="W87" s="116"/>
      <x:c r="X87" s="116" t="str">
        <x:f>IF($A87="","",$V87-$W87)</x:f>
      </x:c>
      <x:c r="Y87" s="95"/>
      <x:c r="Z87" s="95"/>
    </x:row>
    <x:row r="88">
      <x:c r="A88" s="95"/>
      <x:c r="B88" s="114"/>
      <x:c r="C88" s="95"/>
      <x:c r="D88" s="95"/>
      <x:c r="E88" s="95"/>
      <x:c r="F88" s="95"/>
      <x:c r="G88" s="106"/>
      <x:c r="H88" s="106"/>
      <x:c r="I88" s="106"/>
      <x:c r="J88" s="106"/>
      <x:c r="K88" s="106"/>
      <x:c r="L88" s="106"/>
      <x:c r="M88" s="106"/>
      <x:c r="N88" s="115" t="str">
        <x:f>IF($A88="","",IFERROR($G88*(1+'Ayarlar'!$B$10)*VLOOKUP($E88,'Ayarlar'!$A$16:$C$22,3,FALSE)*$J88,0))</x:f>
      </x:c>
      <x:c r="O88" s="115" t="str">
        <x:f>IF($A88="","",IFERROR($H88*(1+'Ayarlar'!$B$10)*VLOOKUP("Support",'Ayarlar'!$A$16:$C$22,3,FALSE)*$J88,0))</x:f>
      </x:c>
      <x:c r="P88" s="115" t="str">
        <x:f>IF($A88="","",IFERROR($I88*$J88*'Ayarlar'!$B$7*'Ayarlar'!$B$6,0))</x:f>
      </x:c>
      <x:c r="Q88" s="115" t="str">
        <x:f>IF($A88="","",IFERROR($I88*$J88*'Ayarlar'!$B$5,0))</x:f>
      </x:c>
      <x:c r="R88" s="115" t="str">
        <x:f>IF($A88="","",IFERROR(($K88+$L88)*'Ayarlar'!$B$8,0))</x:f>
      </x:c>
      <x:c r="S88" s="115" t="str">
        <x:f>IF($A88="","",SUM($N88:$R88)+$M88)</x:f>
      </x:c>
      <x:c r="T88" s="107" t="str">
        <x:f>IF($A88="","",'Ayarlar'!$B$9)</x:f>
      </x:c>
      <x:c r="U88" s="116" t="str">
        <x:f>IF($A88="","",ROUND($S88*(1+$T88),0))</x:f>
      </x:c>
      <x:c r="V88" s="116" t="str">
        <x:f>IF($A88="","",MAX($U88,'Ayarlar'!$B$4))</x:f>
      </x:c>
      <x:c r="W88" s="116"/>
      <x:c r="X88" s="116" t="str">
        <x:f>IF($A88="","",$V88-$W88)</x:f>
      </x:c>
      <x:c r="Y88" s="95"/>
      <x:c r="Z88" s="95"/>
    </x:row>
    <x:row r="89">
      <x:c r="A89" s="95"/>
      <x:c r="B89" s="114"/>
      <x:c r="C89" s="95"/>
      <x:c r="D89" s="95"/>
      <x:c r="E89" s="95"/>
      <x:c r="F89" s="95"/>
      <x:c r="G89" s="106"/>
      <x:c r="H89" s="106"/>
      <x:c r="I89" s="106"/>
      <x:c r="J89" s="106"/>
      <x:c r="K89" s="106"/>
      <x:c r="L89" s="106"/>
      <x:c r="M89" s="106"/>
      <x:c r="N89" s="115" t="str">
        <x:f>IF($A89="","",IFERROR($G89*(1+'Ayarlar'!$B$10)*VLOOKUP($E89,'Ayarlar'!$A$16:$C$22,3,FALSE)*$J89,0))</x:f>
      </x:c>
      <x:c r="O89" s="115" t="str">
        <x:f>IF($A89="","",IFERROR($H89*(1+'Ayarlar'!$B$10)*VLOOKUP("Support",'Ayarlar'!$A$16:$C$22,3,FALSE)*$J89,0))</x:f>
      </x:c>
      <x:c r="P89" s="115" t="str">
        <x:f>IF($A89="","",IFERROR($I89*$J89*'Ayarlar'!$B$7*'Ayarlar'!$B$6,0))</x:f>
      </x:c>
      <x:c r="Q89" s="115" t="str">
        <x:f>IF($A89="","",IFERROR($I89*$J89*'Ayarlar'!$B$5,0))</x:f>
      </x:c>
      <x:c r="R89" s="115" t="str">
        <x:f>IF($A89="","",IFERROR(($K89+$L89)*'Ayarlar'!$B$8,0))</x:f>
      </x:c>
      <x:c r="S89" s="115" t="str">
        <x:f>IF($A89="","",SUM($N89:$R89)+$M89)</x:f>
      </x:c>
      <x:c r="T89" s="107" t="str">
        <x:f>IF($A89="","",'Ayarlar'!$B$9)</x:f>
      </x:c>
      <x:c r="U89" s="116" t="str">
        <x:f>IF($A89="","",ROUND($S89*(1+$T89),0))</x:f>
      </x:c>
      <x:c r="V89" s="116" t="str">
        <x:f>IF($A89="","",MAX($U89,'Ayarlar'!$B$4))</x:f>
      </x:c>
      <x:c r="W89" s="116"/>
      <x:c r="X89" s="116" t="str">
        <x:f>IF($A89="","",$V89-$W89)</x:f>
      </x:c>
      <x:c r="Y89" s="95"/>
      <x:c r="Z89" s="95"/>
    </x:row>
    <x:row r="90">
      <x:c r="A90" s="95"/>
      <x:c r="B90" s="114"/>
      <x:c r="C90" s="95"/>
      <x:c r="D90" s="95"/>
      <x:c r="E90" s="95"/>
      <x:c r="F90" s="95"/>
      <x:c r="G90" s="106"/>
      <x:c r="H90" s="106"/>
      <x:c r="I90" s="106"/>
      <x:c r="J90" s="106"/>
      <x:c r="K90" s="106"/>
      <x:c r="L90" s="106"/>
      <x:c r="M90" s="106"/>
      <x:c r="N90" s="115" t="str">
        <x:f>IF($A90="","",IFERROR($G90*(1+'Ayarlar'!$B$10)*VLOOKUP($E90,'Ayarlar'!$A$16:$C$22,3,FALSE)*$J90,0))</x:f>
      </x:c>
      <x:c r="O90" s="115" t="str">
        <x:f>IF($A90="","",IFERROR($H90*(1+'Ayarlar'!$B$10)*VLOOKUP("Support",'Ayarlar'!$A$16:$C$22,3,FALSE)*$J90,0))</x:f>
      </x:c>
      <x:c r="P90" s="115" t="str">
        <x:f>IF($A90="","",IFERROR($I90*$J90*'Ayarlar'!$B$7*'Ayarlar'!$B$6,0))</x:f>
      </x:c>
      <x:c r="Q90" s="115" t="str">
        <x:f>IF($A90="","",IFERROR($I90*$J90*'Ayarlar'!$B$5,0))</x:f>
      </x:c>
      <x:c r="R90" s="115" t="str">
        <x:f>IF($A90="","",IFERROR(($K90+$L90)*'Ayarlar'!$B$8,0))</x:f>
      </x:c>
      <x:c r="S90" s="115" t="str">
        <x:f>IF($A90="","",SUM($N90:$R90)+$M90)</x:f>
      </x:c>
      <x:c r="T90" s="107" t="str">
        <x:f>IF($A90="","",'Ayarlar'!$B$9)</x:f>
      </x:c>
      <x:c r="U90" s="116" t="str">
        <x:f>IF($A90="","",ROUND($S90*(1+$T90),0))</x:f>
      </x:c>
      <x:c r="V90" s="116" t="str">
        <x:f>IF($A90="","",MAX($U90,'Ayarlar'!$B$4))</x:f>
      </x:c>
      <x:c r="W90" s="116"/>
      <x:c r="X90" s="116" t="str">
        <x:f>IF($A90="","",$V90-$W90)</x:f>
      </x:c>
      <x:c r="Y90" s="95"/>
      <x:c r="Z90" s="95"/>
    </x:row>
    <x:row r="91">
      <x:c r="A91" s="95"/>
      <x:c r="B91" s="114"/>
      <x:c r="C91" s="95"/>
      <x:c r="D91" s="95"/>
      <x:c r="E91" s="95"/>
      <x:c r="F91" s="95"/>
      <x:c r="G91" s="106"/>
      <x:c r="H91" s="106"/>
      <x:c r="I91" s="106"/>
      <x:c r="J91" s="106"/>
      <x:c r="K91" s="106"/>
      <x:c r="L91" s="106"/>
      <x:c r="M91" s="106"/>
      <x:c r="N91" s="115" t="str">
        <x:f>IF($A91="","",IFERROR($G91*(1+'Ayarlar'!$B$10)*VLOOKUP($E91,'Ayarlar'!$A$16:$C$22,3,FALSE)*$J91,0))</x:f>
      </x:c>
      <x:c r="O91" s="115" t="str">
        <x:f>IF($A91="","",IFERROR($H91*(1+'Ayarlar'!$B$10)*VLOOKUP("Support",'Ayarlar'!$A$16:$C$22,3,FALSE)*$J91,0))</x:f>
      </x:c>
      <x:c r="P91" s="115" t="str">
        <x:f>IF($A91="","",IFERROR($I91*$J91*'Ayarlar'!$B$7*'Ayarlar'!$B$6,0))</x:f>
      </x:c>
      <x:c r="Q91" s="115" t="str">
        <x:f>IF($A91="","",IFERROR($I91*$J91*'Ayarlar'!$B$5,0))</x:f>
      </x:c>
      <x:c r="R91" s="115" t="str">
        <x:f>IF($A91="","",IFERROR(($K91+$L91)*'Ayarlar'!$B$8,0))</x:f>
      </x:c>
      <x:c r="S91" s="115" t="str">
        <x:f>IF($A91="","",SUM($N91:$R91)+$M91)</x:f>
      </x:c>
      <x:c r="T91" s="107" t="str">
        <x:f>IF($A91="","",'Ayarlar'!$B$9)</x:f>
      </x:c>
      <x:c r="U91" s="116" t="str">
        <x:f>IF($A91="","",ROUND($S91*(1+$T91),0))</x:f>
      </x:c>
      <x:c r="V91" s="116" t="str">
        <x:f>IF($A91="","",MAX($U91,'Ayarlar'!$B$4))</x:f>
      </x:c>
      <x:c r="W91" s="116"/>
      <x:c r="X91" s="116" t="str">
        <x:f>IF($A91="","",$V91-$W91)</x:f>
      </x:c>
      <x:c r="Y91" s="95"/>
      <x:c r="Z91" s="95"/>
    </x:row>
    <x:row r="92">
      <x:c r="A92" s="95"/>
      <x:c r="B92" s="114"/>
      <x:c r="C92" s="95"/>
      <x:c r="D92" s="95"/>
      <x:c r="E92" s="95"/>
      <x:c r="F92" s="95"/>
      <x:c r="G92" s="106"/>
      <x:c r="H92" s="106"/>
      <x:c r="I92" s="106"/>
      <x:c r="J92" s="106"/>
      <x:c r="K92" s="106"/>
      <x:c r="L92" s="106"/>
      <x:c r="M92" s="106"/>
      <x:c r="N92" s="115" t="str">
        <x:f>IF($A92="","",IFERROR($G92*(1+'Ayarlar'!$B$10)*VLOOKUP($E92,'Ayarlar'!$A$16:$C$22,3,FALSE)*$J92,0))</x:f>
      </x:c>
      <x:c r="O92" s="115" t="str">
        <x:f>IF($A92="","",IFERROR($H92*(1+'Ayarlar'!$B$10)*VLOOKUP("Support",'Ayarlar'!$A$16:$C$22,3,FALSE)*$J92,0))</x:f>
      </x:c>
      <x:c r="P92" s="115" t="str">
        <x:f>IF($A92="","",IFERROR($I92*$J92*'Ayarlar'!$B$7*'Ayarlar'!$B$6,0))</x:f>
      </x:c>
      <x:c r="Q92" s="115" t="str">
        <x:f>IF($A92="","",IFERROR($I92*$J92*'Ayarlar'!$B$5,0))</x:f>
      </x:c>
      <x:c r="R92" s="115" t="str">
        <x:f>IF($A92="","",IFERROR(($K92+$L92)*'Ayarlar'!$B$8,0))</x:f>
      </x:c>
      <x:c r="S92" s="115" t="str">
        <x:f>IF($A92="","",SUM($N92:$R92)+$M92)</x:f>
      </x:c>
      <x:c r="T92" s="107" t="str">
        <x:f>IF($A92="","",'Ayarlar'!$B$9)</x:f>
      </x:c>
      <x:c r="U92" s="116" t="str">
        <x:f>IF($A92="","",ROUND($S92*(1+$T92),0))</x:f>
      </x:c>
      <x:c r="V92" s="116" t="str">
        <x:f>IF($A92="","",MAX($U92,'Ayarlar'!$B$4))</x:f>
      </x:c>
      <x:c r="W92" s="116"/>
      <x:c r="X92" s="116" t="str">
        <x:f>IF($A92="","",$V92-$W92)</x:f>
      </x:c>
      <x:c r="Y92" s="95"/>
      <x:c r="Z92" s="95"/>
    </x:row>
    <x:row r="93">
      <x:c r="A93" s="95"/>
      <x:c r="B93" s="114"/>
      <x:c r="C93" s="95"/>
      <x:c r="D93" s="95"/>
      <x:c r="E93" s="95"/>
      <x:c r="F93" s="95"/>
      <x:c r="G93" s="106"/>
      <x:c r="H93" s="106"/>
      <x:c r="I93" s="106"/>
      <x:c r="J93" s="106"/>
      <x:c r="K93" s="106"/>
      <x:c r="L93" s="106"/>
      <x:c r="M93" s="106"/>
      <x:c r="N93" s="115" t="str">
        <x:f>IF($A93="","",IFERROR($G93*(1+'Ayarlar'!$B$10)*VLOOKUP($E93,'Ayarlar'!$A$16:$C$22,3,FALSE)*$J93,0))</x:f>
      </x:c>
      <x:c r="O93" s="115" t="str">
        <x:f>IF($A93="","",IFERROR($H93*(1+'Ayarlar'!$B$10)*VLOOKUP("Support",'Ayarlar'!$A$16:$C$22,3,FALSE)*$J93,0))</x:f>
      </x:c>
      <x:c r="P93" s="115" t="str">
        <x:f>IF($A93="","",IFERROR($I93*$J93*'Ayarlar'!$B$7*'Ayarlar'!$B$6,0))</x:f>
      </x:c>
      <x:c r="Q93" s="115" t="str">
        <x:f>IF($A93="","",IFERROR($I93*$J93*'Ayarlar'!$B$5,0))</x:f>
      </x:c>
      <x:c r="R93" s="115" t="str">
        <x:f>IF($A93="","",IFERROR(($K93+$L93)*'Ayarlar'!$B$8,0))</x:f>
      </x:c>
      <x:c r="S93" s="115" t="str">
        <x:f>IF($A93="","",SUM($N93:$R93)+$M93)</x:f>
      </x:c>
      <x:c r="T93" s="107" t="str">
        <x:f>IF($A93="","",'Ayarlar'!$B$9)</x:f>
      </x:c>
      <x:c r="U93" s="116" t="str">
        <x:f>IF($A93="","",ROUND($S93*(1+$T93),0))</x:f>
      </x:c>
      <x:c r="V93" s="116" t="str">
        <x:f>IF($A93="","",MAX($U93,'Ayarlar'!$B$4))</x:f>
      </x:c>
      <x:c r="W93" s="116"/>
      <x:c r="X93" s="116" t="str">
        <x:f>IF($A93="","",$V93-$W93)</x:f>
      </x:c>
      <x:c r="Y93" s="95"/>
      <x:c r="Z93" s="95"/>
    </x:row>
    <x:row r="94">
      <x:c r="A94" s="95"/>
      <x:c r="B94" s="114"/>
      <x:c r="C94" s="95"/>
      <x:c r="D94" s="95"/>
      <x:c r="E94" s="95"/>
      <x:c r="F94" s="95"/>
      <x:c r="G94" s="106"/>
      <x:c r="H94" s="106"/>
      <x:c r="I94" s="106"/>
      <x:c r="J94" s="106"/>
      <x:c r="K94" s="106"/>
      <x:c r="L94" s="106"/>
      <x:c r="M94" s="106"/>
      <x:c r="N94" s="115" t="str">
        <x:f>IF($A94="","",IFERROR($G94*(1+'Ayarlar'!$B$10)*VLOOKUP($E94,'Ayarlar'!$A$16:$C$22,3,FALSE)*$J94,0))</x:f>
      </x:c>
      <x:c r="O94" s="115" t="str">
        <x:f>IF($A94="","",IFERROR($H94*(1+'Ayarlar'!$B$10)*VLOOKUP("Support",'Ayarlar'!$A$16:$C$22,3,FALSE)*$J94,0))</x:f>
      </x:c>
      <x:c r="P94" s="115" t="str">
        <x:f>IF($A94="","",IFERROR($I94*$J94*'Ayarlar'!$B$7*'Ayarlar'!$B$6,0))</x:f>
      </x:c>
      <x:c r="Q94" s="115" t="str">
        <x:f>IF($A94="","",IFERROR($I94*$J94*'Ayarlar'!$B$5,0))</x:f>
      </x:c>
      <x:c r="R94" s="115" t="str">
        <x:f>IF($A94="","",IFERROR(($K94+$L94)*'Ayarlar'!$B$8,0))</x:f>
      </x:c>
      <x:c r="S94" s="115" t="str">
        <x:f>IF($A94="","",SUM($N94:$R94)+$M94)</x:f>
      </x:c>
      <x:c r="T94" s="107" t="str">
        <x:f>IF($A94="","",'Ayarlar'!$B$9)</x:f>
      </x:c>
      <x:c r="U94" s="116" t="str">
        <x:f>IF($A94="","",ROUND($S94*(1+$T94),0))</x:f>
      </x:c>
      <x:c r="V94" s="116" t="str">
        <x:f>IF($A94="","",MAX($U94,'Ayarlar'!$B$4))</x:f>
      </x:c>
      <x:c r="W94" s="116"/>
      <x:c r="X94" s="116" t="str">
        <x:f>IF($A94="","",$V94-$W94)</x:f>
      </x:c>
      <x:c r="Y94" s="95"/>
      <x:c r="Z94" s="95"/>
    </x:row>
    <x:row r="95">
      <x:c r="A95" s="95"/>
      <x:c r="B95" s="114"/>
      <x:c r="C95" s="95"/>
      <x:c r="D95" s="95"/>
      <x:c r="E95" s="95"/>
      <x:c r="F95" s="95"/>
      <x:c r="G95" s="106"/>
      <x:c r="H95" s="106"/>
      <x:c r="I95" s="106"/>
      <x:c r="J95" s="106"/>
      <x:c r="K95" s="106"/>
      <x:c r="L95" s="106"/>
      <x:c r="M95" s="106"/>
      <x:c r="N95" s="115" t="str">
        <x:f>IF($A95="","",IFERROR($G95*(1+'Ayarlar'!$B$10)*VLOOKUP($E95,'Ayarlar'!$A$16:$C$22,3,FALSE)*$J95,0))</x:f>
      </x:c>
      <x:c r="O95" s="115" t="str">
        <x:f>IF($A95="","",IFERROR($H95*(1+'Ayarlar'!$B$10)*VLOOKUP("Support",'Ayarlar'!$A$16:$C$22,3,FALSE)*$J95,0))</x:f>
      </x:c>
      <x:c r="P95" s="115" t="str">
        <x:f>IF($A95="","",IFERROR($I95*$J95*'Ayarlar'!$B$7*'Ayarlar'!$B$6,0))</x:f>
      </x:c>
      <x:c r="Q95" s="115" t="str">
        <x:f>IF($A95="","",IFERROR($I95*$J95*'Ayarlar'!$B$5,0))</x:f>
      </x:c>
      <x:c r="R95" s="115" t="str">
        <x:f>IF($A95="","",IFERROR(($K95+$L95)*'Ayarlar'!$B$8,0))</x:f>
      </x:c>
      <x:c r="S95" s="115" t="str">
        <x:f>IF($A95="","",SUM($N95:$R95)+$M95)</x:f>
      </x:c>
      <x:c r="T95" s="107" t="str">
        <x:f>IF($A95="","",'Ayarlar'!$B$9)</x:f>
      </x:c>
      <x:c r="U95" s="116" t="str">
        <x:f>IF($A95="","",ROUND($S95*(1+$T95),0))</x:f>
      </x:c>
      <x:c r="V95" s="116" t="str">
        <x:f>IF($A95="","",MAX($U95,'Ayarlar'!$B$4))</x:f>
      </x:c>
      <x:c r="W95" s="116"/>
      <x:c r="X95" s="116" t="str">
        <x:f>IF($A95="","",$V95-$W95)</x:f>
      </x:c>
      <x:c r="Y95" s="95"/>
      <x:c r="Z95" s="95"/>
    </x:row>
    <x:row r="96">
      <x:c r="A96" s="95"/>
      <x:c r="B96" s="114"/>
      <x:c r="C96" s="95"/>
      <x:c r="D96" s="95"/>
      <x:c r="E96" s="95"/>
      <x:c r="F96" s="95"/>
      <x:c r="G96" s="106"/>
      <x:c r="H96" s="106"/>
      <x:c r="I96" s="106"/>
      <x:c r="J96" s="106"/>
      <x:c r="K96" s="106"/>
      <x:c r="L96" s="106"/>
      <x:c r="M96" s="106"/>
      <x:c r="N96" s="115" t="str">
        <x:f>IF($A96="","",IFERROR($G96*(1+'Ayarlar'!$B$10)*VLOOKUP($E96,'Ayarlar'!$A$16:$C$22,3,FALSE)*$J96,0))</x:f>
      </x:c>
      <x:c r="O96" s="115" t="str">
        <x:f>IF($A96="","",IFERROR($H96*(1+'Ayarlar'!$B$10)*VLOOKUP("Support",'Ayarlar'!$A$16:$C$22,3,FALSE)*$J96,0))</x:f>
      </x:c>
      <x:c r="P96" s="115" t="str">
        <x:f>IF($A96="","",IFERROR($I96*$J96*'Ayarlar'!$B$7*'Ayarlar'!$B$6,0))</x:f>
      </x:c>
      <x:c r="Q96" s="115" t="str">
        <x:f>IF($A96="","",IFERROR($I96*$J96*'Ayarlar'!$B$5,0))</x:f>
      </x:c>
      <x:c r="R96" s="115" t="str">
        <x:f>IF($A96="","",IFERROR(($K96+$L96)*'Ayarlar'!$B$8,0))</x:f>
      </x:c>
      <x:c r="S96" s="115" t="str">
        <x:f>IF($A96="","",SUM($N96:$R96)+$M96)</x:f>
      </x:c>
      <x:c r="T96" s="107" t="str">
        <x:f>IF($A96="","",'Ayarlar'!$B$9)</x:f>
      </x:c>
      <x:c r="U96" s="116" t="str">
        <x:f>IF($A96="","",ROUND($S96*(1+$T96),0))</x:f>
      </x:c>
      <x:c r="V96" s="116" t="str">
        <x:f>IF($A96="","",MAX($U96,'Ayarlar'!$B$4))</x:f>
      </x:c>
      <x:c r="W96" s="116"/>
      <x:c r="X96" s="116" t="str">
        <x:f>IF($A96="","",$V96-$W96)</x:f>
      </x:c>
      <x:c r="Y96" s="95"/>
      <x:c r="Z96" s="95"/>
    </x:row>
    <x:row r="97">
      <x:c r="A97" s="95"/>
      <x:c r="B97" s="114"/>
      <x:c r="C97" s="95"/>
      <x:c r="D97" s="95"/>
      <x:c r="E97" s="95"/>
      <x:c r="F97" s="95"/>
      <x:c r="G97" s="106"/>
      <x:c r="H97" s="106"/>
      <x:c r="I97" s="106"/>
      <x:c r="J97" s="106"/>
      <x:c r="K97" s="106"/>
      <x:c r="L97" s="106"/>
      <x:c r="M97" s="106"/>
      <x:c r="N97" s="115" t="str">
        <x:f>IF($A97="","",IFERROR($G97*(1+'Ayarlar'!$B$10)*VLOOKUP($E97,'Ayarlar'!$A$16:$C$22,3,FALSE)*$J97,0))</x:f>
      </x:c>
      <x:c r="O97" s="115" t="str">
        <x:f>IF($A97="","",IFERROR($H97*(1+'Ayarlar'!$B$10)*VLOOKUP("Support",'Ayarlar'!$A$16:$C$22,3,FALSE)*$J97,0))</x:f>
      </x:c>
      <x:c r="P97" s="115" t="str">
        <x:f>IF($A97="","",IFERROR($I97*$J97*'Ayarlar'!$B$7*'Ayarlar'!$B$6,0))</x:f>
      </x:c>
      <x:c r="Q97" s="115" t="str">
        <x:f>IF($A97="","",IFERROR($I97*$J97*'Ayarlar'!$B$5,0))</x:f>
      </x:c>
      <x:c r="R97" s="115" t="str">
        <x:f>IF($A97="","",IFERROR(($K97+$L97)*'Ayarlar'!$B$8,0))</x:f>
      </x:c>
      <x:c r="S97" s="115" t="str">
        <x:f>IF($A97="","",SUM($N97:$R97)+$M97)</x:f>
      </x:c>
      <x:c r="T97" s="107" t="str">
        <x:f>IF($A97="","",'Ayarlar'!$B$9)</x:f>
      </x:c>
      <x:c r="U97" s="116" t="str">
        <x:f>IF($A97="","",ROUND($S97*(1+$T97),0))</x:f>
      </x:c>
      <x:c r="V97" s="116" t="str">
        <x:f>IF($A97="","",MAX($U97,'Ayarlar'!$B$4))</x:f>
      </x:c>
      <x:c r="W97" s="116"/>
      <x:c r="X97" s="116" t="str">
        <x:f>IF($A97="","",$V97-$W97)</x:f>
      </x:c>
      <x:c r="Y97" s="95"/>
      <x:c r="Z97" s="95"/>
    </x:row>
    <x:row r="98">
      <x:c r="A98" s="95"/>
      <x:c r="B98" s="114"/>
      <x:c r="C98" s="95"/>
      <x:c r="D98" s="95"/>
      <x:c r="E98" s="95"/>
      <x:c r="F98" s="95"/>
      <x:c r="G98" s="106"/>
      <x:c r="H98" s="106"/>
      <x:c r="I98" s="106"/>
      <x:c r="J98" s="106"/>
      <x:c r="K98" s="106"/>
      <x:c r="L98" s="106"/>
      <x:c r="M98" s="106"/>
      <x:c r="N98" s="115" t="str">
        <x:f>IF($A98="","",IFERROR($G98*(1+'Ayarlar'!$B$10)*VLOOKUP($E98,'Ayarlar'!$A$16:$C$22,3,FALSE)*$J98,0))</x:f>
      </x:c>
      <x:c r="O98" s="115" t="str">
        <x:f>IF($A98="","",IFERROR($H98*(1+'Ayarlar'!$B$10)*VLOOKUP("Support",'Ayarlar'!$A$16:$C$22,3,FALSE)*$J98,0))</x:f>
      </x:c>
      <x:c r="P98" s="115" t="str">
        <x:f>IF($A98="","",IFERROR($I98*$J98*'Ayarlar'!$B$7*'Ayarlar'!$B$6,0))</x:f>
      </x:c>
      <x:c r="Q98" s="115" t="str">
        <x:f>IF($A98="","",IFERROR($I98*$J98*'Ayarlar'!$B$5,0))</x:f>
      </x:c>
      <x:c r="R98" s="115" t="str">
        <x:f>IF($A98="","",IFERROR(($K98+$L98)*'Ayarlar'!$B$8,0))</x:f>
      </x:c>
      <x:c r="S98" s="115" t="str">
        <x:f>IF($A98="","",SUM($N98:$R98)+$M98)</x:f>
      </x:c>
      <x:c r="T98" s="107" t="str">
        <x:f>IF($A98="","",'Ayarlar'!$B$9)</x:f>
      </x:c>
      <x:c r="U98" s="116" t="str">
        <x:f>IF($A98="","",ROUND($S98*(1+$T98),0))</x:f>
      </x:c>
      <x:c r="V98" s="116" t="str">
        <x:f>IF($A98="","",MAX($U98,'Ayarlar'!$B$4))</x:f>
      </x:c>
      <x:c r="W98" s="116"/>
      <x:c r="X98" s="116" t="str">
        <x:f>IF($A98="","",$V98-$W98)</x:f>
      </x:c>
      <x:c r="Y98" s="95"/>
      <x:c r="Z98" s="95"/>
    </x:row>
    <x:row r="99">
      <x:c r="A99" s="95"/>
      <x:c r="B99" s="114"/>
      <x:c r="C99" s="95"/>
      <x:c r="D99" s="95"/>
      <x:c r="E99" s="95"/>
      <x:c r="F99" s="95"/>
      <x:c r="G99" s="106"/>
      <x:c r="H99" s="106"/>
      <x:c r="I99" s="106"/>
      <x:c r="J99" s="106"/>
      <x:c r="K99" s="106"/>
      <x:c r="L99" s="106"/>
      <x:c r="M99" s="106"/>
      <x:c r="N99" s="115" t="str">
        <x:f>IF($A99="","",IFERROR($G99*(1+'Ayarlar'!$B$10)*VLOOKUP($E99,'Ayarlar'!$A$16:$C$22,3,FALSE)*$J99,0))</x:f>
      </x:c>
      <x:c r="O99" s="115" t="str">
        <x:f>IF($A99="","",IFERROR($H99*(1+'Ayarlar'!$B$10)*VLOOKUP("Support",'Ayarlar'!$A$16:$C$22,3,FALSE)*$J99,0))</x:f>
      </x:c>
      <x:c r="P99" s="115" t="str">
        <x:f>IF($A99="","",IFERROR($I99*$J99*'Ayarlar'!$B$7*'Ayarlar'!$B$6,0))</x:f>
      </x:c>
      <x:c r="Q99" s="115" t="str">
        <x:f>IF($A99="","",IFERROR($I99*$J99*'Ayarlar'!$B$5,0))</x:f>
      </x:c>
      <x:c r="R99" s="115" t="str">
        <x:f>IF($A99="","",IFERROR(($K99+$L99)*'Ayarlar'!$B$8,0))</x:f>
      </x:c>
      <x:c r="S99" s="115" t="str">
        <x:f>IF($A99="","",SUM($N99:$R99)+$M99)</x:f>
      </x:c>
      <x:c r="T99" s="107" t="str">
        <x:f>IF($A99="","",'Ayarlar'!$B$9)</x:f>
      </x:c>
      <x:c r="U99" s="116" t="str">
        <x:f>IF($A99="","",ROUND($S99*(1+$T99),0))</x:f>
      </x:c>
      <x:c r="V99" s="116" t="str">
        <x:f>IF($A99="","",MAX($U99,'Ayarlar'!$B$4))</x:f>
      </x:c>
      <x:c r="W99" s="116"/>
      <x:c r="X99" s="116" t="str">
        <x:f>IF($A99="","",$V99-$W99)</x:f>
      </x:c>
      <x:c r="Y99" s="95"/>
      <x:c r="Z99" s="95"/>
    </x:row>
    <x:row r="100">
      <x:c r="A100" s="95"/>
      <x:c r="B100" s="114"/>
      <x:c r="C100" s="95"/>
      <x:c r="D100" s="95"/>
      <x:c r="E100" s="95"/>
      <x:c r="F100" s="95"/>
      <x:c r="G100" s="106"/>
      <x:c r="H100" s="106"/>
      <x:c r="I100" s="106"/>
      <x:c r="J100" s="106"/>
      <x:c r="K100" s="106"/>
      <x:c r="L100" s="106"/>
      <x:c r="M100" s="106"/>
      <x:c r="N100" s="115" t="str">
        <x:f>IF($A100="","",IFERROR($G100*(1+'Ayarlar'!$B$10)*VLOOKUP($E100,'Ayarlar'!$A$16:$C$22,3,FALSE)*$J100,0))</x:f>
      </x:c>
      <x:c r="O100" s="115" t="str">
        <x:f>IF($A100="","",IFERROR($H100*(1+'Ayarlar'!$B$10)*VLOOKUP("Support",'Ayarlar'!$A$16:$C$22,3,FALSE)*$J100,0))</x:f>
      </x:c>
      <x:c r="P100" s="115" t="str">
        <x:f>IF($A100="","",IFERROR($I100*$J100*'Ayarlar'!$B$7*'Ayarlar'!$B$6,0))</x:f>
      </x:c>
      <x:c r="Q100" s="115" t="str">
        <x:f>IF($A100="","",IFERROR($I100*$J100*'Ayarlar'!$B$5,0))</x:f>
      </x:c>
      <x:c r="R100" s="115" t="str">
        <x:f>IF($A100="","",IFERROR(($K100+$L100)*'Ayarlar'!$B$8,0))</x:f>
      </x:c>
      <x:c r="S100" s="115" t="str">
        <x:f>IF($A100="","",SUM($N100:$R100)+$M100)</x:f>
      </x:c>
      <x:c r="T100" s="107" t="str">
        <x:f>IF($A100="","",'Ayarlar'!$B$9)</x:f>
      </x:c>
      <x:c r="U100" s="116" t="str">
        <x:f>IF($A100="","",ROUND($S100*(1+$T100),0))</x:f>
      </x:c>
      <x:c r="V100" s="116" t="str">
        <x:f>IF($A100="","",MAX($U100,'Ayarlar'!$B$4))</x:f>
      </x:c>
      <x:c r="W100" s="116"/>
      <x:c r="X100" s="116" t="str">
        <x:f>IF($A100="","",$V100-$W100)</x:f>
      </x:c>
      <x:c r="Y100" s="95"/>
      <x:c r="Z100" s="95"/>
    </x:row>
    <x:row r="101">
      <x:c r="A101" s="95"/>
      <x:c r="B101" s="114"/>
      <x:c r="C101" s="95"/>
      <x:c r="D101" s="95"/>
      <x:c r="E101" s="95"/>
      <x:c r="F101" s="95"/>
      <x:c r="G101" s="106"/>
      <x:c r="H101" s="106"/>
      <x:c r="I101" s="106"/>
      <x:c r="J101" s="106"/>
      <x:c r="K101" s="106"/>
      <x:c r="L101" s="106"/>
      <x:c r="M101" s="106"/>
      <x:c r="N101" s="115" t="str">
        <x:f>IF($A101="","",IFERROR($G101*(1+'Ayarlar'!$B$10)*VLOOKUP($E101,'Ayarlar'!$A$16:$C$22,3,FALSE)*$J101,0))</x:f>
      </x:c>
      <x:c r="O101" s="115" t="str">
        <x:f>IF($A101="","",IFERROR($H101*(1+'Ayarlar'!$B$10)*VLOOKUP("Support",'Ayarlar'!$A$16:$C$22,3,FALSE)*$J101,0))</x:f>
      </x:c>
      <x:c r="P101" s="115" t="str">
        <x:f>IF($A101="","",IFERROR($I101*$J101*'Ayarlar'!$B$7*'Ayarlar'!$B$6,0))</x:f>
      </x:c>
      <x:c r="Q101" s="115" t="str">
        <x:f>IF($A101="","",IFERROR($I101*$J101*'Ayarlar'!$B$5,0))</x:f>
      </x:c>
      <x:c r="R101" s="115" t="str">
        <x:f>IF($A101="","",IFERROR(($K101+$L101)*'Ayarlar'!$B$8,0))</x:f>
      </x:c>
      <x:c r="S101" s="115" t="str">
        <x:f>IF($A101="","",SUM($N101:$R101)+$M101)</x:f>
      </x:c>
      <x:c r="T101" s="107" t="str">
        <x:f>IF($A101="","",'Ayarlar'!$B$9)</x:f>
      </x:c>
      <x:c r="U101" s="116" t="str">
        <x:f>IF($A101="","",ROUND($S101*(1+$T101),0))</x:f>
      </x:c>
      <x:c r="V101" s="116" t="str">
        <x:f>IF($A101="","",MAX($U101,'Ayarlar'!$B$4))</x:f>
      </x:c>
      <x:c r="W101" s="116"/>
      <x:c r="X101" s="116" t="str">
        <x:f>IF($A101="","",$V101-$W101)</x:f>
      </x:c>
      <x:c r="Y101" s="95"/>
      <x:c r="Z101" s="95"/>
    </x:row>
    <x:row r="102">
      <x:c r="A102" s="95"/>
      <x:c r="B102" s="114"/>
      <x:c r="C102" s="95"/>
      <x:c r="D102" s="95"/>
      <x:c r="E102" s="95"/>
      <x:c r="F102" s="95"/>
      <x:c r="G102" s="106"/>
      <x:c r="H102" s="106"/>
      <x:c r="I102" s="106"/>
      <x:c r="J102" s="106"/>
      <x:c r="K102" s="106"/>
      <x:c r="L102" s="106"/>
      <x:c r="M102" s="106"/>
      <x:c r="N102" s="115" t="str">
        <x:f>IF($A102="","",IFERROR($G102*(1+'Ayarlar'!$B$10)*VLOOKUP($E102,'Ayarlar'!$A$16:$C$22,3,FALSE)*$J102,0))</x:f>
      </x:c>
      <x:c r="O102" s="115" t="str">
        <x:f>IF($A102="","",IFERROR($H102*(1+'Ayarlar'!$B$10)*VLOOKUP("Support",'Ayarlar'!$A$16:$C$22,3,FALSE)*$J102,0))</x:f>
      </x:c>
      <x:c r="P102" s="115" t="str">
        <x:f>IF($A102="","",IFERROR($I102*$J102*'Ayarlar'!$B$7*'Ayarlar'!$B$6,0))</x:f>
      </x:c>
      <x:c r="Q102" s="115" t="str">
        <x:f>IF($A102="","",IFERROR($I102*$J102*'Ayarlar'!$B$5,0))</x:f>
      </x:c>
      <x:c r="R102" s="115" t="str">
        <x:f>IF($A102="","",IFERROR(($K102+$L102)*'Ayarlar'!$B$8,0))</x:f>
      </x:c>
      <x:c r="S102" s="115" t="str">
        <x:f>IF($A102="","",SUM($N102:$R102)+$M102)</x:f>
      </x:c>
      <x:c r="T102" s="107" t="str">
        <x:f>IF($A102="","",'Ayarlar'!$B$9)</x:f>
      </x:c>
      <x:c r="U102" s="116" t="str">
        <x:f>IF($A102="","",ROUND($S102*(1+$T102),0))</x:f>
      </x:c>
      <x:c r="V102" s="116" t="str">
        <x:f>IF($A102="","",MAX($U102,'Ayarlar'!$B$4))</x:f>
      </x:c>
      <x:c r="W102" s="116"/>
      <x:c r="X102" s="116" t="str">
        <x:f>IF($A102="","",$V102-$W102)</x:f>
      </x:c>
      <x:c r="Y102" s="95"/>
      <x:c r="Z102" s="95"/>
    </x:row>
    <x:row r="103">
      <x:c r="A103" s="89"/>
      <x:c r="B103" s="89"/>
      <x:c r="C103" s="89"/>
      <x:c r="D103" s="89"/>
      <x:c r="E103" s="89"/>
      <x:c r="F103" s="89"/>
      <x:c r="G103" s="89"/>
      <x:c r="H103" s="89"/>
      <x:c r="I103" s="89"/>
      <x:c r="J103" s="89"/>
      <x:c r="K103" s="89"/>
      <x:c r="L103" s="89"/>
      <x:c r="M103" s="89"/>
      <x:c r="N103" s="89"/>
      <x:c r="O103" s="89"/>
      <x:c r="P103" s="89"/>
      <x:c r="Q103" s="89"/>
      <x:c r="R103" s="89"/>
      <x:c r="S103" s="89"/>
      <x:c r="T103" s="89"/>
      <x:c r="U103" s="89"/>
      <x:c r="V103" s="89"/>
      <x:c r="W103" s="89"/>
      <x:c r="X103" s="89"/>
      <x:c r="Y103" s="89"/>
      <x:c r="Z103" s="89"/>
    </x:row>
    <x:row r="104">
      <x:c r="A104" s="89"/>
      <x:c r="B104" s="89"/>
      <x:c r="C104" s="89"/>
      <x:c r="D104" s="89"/>
      <x:c r="E104" s="89"/>
      <x:c r="F104" s="89"/>
      <x:c r="G104" s="89"/>
      <x:c r="H104" s="89"/>
      <x:c r="I104" s="89"/>
      <x:c r="J104" s="89"/>
      <x:c r="K104" s="89"/>
      <x:c r="L104" s="89"/>
      <x:c r="M104" s="89"/>
      <x:c r="N104" s="89"/>
      <x:c r="O104" s="89"/>
      <x:c r="P104" s="89"/>
      <x:c r="Q104" s="89"/>
      <x:c r="R104" s="89"/>
      <x:c r="S104" s="89"/>
      <x:c r="T104" s="89"/>
      <x:c r="U104" s="89"/>
      <x:c r="V104" s="89"/>
      <x:c r="W104" s="89"/>
      <x:c r="X104" s="89"/>
      <x:c r="Y104" s="89"/>
      <x:c r="Z104" s="89"/>
    </x:row>
    <x:row r="105">
      <x:c r="A105" s="89"/>
      <x:c r="B105" s="89"/>
      <x:c r="C105" s="89"/>
      <x:c r="D105" s="89"/>
      <x:c r="E105" s="89"/>
      <x:c r="F105" s="89"/>
      <x:c r="G105" s="89"/>
      <x:c r="H105" s="89"/>
      <x:c r="I105" s="89"/>
      <x:c r="J105" s="89"/>
      <x:c r="K105" s="89"/>
      <x:c r="L105" s="89"/>
      <x:c r="M105" s="89"/>
      <x:c r="N105" s="89"/>
      <x:c r="O105" s="89"/>
      <x:c r="P105" s="89"/>
      <x:c r="Q105" s="89"/>
      <x:c r="R105" s="89"/>
      <x:c r="S105" s="89"/>
      <x:c r="T105" s="89"/>
      <x:c r="U105" s="89"/>
      <x:c r="V105" s="89"/>
      <x:c r="W105" s="89"/>
      <x:c r="X105" s="89"/>
      <x:c r="Y105" s="89"/>
      <x:c r="Z105" s="89"/>
    </x:row>
    <x:row r="106">
      <x:c r="A106" s="89"/>
      <x:c r="B106" s="89"/>
      <x:c r="C106" s="89"/>
      <x:c r="D106" s="89"/>
      <x:c r="E106" s="89"/>
      <x:c r="F106" s="89"/>
      <x:c r="G106" s="89"/>
      <x:c r="H106" s="89"/>
      <x:c r="I106" s="89"/>
      <x:c r="J106" s="89"/>
      <x:c r="K106" s="89"/>
      <x:c r="L106" s="89"/>
      <x:c r="M106" s="89"/>
      <x:c r="N106" s="89"/>
      <x:c r="O106" s="89"/>
      <x:c r="P106" s="89"/>
      <x:c r="Q106" s="89"/>
      <x:c r="R106" s="89"/>
      <x:c r="S106" s="89"/>
      <x:c r="T106" s="89"/>
      <x:c r="U106" s="89"/>
      <x:c r="V106" s="89"/>
      <x:c r="W106" s="89"/>
      <x:c r="X106" s="89"/>
      <x:c r="Y106" s="89"/>
      <x:c r="Z106" s="89"/>
    </x:row>
    <x:row r="107">
      <x:c r="A107" s="89"/>
      <x:c r="B107" s="89"/>
      <x:c r="C107" s="89"/>
      <x:c r="D107" s="89"/>
      <x:c r="E107" s="89"/>
      <x:c r="F107" s="89"/>
      <x:c r="G107" s="89"/>
      <x:c r="H107" s="89"/>
      <x:c r="I107" s="89"/>
      <x:c r="J107" s="89"/>
      <x:c r="K107" s="89"/>
      <x:c r="L107" s="89"/>
      <x:c r="M107" s="89"/>
      <x:c r="N107" s="89"/>
      <x:c r="O107" s="89"/>
      <x:c r="P107" s="89"/>
      <x:c r="Q107" s="89"/>
      <x:c r="R107" s="89"/>
      <x:c r="S107" s="89"/>
      <x:c r="T107" s="89"/>
      <x:c r="U107" s="89"/>
      <x:c r="V107" s="89"/>
      <x:c r="W107" s="89"/>
      <x:c r="X107" s="89"/>
      <x:c r="Y107" s="89"/>
      <x:c r="Z107" s="89"/>
    </x:row>
    <x:row r="108">
      <x:c r="A108" s="89"/>
      <x:c r="B108" s="89"/>
      <x:c r="C108" s="89"/>
      <x:c r="D108" s="89"/>
      <x:c r="E108" s="89"/>
      <x:c r="F108" s="89"/>
      <x:c r="G108" s="89"/>
      <x:c r="H108" s="89"/>
      <x:c r="I108" s="89"/>
      <x:c r="J108" s="89"/>
      <x:c r="K108" s="89"/>
      <x:c r="L108" s="89"/>
      <x:c r="M108" s="89"/>
      <x:c r="N108" s="89"/>
      <x:c r="O108" s="89"/>
      <x:c r="P108" s="89"/>
      <x:c r="Q108" s="89"/>
      <x:c r="R108" s="89"/>
      <x:c r="S108" s="89"/>
      <x:c r="T108" s="89"/>
      <x:c r="U108" s="89"/>
      <x:c r="V108" s="89"/>
      <x:c r="W108" s="89"/>
      <x:c r="X108" s="89"/>
      <x:c r="Y108" s="89"/>
      <x:c r="Z108" s="89"/>
    </x:row>
    <x:row r="109">
      <x:c r="A109" s="89"/>
      <x:c r="B109" s="89"/>
      <x:c r="C109" s="89"/>
      <x:c r="D109" s="89"/>
      <x:c r="E109" s="89"/>
      <x:c r="F109" s="89"/>
      <x:c r="G109" s="89"/>
      <x:c r="H109" s="89"/>
      <x:c r="I109" s="89"/>
      <x:c r="J109" s="89"/>
      <x:c r="K109" s="89"/>
      <x:c r="L109" s="89"/>
      <x:c r="M109" s="89"/>
      <x:c r="N109" s="89"/>
      <x:c r="O109" s="89"/>
      <x:c r="P109" s="89"/>
      <x:c r="Q109" s="89"/>
      <x:c r="R109" s="89"/>
      <x:c r="S109" s="89"/>
      <x:c r="T109" s="89"/>
      <x:c r="U109" s="89"/>
      <x:c r="V109" s="89"/>
      <x:c r="W109" s="89"/>
      <x:c r="X109" s="89"/>
      <x:c r="Y109" s="89"/>
      <x:c r="Z109" s="89"/>
    </x:row>
    <x:row r="110">
      <x:c r="A110" s="89"/>
      <x:c r="B110" s="89"/>
      <x:c r="C110" s="89"/>
      <x:c r="D110" s="89"/>
      <x:c r="E110" s="89"/>
      <x:c r="F110" s="89"/>
      <x:c r="G110" s="89"/>
      <x:c r="H110" s="89"/>
      <x:c r="I110" s="89"/>
      <x:c r="J110" s="89"/>
      <x:c r="K110" s="89"/>
      <x:c r="L110" s="89"/>
      <x:c r="M110" s="89"/>
      <x:c r="N110" s="89"/>
      <x:c r="O110" s="89"/>
      <x:c r="P110" s="89"/>
      <x:c r="Q110" s="89"/>
      <x:c r="R110" s="89"/>
      <x:c r="S110" s="89"/>
      <x:c r="T110" s="89"/>
      <x:c r="U110" s="89"/>
      <x:c r="V110" s="89"/>
      <x:c r="W110" s="89"/>
      <x:c r="X110" s="89"/>
      <x:c r="Y110" s="89"/>
      <x:c r="Z110" s="89"/>
    </x:row>
    <x:row r="111">
      <x:c r="A111" s="89"/>
      <x:c r="B111" s="89"/>
      <x:c r="C111" s="89"/>
      <x:c r="D111" s="89"/>
      <x:c r="E111" s="89"/>
      <x:c r="F111" s="89"/>
      <x:c r="G111" s="89"/>
      <x:c r="H111" s="89"/>
      <x:c r="I111" s="89"/>
      <x:c r="J111" s="89"/>
      <x:c r="K111" s="89"/>
      <x:c r="L111" s="89"/>
      <x:c r="M111" s="89"/>
      <x:c r="N111" s="89"/>
      <x:c r="O111" s="89"/>
      <x:c r="P111" s="89"/>
      <x:c r="Q111" s="89"/>
      <x:c r="R111" s="89"/>
      <x:c r="S111" s="89"/>
      <x:c r="T111" s="89"/>
      <x:c r="U111" s="89"/>
      <x:c r="V111" s="89"/>
      <x:c r="W111" s="89"/>
      <x:c r="X111" s="89"/>
      <x:c r="Y111" s="89"/>
      <x:c r="Z111" s="89"/>
    </x:row>
    <x:row r="112">
      <x:c r="A112" s="89"/>
      <x:c r="B112" s="89"/>
      <x:c r="C112" s="89"/>
      <x:c r="D112" s="89"/>
      <x:c r="E112" s="89"/>
      <x:c r="F112" s="89"/>
      <x:c r="G112" s="89"/>
      <x:c r="H112" s="89"/>
      <x:c r="I112" s="89"/>
      <x:c r="J112" s="89"/>
      <x:c r="K112" s="89"/>
      <x:c r="L112" s="89"/>
      <x:c r="M112" s="89"/>
      <x:c r="N112" s="89"/>
      <x:c r="O112" s="89"/>
      <x:c r="P112" s="89"/>
      <x:c r="Q112" s="89"/>
      <x:c r="R112" s="89"/>
      <x:c r="S112" s="89"/>
      <x:c r="T112" s="89"/>
      <x:c r="U112" s="89"/>
      <x:c r="V112" s="89"/>
      <x:c r="W112" s="89"/>
      <x:c r="X112" s="89"/>
      <x:c r="Y112" s="89"/>
      <x:c r="Z112" s="89"/>
    </x:row>
    <x:row r="113">
      <x:c r="A113" s="89"/>
      <x:c r="B113" s="89"/>
      <x:c r="C113" s="89"/>
      <x:c r="D113" s="89"/>
      <x:c r="E113" s="89"/>
      <x:c r="F113" s="89"/>
      <x:c r="G113" s="89"/>
      <x:c r="H113" s="89"/>
      <x:c r="I113" s="89"/>
      <x:c r="J113" s="89"/>
      <x:c r="K113" s="89"/>
      <x:c r="L113" s="89"/>
      <x:c r="M113" s="89"/>
      <x:c r="N113" s="89"/>
      <x:c r="O113" s="89"/>
      <x:c r="P113" s="89"/>
      <x:c r="Q113" s="89"/>
      <x:c r="R113" s="89"/>
      <x:c r="S113" s="89"/>
      <x:c r="T113" s="89"/>
      <x:c r="U113" s="89"/>
      <x:c r="V113" s="89"/>
      <x:c r="W113" s="89"/>
      <x:c r="X113" s="89"/>
      <x:c r="Y113" s="89"/>
      <x:c r="Z113" s="89"/>
    </x:row>
    <x:row r="114">
      <x:c r="A114" s="89"/>
      <x:c r="B114" s="89"/>
      <x:c r="C114" s="89"/>
      <x:c r="D114" s="89"/>
      <x:c r="E114" s="89"/>
      <x:c r="F114" s="89"/>
      <x:c r="G114" s="89"/>
      <x:c r="H114" s="89"/>
      <x:c r="I114" s="89"/>
      <x:c r="J114" s="89"/>
      <x:c r="K114" s="89"/>
      <x:c r="L114" s="89"/>
      <x:c r="M114" s="89"/>
      <x:c r="N114" s="89"/>
      <x:c r="O114" s="89"/>
      <x:c r="P114" s="89"/>
      <x:c r="Q114" s="89"/>
      <x:c r="R114" s="89"/>
      <x:c r="S114" s="89"/>
      <x:c r="T114" s="89"/>
      <x:c r="U114" s="89"/>
      <x:c r="V114" s="89"/>
      <x:c r="W114" s="89"/>
      <x:c r="X114" s="89"/>
      <x:c r="Y114" s="89"/>
      <x:c r="Z114" s="89"/>
    </x:row>
    <x:row r="115">
      <x:c r="A115" s="89"/>
      <x:c r="B115" s="89"/>
      <x:c r="C115" s="89"/>
      <x:c r="D115" s="89"/>
      <x:c r="E115" s="89"/>
      <x:c r="F115" s="89"/>
      <x:c r="G115" s="89"/>
      <x:c r="H115" s="89"/>
      <x:c r="I115" s="89"/>
      <x:c r="J115" s="89"/>
      <x:c r="K115" s="89"/>
      <x:c r="L115" s="89"/>
      <x:c r="M115" s="89"/>
      <x:c r="N115" s="89"/>
      <x:c r="O115" s="89"/>
      <x:c r="P115" s="89"/>
      <x:c r="Q115" s="89"/>
      <x:c r="R115" s="89"/>
      <x:c r="S115" s="89"/>
      <x:c r="T115" s="89"/>
      <x:c r="U115" s="89"/>
      <x:c r="V115" s="89"/>
      <x:c r="W115" s="89"/>
      <x:c r="X115" s="89"/>
      <x:c r="Y115" s="89"/>
      <x:c r="Z115" s="89"/>
    </x:row>
    <x:row r="116">
      <x:c r="A116" s="89"/>
      <x:c r="B116" s="89"/>
      <x:c r="C116" s="89"/>
      <x:c r="D116" s="89"/>
      <x:c r="E116" s="89"/>
      <x:c r="F116" s="89"/>
      <x:c r="G116" s="89"/>
      <x:c r="H116" s="89"/>
      <x:c r="I116" s="89"/>
      <x:c r="J116" s="89"/>
      <x:c r="K116" s="89"/>
      <x:c r="L116" s="89"/>
      <x:c r="M116" s="89"/>
      <x:c r="N116" s="89"/>
      <x:c r="O116" s="89"/>
      <x:c r="P116" s="89"/>
      <x:c r="Q116" s="89"/>
      <x:c r="R116" s="89"/>
      <x:c r="S116" s="89"/>
      <x:c r="T116" s="89"/>
      <x:c r="U116" s="89"/>
      <x:c r="V116" s="89"/>
      <x:c r="W116" s="89"/>
      <x:c r="X116" s="89"/>
      <x:c r="Y116" s="89"/>
      <x:c r="Z116" s="89"/>
    </x:row>
    <x:row r="117">
      <x:c r="A117" s="89"/>
      <x:c r="B117" s="89"/>
      <x:c r="C117" s="89"/>
      <x:c r="D117" s="89"/>
      <x:c r="E117" s="89"/>
      <x:c r="F117" s="89"/>
      <x:c r="G117" s="89"/>
      <x:c r="H117" s="89"/>
      <x:c r="I117" s="89"/>
      <x:c r="J117" s="89"/>
      <x:c r="K117" s="89"/>
      <x:c r="L117" s="89"/>
      <x:c r="M117" s="89"/>
      <x:c r="N117" s="89"/>
      <x:c r="O117" s="89"/>
      <x:c r="P117" s="89"/>
      <x:c r="Q117" s="89"/>
      <x:c r="R117" s="89"/>
      <x:c r="S117" s="89"/>
      <x:c r="T117" s="89"/>
      <x:c r="U117" s="89"/>
      <x:c r="V117" s="89"/>
      <x:c r="W117" s="89"/>
      <x:c r="X117" s="89"/>
      <x:c r="Y117" s="89"/>
      <x:c r="Z117" s="89"/>
    </x:row>
    <x:row r="118">
      <x:c r="A118" s="89"/>
      <x:c r="B118" s="89"/>
      <x:c r="C118" s="89"/>
      <x:c r="D118" s="89"/>
      <x:c r="E118" s="89"/>
      <x:c r="F118" s="89"/>
      <x:c r="G118" s="89"/>
      <x:c r="H118" s="89"/>
      <x:c r="I118" s="89"/>
      <x:c r="J118" s="89"/>
      <x:c r="K118" s="89"/>
      <x:c r="L118" s="89"/>
      <x:c r="M118" s="89"/>
      <x:c r="N118" s="89"/>
      <x:c r="O118" s="89"/>
      <x:c r="P118" s="89"/>
      <x:c r="Q118" s="89"/>
      <x:c r="R118" s="89"/>
      <x:c r="S118" s="89"/>
      <x:c r="T118" s="89"/>
      <x:c r="U118" s="89"/>
      <x:c r="V118" s="89"/>
      <x:c r="W118" s="89"/>
      <x:c r="X118" s="89"/>
      <x:c r="Y118" s="89"/>
      <x:c r="Z118" s="89"/>
    </x:row>
    <x:row r="119">
      <x:c r="A119" s="89"/>
      <x:c r="B119" s="89"/>
      <x:c r="C119" s="89"/>
      <x:c r="D119" s="89"/>
      <x:c r="E119" s="89"/>
      <x:c r="F119" s="89"/>
      <x:c r="G119" s="89"/>
      <x:c r="H119" s="89"/>
      <x:c r="I119" s="89"/>
      <x:c r="J119" s="89"/>
      <x:c r="K119" s="89"/>
      <x:c r="L119" s="89"/>
      <x:c r="M119" s="89"/>
      <x:c r="N119" s="89"/>
      <x:c r="O119" s="89"/>
      <x:c r="P119" s="89"/>
      <x:c r="Q119" s="89"/>
      <x:c r="R119" s="89"/>
      <x:c r="S119" s="89"/>
      <x:c r="T119" s="89"/>
      <x:c r="U119" s="89"/>
      <x:c r="V119" s="89"/>
      <x:c r="W119" s="89"/>
      <x:c r="X119" s="89"/>
      <x:c r="Y119" s="89"/>
      <x:c r="Z119" s="89"/>
    </x:row>
    <x:row r="120">
      <x:c r="A120" s="89"/>
      <x:c r="B120" s="89"/>
      <x:c r="C120" s="89"/>
      <x:c r="D120" s="89"/>
      <x:c r="E120" s="89"/>
      <x:c r="F120" s="89"/>
      <x:c r="G120" s="89"/>
      <x:c r="H120" s="89"/>
      <x:c r="I120" s="89"/>
      <x:c r="J120" s="89"/>
      <x:c r="K120" s="89"/>
      <x:c r="L120" s="89"/>
      <x:c r="M120" s="89"/>
      <x:c r="N120" s="89"/>
      <x:c r="O120" s="89"/>
      <x:c r="P120" s="89"/>
      <x:c r="Q120" s="89"/>
      <x:c r="R120" s="89"/>
      <x:c r="S120" s="89"/>
      <x:c r="T120" s="89"/>
      <x:c r="U120" s="89"/>
      <x:c r="V120" s="89"/>
      <x:c r="W120" s="89"/>
      <x:c r="X120" s="89"/>
      <x:c r="Y120" s="89"/>
      <x:c r="Z120" s="89"/>
    </x:row>
    <x:row r="121">
      <x:c r="A121" s="89"/>
      <x:c r="B121" s="89"/>
      <x:c r="C121" s="89"/>
      <x:c r="D121" s="89"/>
      <x:c r="E121" s="89"/>
      <x:c r="F121" s="89"/>
      <x:c r="G121" s="89"/>
      <x:c r="H121" s="89"/>
      <x:c r="I121" s="89"/>
      <x:c r="J121" s="89"/>
      <x:c r="K121" s="89"/>
      <x:c r="L121" s="89"/>
      <x:c r="M121" s="89"/>
      <x:c r="N121" s="89"/>
      <x:c r="O121" s="89"/>
      <x:c r="P121" s="89"/>
      <x:c r="Q121" s="89"/>
      <x:c r="R121" s="89"/>
      <x:c r="S121" s="89"/>
      <x:c r="T121" s="89"/>
      <x:c r="U121" s="89"/>
      <x:c r="V121" s="89"/>
      <x:c r="W121" s="89"/>
      <x:c r="X121" s="89"/>
      <x:c r="Y121" s="89"/>
      <x:c r="Z121" s="89"/>
    </x:row>
    <x:row r="122">
      <x:c r="A122" s="89"/>
      <x:c r="B122" s="89"/>
      <x:c r="C122" s="89"/>
      <x:c r="D122" s="89"/>
      <x:c r="E122" s="89"/>
      <x:c r="F122" s="89"/>
      <x:c r="G122" s="89"/>
      <x:c r="H122" s="89"/>
      <x:c r="I122" s="89"/>
      <x:c r="J122" s="89"/>
      <x:c r="K122" s="89"/>
      <x:c r="L122" s="89"/>
      <x:c r="M122" s="89"/>
      <x:c r="N122" s="89"/>
      <x:c r="O122" s="89"/>
      <x:c r="P122" s="89"/>
      <x:c r="Q122" s="89"/>
      <x:c r="R122" s="89"/>
      <x:c r="S122" s="89"/>
      <x:c r="T122" s="89"/>
      <x:c r="U122" s="89"/>
      <x:c r="V122" s="89"/>
      <x:c r="W122" s="89"/>
      <x:c r="X122" s="89"/>
      <x:c r="Y122" s="89"/>
      <x:c r="Z122" s="89"/>
    </x:row>
    <x:row r="123">
      <x:c r="A123" s="89"/>
      <x:c r="B123" s="89"/>
      <x:c r="C123" s="89"/>
      <x:c r="D123" s="89"/>
      <x:c r="E123" s="89"/>
      <x:c r="F123" s="89"/>
      <x:c r="G123" s="89"/>
      <x:c r="H123" s="89"/>
      <x:c r="I123" s="89"/>
      <x:c r="J123" s="89"/>
      <x:c r="K123" s="89"/>
      <x:c r="L123" s="89"/>
      <x:c r="M123" s="89"/>
      <x:c r="N123" s="89"/>
      <x:c r="O123" s="89"/>
      <x:c r="P123" s="89"/>
      <x:c r="Q123" s="89"/>
      <x:c r="R123" s="89"/>
      <x:c r="S123" s="89"/>
      <x:c r="T123" s="89"/>
      <x:c r="U123" s="89"/>
      <x:c r="V123" s="89"/>
      <x:c r="W123" s="89"/>
      <x:c r="X123" s="89"/>
      <x:c r="Y123" s="89"/>
      <x:c r="Z123" s="89"/>
    </x:row>
    <x:row r="124">
      <x:c r="A124" s="89"/>
      <x:c r="B124" s="89"/>
      <x:c r="C124" s="89"/>
      <x:c r="D124" s="89"/>
      <x:c r="E124" s="89"/>
      <x:c r="F124" s="89"/>
      <x:c r="G124" s="89"/>
      <x:c r="H124" s="89"/>
      <x:c r="I124" s="89"/>
      <x:c r="J124" s="89"/>
      <x:c r="K124" s="89"/>
      <x:c r="L124" s="89"/>
      <x:c r="M124" s="89"/>
      <x:c r="N124" s="89"/>
      <x:c r="O124" s="89"/>
      <x:c r="P124" s="89"/>
      <x:c r="Q124" s="89"/>
      <x:c r="R124" s="89"/>
      <x:c r="S124" s="89"/>
      <x:c r="T124" s="89"/>
      <x:c r="U124" s="89"/>
      <x:c r="V124" s="89"/>
      <x:c r="W124" s="89"/>
      <x:c r="X124" s="89"/>
      <x:c r="Y124" s="89"/>
      <x:c r="Z124" s="89"/>
    </x:row>
    <x:row r="125">
      <x:c r="A125" s="89"/>
      <x:c r="B125" s="89"/>
      <x:c r="C125" s="89"/>
      <x:c r="D125" s="89"/>
      <x:c r="E125" s="89"/>
      <x:c r="F125" s="89"/>
      <x:c r="G125" s="89"/>
      <x:c r="H125" s="89"/>
      <x:c r="I125" s="89"/>
      <x:c r="J125" s="89"/>
      <x:c r="K125" s="89"/>
      <x:c r="L125" s="89"/>
      <x:c r="M125" s="89"/>
      <x:c r="N125" s="89"/>
      <x:c r="O125" s="89"/>
      <x:c r="P125" s="89"/>
      <x:c r="Q125" s="89"/>
      <x:c r="R125" s="89"/>
      <x:c r="S125" s="89"/>
      <x:c r="T125" s="89"/>
      <x:c r="U125" s="89"/>
      <x:c r="V125" s="89"/>
      <x:c r="W125" s="89"/>
      <x:c r="X125" s="89"/>
      <x:c r="Y125" s="89"/>
      <x:c r="Z125" s="89"/>
    </x:row>
    <x:row r="126">
      <x:c r="A126" s="89"/>
      <x:c r="B126" s="89"/>
      <x:c r="C126" s="89"/>
      <x:c r="D126" s="89"/>
      <x:c r="E126" s="89"/>
      <x:c r="F126" s="89"/>
      <x:c r="G126" s="89"/>
      <x:c r="H126" s="89"/>
      <x:c r="I126" s="89"/>
      <x:c r="J126" s="89"/>
      <x:c r="K126" s="89"/>
      <x:c r="L126" s="89"/>
      <x:c r="M126" s="89"/>
      <x:c r="N126" s="89"/>
      <x:c r="O126" s="89"/>
      <x:c r="P126" s="89"/>
      <x:c r="Q126" s="89"/>
      <x:c r="R126" s="89"/>
      <x:c r="S126" s="89"/>
      <x:c r="T126" s="89"/>
      <x:c r="U126" s="89"/>
      <x:c r="V126" s="89"/>
      <x:c r="W126" s="89"/>
      <x:c r="X126" s="89"/>
      <x:c r="Y126" s="89"/>
      <x:c r="Z126" s="89"/>
    </x:row>
    <x:row r="127">
      <x:c r="A127" s="89"/>
      <x:c r="B127" s="89"/>
      <x:c r="C127" s="89"/>
      <x:c r="D127" s="89"/>
      <x:c r="E127" s="89"/>
      <x:c r="F127" s="89"/>
      <x:c r="G127" s="89"/>
      <x:c r="H127" s="89"/>
      <x:c r="I127" s="89"/>
      <x:c r="J127" s="89"/>
      <x:c r="K127" s="89"/>
      <x:c r="L127" s="89"/>
      <x:c r="M127" s="89"/>
      <x:c r="N127" s="89"/>
      <x:c r="O127" s="89"/>
      <x:c r="P127" s="89"/>
      <x:c r="Q127" s="89"/>
      <x:c r="R127" s="89"/>
      <x:c r="S127" s="89"/>
      <x:c r="T127" s="89"/>
      <x:c r="U127" s="89"/>
      <x:c r="V127" s="89"/>
      <x:c r="W127" s="89"/>
      <x:c r="X127" s="89"/>
      <x:c r="Y127" s="89"/>
      <x:c r="Z127" s="89"/>
    </x:row>
    <x:row r="128">
      <x:c r="A128" s="89"/>
      <x:c r="B128" s="89"/>
      <x:c r="C128" s="89"/>
      <x:c r="D128" s="89"/>
      <x:c r="E128" s="89"/>
      <x:c r="F128" s="89"/>
      <x:c r="G128" s="89"/>
      <x:c r="H128" s="89"/>
      <x:c r="I128" s="89"/>
      <x:c r="J128" s="89"/>
      <x:c r="K128" s="89"/>
      <x:c r="L128" s="89"/>
      <x:c r="M128" s="89"/>
      <x:c r="N128" s="89"/>
      <x:c r="O128" s="89"/>
      <x:c r="P128" s="89"/>
      <x:c r="Q128" s="89"/>
      <x:c r="R128" s="89"/>
      <x:c r="S128" s="89"/>
      <x:c r="T128" s="89"/>
      <x:c r="U128" s="89"/>
      <x:c r="V128" s="89"/>
      <x:c r="W128" s="89"/>
      <x:c r="X128" s="89"/>
      <x:c r="Y128" s="89"/>
      <x:c r="Z128" s="89"/>
    </x:row>
    <x:row r="129">
      <x:c r="A129" s="89"/>
      <x:c r="B129" s="89"/>
      <x:c r="C129" s="89"/>
      <x:c r="D129" s="89"/>
      <x:c r="E129" s="89"/>
      <x:c r="F129" s="89"/>
      <x:c r="G129" s="89"/>
      <x:c r="H129" s="89"/>
      <x:c r="I129" s="89"/>
      <x:c r="J129" s="89"/>
      <x:c r="K129" s="89"/>
      <x:c r="L129" s="89"/>
      <x:c r="M129" s="89"/>
      <x:c r="N129" s="89"/>
      <x:c r="O129" s="89"/>
      <x:c r="P129" s="89"/>
      <x:c r="Q129" s="89"/>
      <x:c r="R129" s="89"/>
      <x:c r="S129" s="89"/>
      <x:c r="T129" s="89"/>
      <x:c r="U129" s="89"/>
      <x:c r="V129" s="89"/>
      <x:c r="W129" s="89"/>
      <x:c r="X129" s="89"/>
      <x:c r="Y129" s="89"/>
      <x:c r="Z129" s="89"/>
    </x:row>
    <x:row r="130">
      <x:c r="A130" s="89"/>
      <x:c r="B130" s="89"/>
      <x:c r="C130" s="89"/>
      <x:c r="D130" s="89"/>
      <x:c r="E130" s="89"/>
      <x:c r="F130" s="89"/>
      <x:c r="G130" s="89"/>
      <x:c r="H130" s="89"/>
      <x:c r="I130" s="89"/>
      <x:c r="J130" s="89"/>
      <x:c r="K130" s="89"/>
      <x:c r="L130" s="89"/>
      <x:c r="M130" s="89"/>
      <x:c r="N130" s="89"/>
      <x:c r="O130" s="89"/>
      <x:c r="P130" s="89"/>
      <x:c r="Q130" s="89"/>
      <x:c r="R130" s="89"/>
      <x:c r="S130" s="89"/>
      <x:c r="T130" s="89"/>
      <x:c r="U130" s="89"/>
      <x:c r="V130" s="89"/>
      <x:c r="W130" s="89"/>
      <x:c r="X130" s="89"/>
      <x:c r="Y130" s="89"/>
      <x:c r="Z130" s="89"/>
    </x:row>
    <x:row r="131">
      <x:c r="A131" s="89"/>
      <x:c r="B131" s="89"/>
      <x:c r="C131" s="89"/>
      <x:c r="D131" s="89"/>
      <x:c r="E131" s="89"/>
      <x:c r="F131" s="89"/>
      <x:c r="G131" s="89"/>
      <x:c r="H131" s="89"/>
      <x:c r="I131" s="89"/>
      <x:c r="J131" s="89"/>
      <x:c r="K131" s="89"/>
      <x:c r="L131" s="89"/>
      <x:c r="M131" s="89"/>
      <x:c r="N131" s="89"/>
      <x:c r="O131" s="89"/>
      <x:c r="P131" s="89"/>
      <x:c r="Q131" s="89"/>
      <x:c r="R131" s="89"/>
      <x:c r="S131" s="89"/>
      <x:c r="T131" s="89"/>
      <x:c r="U131" s="89"/>
      <x:c r="V131" s="89"/>
      <x:c r="W131" s="89"/>
      <x:c r="X131" s="89"/>
      <x:c r="Y131" s="89"/>
      <x:c r="Z131" s="89"/>
    </x:row>
    <x:row r="132">
      <x:c r="A132" s="89"/>
      <x:c r="B132" s="89"/>
      <x:c r="C132" s="89"/>
      <x:c r="D132" s="89"/>
      <x:c r="E132" s="89"/>
      <x:c r="F132" s="89"/>
      <x:c r="G132" s="89"/>
      <x:c r="H132" s="89"/>
      <x:c r="I132" s="89"/>
      <x:c r="J132" s="89"/>
      <x:c r="K132" s="89"/>
      <x:c r="L132" s="89"/>
      <x:c r="M132" s="89"/>
      <x:c r="N132" s="89"/>
      <x:c r="O132" s="89"/>
      <x:c r="P132" s="89"/>
      <x:c r="Q132" s="89"/>
      <x:c r="R132" s="89"/>
      <x:c r="S132" s="89"/>
      <x:c r="T132" s="89"/>
      <x:c r="U132" s="89"/>
      <x:c r="V132" s="89"/>
      <x:c r="W132" s="89"/>
      <x:c r="X132" s="89"/>
      <x:c r="Y132" s="89"/>
      <x:c r="Z132" s="89"/>
    </x:row>
    <x:row r="133">
      <x:c r="A133" s="89"/>
      <x:c r="B133" s="89"/>
      <x:c r="C133" s="89"/>
      <x:c r="D133" s="89"/>
      <x:c r="E133" s="89"/>
      <x:c r="F133" s="89"/>
      <x:c r="G133" s="89"/>
      <x:c r="H133" s="89"/>
      <x:c r="I133" s="89"/>
      <x:c r="J133" s="89"/>
      <x:c r="K133" s="89"/>
      <x:c r="L133" s="89"/>
      <x:c r="M133" s="89"/>
      <x:c r="N133" s="89"/>
      <x:c r="O133" s="89"/>
      <x:c r="P133" s="89"/>
      <x:c r="Q133" s="89"/>
      <x:c r="R133" s="89"/>
      <x:c r="S133" s="89"/>
      <x:c r="T133" s="89"/>
      <x:c r="U133" s="89"/>
      <x:c r="V133" s="89"/>
      <x:c r="W133" s="89"/>
      <x:c r="X133" s="89"/>
      <x:c r="Y133" s="89"/>
      <x:c r="Z133" s="89"/>
    </x:row>
    <x:row r="134">
      <x:c r="A134" s="89"/>
      <x:c r="B134" s="89"/>
      <x:c r="C134" s="89"/>
      <x:c r="D134" s="89"/>
      <x:c r="E134" s="89"/>
      <x:c r="F134" s="89"/>
      <x:c r="G134" s="89"/>
      <x:c r="H134" s="89"/>
      <x:c r="I134" s="89"/>
      <x:c r="J134" s="89"/>
      <x:c r="K134" s="89"/>
      <x:c r="L134" s="89"/>
      <x:c r="M134" s="89"/>
      <x:c r="N134" s="89"/>
      <x:c r="O134" s="89"/>
      <x:c r="P134" s="89"/>
      <x:c r="Q134" s="89"/>
      <x:c r="R134" s="89"/>
      <x:c r="S134" s="89"/>
      <x:c r="T134" s="89"/>
      <x:c r="U134" s="89"/>
      <x:c r="V134" s="89"/>
      <x:c r="W134" s="89"/>
      <x:c r="X134" s="89"/>
      <x:c r="Y134" s="89"/>
      <x:c r="Z134" s="89"/>
    </x:row>
    <x:row r="135">
      <x:c r="A135" s="89"/>
      <x:c r="B135" s="89"/>
      <x:c r="C135" s="89"/>
      <x:c r="D135" s="89"/>
      <x:c r="E135" s="89"/>
      <x:c r="F135" s="89"/>
      <x:c r="G135" s="89"/>
      <x:c r="H135" s="89"/>
      <x:c r="I135" s="89"/>
      <x:c r="J135" s="89"/>
      <x:c r="K135" s="89"/>
      <x:c r="L135" s="89"/>
      <x:c r="M135" s="89"/>
      <x:c r="N135" s="89"/>
      <x:c r="O135" s="89"/>
      <x:c r="P135" s="89"/>
      <x:c r="Q135" s="89"/>
      <x:c r="R135" s="89"/>
      <x:c r="S135" s="89"/>
      <x:c r="T135" s="89"/>
      <x:c r="U135" s="89"/>
      <x:c r="V135" s="89"/>
      <x:c r="W135" s="89"/>
      <x:c r="X135" s="89"/>
      <x:c r="Y135" s="89"/>
      <x:c r="Z135" s="89"/>
    </x:row>
    <x:row r="136">
      <x:c r="A136" s="89"/>
      <x:c r="B136" s="89"/>
      <x:c r="C136" s="89"/>
      <x:c r="D136" s="89"/>
      <x:c r="E136" s="89"/>
      <x:c r="F136" s="89"/>
      <x:c r="G136" s="89"/>
      <x:c r="H136" s="89"/>
      <x:c r="I136" s="89"/>
      <x:c r="J136" s="89"/>
      <x:c r="K136" s="89"/>
      <x:c r="L136" s="89"/>
      <x:c r="M136" s="89"/>
      <x:c r="N136" s="89"/>
      <x:c r="O136" s="89"/>
      <x:c r="P136" s="89"/>
      <x:c r="Q136" s="89"/>
      <x:c r="R136" s="89"/>
      <x:c r="S136" s="89"/>
      <x:c r="T136" s="89"/>
      <x:c r="U136" s="89"/>
      <x:c r="V136" s="89"/>
      <x:c r="W136" s="89"/>
      <x:c r="X136" s="89"/>
      <x:c r="Y136" s="89"/>
      <x:c r="Z136" s="89"/>
    </x:row>
    <x:row r="137">
      <x:c r="A137" s="89"/>
      <x:c r="B137" s="89"/>
      <x:c r="C137" s="89"/>
      <x:c r="D137" s="89"/>
      <x:c r="E137" s="89"/>
      <x:c r="F137" s="89"/>
      <x:c r="G137" s="89"/>
      <x:c r="H137" s="89"/>
      <x:c r="I137" s="89"/>
      <x:c r="J137" s="89"/>
      <x:c r="K137" s="89"/>
      <x:c r="L137" s="89"/>
      <x:c r="M137" s="89"/>
      <x:c r="N137" s="89"/>
      <x:c r="O137" s="89"/>
      <x:c r="P137" s="89"/>
      <x:c r="Q137" s="89"/>
      <x:c r="R137" s="89"/>
      <x:c r="S137" s="89"/>
      <x:c r="T137" s="89"/>
      <x:c r="U137" s="89"/>
      <x:c r="V137" s="89"/>
      <x:c r="W137" s="89"/>
      <x:c r="X137" s="89"/>
      <x:c r="Y137" s="89"/>
      <x:c r="Z137" s="89"/>
    </x:row>
    <x:row r="138">
      <x:c r="A138" s="89"/>
      <x:c r="B138" s="89"/>
      <x:c r="C138" s="89"/>
      <x:c r="D138" s="89"/>
      <x:c r="E138" s="89"/>
      <x:c r="F138" s="89"/>
      <x:c r="G138" s="89"/>
      <x:c r="H138" s="89"/>
      <x:c r="I138" s="89"/>
      <x:c r="J138" s="89"/>
      <x:c r="K138" s="89"/>
      <x:c r="L138" s="89"/>
      <x:c r="M138" s="89"/>
      <x:c r="N138" s="89"/>
      <x:c r="O138" s="89"/>
      <x:c r="P138" s="89"/>
      <x:c r="Q138" s="89"/>
      <x:c r="R138" s="89"/>
      <x:c r="S138" s="89"/>
      <x:c r="T138" s="89"/>
      <x:c r="U138" s="89"/>
      <x:c r="V138" s="89"/>
      <x:c r="W138" s="89"/>
      <x:c r="X138" s="89"/>
      <x:c r="Y138" s="89"/>
      <x:c r="Z138" s="89"/>
    </x:row>
    <x:row r="139">
      <x:c r="A139" s="89"/>
      <x:c r="B139" s="89"/>
      <x:c r="C139" s="89"/>
      <x:c r="D139" s="89"/>
      <x:c r="E139" s="89"/>
      <x:c r="F139" s="89"/>
      <x:c r="G139" s="89"/>
      <x:c r="H139" s="89"/>
      <x:c r="I139" s="89"/>
      <x:c r="J139" s="89"/>
      <x:c r="K139" s="89"/>
      <x:c r="L139" s="89"/>
      <x:c r="M139" s="89"/>
      <x:c r="N139" s="89"/>
      <x:c r="O139" s="89"/>
      <x:c r="P139" s="89"/>
      <x:c r="Q139" s="89"/>
      <x:c r="R139" s="89"/>
      <x:c r="S139" s="89"/>
      <x:c r="T139" s="89"/>
      <x:c r="U139" s="89"/>
      <x:c r="V139" s="89"/>
      <x:c r="W139" s="89"/>
      <x:c r="X139" s="89"/>
      <x:c r="Y139" s="89"/>
      <x:c r="Z139" s="89"/>
    </x:row>
    <x:row r="140">
      <x:c r="A140" s="89"/>
      <x:c r="B140" s="89"/>
      <x:c r="C140" s="89"/>
      <x:c r="D140" s="89"/>
      <x:c r="E140" s="89"/>
      <x:c r="F140" s="89"/>
      <x:c r="G140" s="89"/>
      <x:c r="H140" s="89"/>
      <x:c r="I140" s="89"/>
      <x:c r="J140" s="89"/>
      <x:c r="K140" s="89"/>
      <x:c r="L140" s="89"/>
      <x:c r="M140" s="89"/>
      <x:c r="N140" s="89"/>
      <x:c r="O140" s="89"/>
      <x:c r="P140" s="89"/>
      <x:c r="Q140" s="89"/>
      <x:c r="R140" s="89"/>
      <x:c r="S140" s="89"/>
      <x:c r="T140" s="89"/>
      <x:c r="U140" s="89"/>
      <x:c r="V140" s="89"/>
      <x:c r="W140" s="89"/>
      <x:c r="X140" s="89"/>
      <x:c r="Y140" s="89"/>
      <x:c r="Z140" s="89"/>
    </x:row>
    <x:row r="141">
      <x:c r="A141" s="89"/>
      <x:c r="B141" s="89"/>
      <x:c r="C141" s="89"/>
      <x:c r="D141" s="89"/>
      <x:c r="E141" s="89"/>
      <x:c r="F141" s="89"/>
      <x:c r="G141" s="89"/>
      <x:c r="H141" s="89"/>
      <x:c r="I141" s="89"/>
      <x:c r="J141" s="89"/>
      <x:c r="K141" s="89"/>
      <x:c r="L141" s="89"/>
      <x:c r="M141" s="89"/>
      <x:c r="N141" s="89"/>
      <x:c r="O141" s="89"/>
      <x:c r="P141" s="89"/>
      <x:c r="Q141" s="89"/>
      <x:c r="R141" s="89"/>
      <x:c r="S141" s="89"/>
      <x:c r="T141" s="89"/>
      <x:c r="U141" s="89"/>
      <x:c r="V141" s="89"/>
      <x:c r="W141" s="89"/>
      <x:c r="X141" s="89"/>
      <x:c r="Y141" s="89"/>
      <x:c r="Z141" s="89"/>
    </x:row>
    <x:row r="142">
      <x:c r="A142" s="89"/>
      <x:c r="B142" s="89"/>
      <x:c r="C142" s="89"/>
      <x:c r="D142" s="89"/>
      <x:c r="E142" s="89"/>
      <x:c r="F142" s="89"/>
      <x:c r="G142" s="89"/>
      <x:c r="H142" s="89"/>
      <x:c r="I142" s="89"/>
      <x:c r="J142" s="89"/>
      <x:c r="K142" s="89"/>
      <x:c r="L142" s="89"/>
      <x:c r="M142" s="89"/>
      <x:c r="N142" s="89"/>
      <x:c r="O142" s="89"/>
      <x:c r="P142" s="89"/>
      <x:c r="Q142" s="89"/>
      <x:c r="R142" s="89"/>
      <x:c r="S142" s="89"/>
      <x:c r="T142" s="89"/>
      <x:c r="U142" s="89"/>
      <x:c r="V142" s="89"/>
      <x:c r="W142" s="89"/>
      <x:c r="X142" s="89"/>
      <x:c r="Y142" s="89"/>
      <x:c r="Z142" s="89"/>
    </x:row>
    <x:row r="143">
      <x:c r="A143" s="89"/>
      <x:c r="B143" s="89"/>
      <x:c r="C143" s="89"/>
      <x:c r="D143" s="89"/>
      <x:c r="E143" s="89"/>
      <x:c r="F143" s="89"/>
      <x:c r="G143" s="89"/>
      <x:c r="H143" s="89"/>
      <x:c r="I143" s="89"/>
      <x:c r="J143" s="89"/>
      <x:c r="K143" s="89"/>
      <x:c r="L143" s="89"/>
      <x:c r="M143" s="89"/>
      <x:c r="N143" s="89"/>
      <x:c r="O143" s="89"/>
      <x:c r="P143" s="89"/>
      <x:c r="Q143" s="89"/>
      <x:c r="R143" s="89"/>
      <x:c r="S143" s="89"/>
      <x:c r="T143" s="89"/>
      <x:c r="U143" s="89"/>
      <x:c r="V143" s="89"/>
      <x:c r="W143" s="89"/>
      <x:c r="X143" s="89"/>
      <x:c r="Y143" s="89"/>
      <x:c r="Z143" s="89"/>
    </x:row>
    <x:row r="144">
      <x:c r="A144" s="89"/>
      <x:c r="B144" s="89"/>
      <x:c r="C144" s="89"/>
      <x:c r="D144" s="89"/>
      <x:c r="E144" s="89"/>
      <x:c r="F144" s="89"/>
      <x:c r="G144" s="89"/>
      <x:c r="H144" s="89"/>
      <x:c r="I144" s="89"/>
      <x:c r="J144" s="89"/>
      <x:c r="K144" s="89"/>
      <x:c r="L144" s="89"/>
      <x:c r="M144" s="89"/>
      <x:c r="N144" s="89"/>
      <x:c r="O144" s="89"/>
      <x:c r="P144" s="89"/>
      <x:c r="Q144" s="89"/>
      <x:c r="R144" s="89"/>
      <x:c r="S144" s="89"/>
      <x:c r="T144" s="89"/>
      <x:c r="U144" s="89"/>
      <x:c r="V144" s="89"/>
      <x:c r="W144" s="89"/>
      <x:c r="X144" s="89"/>
      <x:c r="Y144" s="89"/>
      <x:c r="Z144" s="89"/>
    </x:row>
    <x:row r="145">
      <x:c r="A145" s="89"/>
      <x:c r="B145" s="89"/>
      <x:c r="C145" s="89"/>
      <x:c r="D145" s="89"/>
      <x:c r="E145" s="89"/>
      <x:c r="F145" s="89"/>
      <x:c r="G145" s="89"/>
      <x:c r="H145" s="89"/>
      <x:c r="I145" s="89"/>
      <x:c r="J145" s="89"/>
      <x:c r="K145" s="89"/>
      <x:c r="L145" s="89"/>
      <x:c r="M145" s="89"/>
      <x:c r="N145" s="89"/>
      <x:c r="O145" s="89"/>
      <x:c r="P145" s="89"/>
      <x:c r="Q145" s="89"/>
      <x:c r="R145" s="89"/>
      <x:c r="S145" s="89"/>
      <x:c r="T145" s="89"/>
      <x:c r="U145" s="89"/>
      <x:c r="V145" s="89"/>
      <x:c r="W145" s="89"/>
      <x:c r="X145" s="89"/>
      <x:c r="Y145" s="89"/>
      <x:c r="Z145" s="89"/>
    </x:row>
    <x:row r="146">
      <x:c r="A146" s="89"/>
      <x:c r="B146" s="89"/>
      <x:c r="C146" s="89"/>
      <x:c r="D146" s="89"/>
      <x:c r="E146" s="89"/>
      <x:c r="F146" s="89"/>
      <x:c r="G146" s="89"/>
      <x:c r="H146" s="89"/>
      <x:c r="I146" s="89"/>
      <x:c r="J146" s="89"/>
      <x:c r="K146" s="89"/>
      <x:c r="L146" s="89"/>
      <x:c r="M146" s="89"/>
      <x:c r="N146" s="89"/>
      <x:c r="O146" s="89"/>
      <x:c r="P146" s="89"/>
      <x:c r="Q146" s="89"/>
      <x:c r="R146" s="89"/>
      <x:c r="S146" s="89"/>
      <x:c r="T146" s="89"/>
      <x:c r="U146" s="89"/>
      <x:c r="V146" s="89"/>
      <x:c r="W146" s="89"/>
      <x:c r="X146" s="89"/>
      <x:c r="Y146" s="89"/>
      <x:c r="Z146" s="89"/>
    </x:row>
    <x:row r="147">
      <x:c r="A147" s="89"/>
      <x:c r="B147" s="89"/>
      <x:c r="C147" s="89"/>
      <x:c r="D147" s="89"/>
      <x:c r="E147" s="89"/>
      <x:c r="F147" s="89"/>
      <x:c r="G147" s="89"/>
      <x:c r="H147" s="89"/>
      <x:c r="I147" s="89"/>
      <x:c r="J147" s="89"/>
      <x:c r="K147" s="89"/>
      <x:c r="L147" s="89"/>
      <x:c r="M147" s="89"/>
      <x:c r="N147" s="89"/>
      <x:c r="O147" s="89"/>
      <x:c r="P147" s="89"/>
      <x:c r="Q147" s="89"/>
      <x:c r="R147" s="89"/>
      <x:c r="S147" s="89"/>
      <x:c r="T147" s="89"/>
      <x:c r="U147" s="89"/>
      <x:c r="V147" s="89"/>
      <x:c r="W147" s="89"/>
      <x:c r="X147" s="89"/>
      <x:c r="Y147" s="89"/>
      <x:c r="Z147" s="89"/>
    </x:row>
    <x:row r="148">
      <x:c r="A148" s="89"/>
      <x:c r="B148" s="89"/>
      <x:c r="C148" s="89"/>
      <x:c r="D148" s="89"/>
      <x:c r="E148" s="89"/>
      <x:c r="F148" s="89"/>
      <x:c r="G148" s="89"/>
      <x:c r="H148" s="89"/>
      <x:c r="I148" s="89"/>
      <x:c r="J148" s="89"/>
      <x:c r="K148" s="89"/>
      <x:c r="L148" s="89"/>
      <x:c r="M148" s="89"/>
      <x:c r="N148" s="89"/>
      <x:c r="O148" s="89"/>
      <x:c r="P148" s="89"/>
      <x:c r="Q148" s="89"/>
      <x:c r="R148" s="89"/>
      <x:c r="S148" s="89"/>
      <x:c r="T148" s="89"/>
      <x:c r="U148" s="89"/>
      <x:c r="V148" s="89"/>
      <x:c r="W148" s="89"/>
      <x:c r="X148" s="89"/>
      <x:c r="Y148" s="89"/>
      <x:c r="Z148" s="89"/>
    </x:row>
    <x:row r="149">
      <x:c r="A149" s="89"/>
      <x:c r="B149" s="89"/>
      <x:c r="C149" s="89"/>
      <x:c r="D149" s="89"/>
      <x:c r="E149" s="89"/>
      <x:c r="F149" s="89"/>
      <x:c r="G149" s="89"/>
      <x:c r="H149" s="89"/>
      <x:c r="I149" s="89"/>
      <x:c r="J149" s="89"/>
      <x:c r="K149" s="89"/>
      <x:c r="L149" s="89"/>
      <x:c r="M149" s="89"/>
      <x:c r="N149" s="89"/>
      <x:c r="O149" s="89"/>
      <x:c r="P149" s="89"/>
      <x:c r="Q149" s="89"/>
      <x:c r="R149" s="89"/>
      <x:c r="S149" s="89"/>
      <x:c r="T149" s="89"/>
      <x:c r="U149" s="89"/>
      <x:c r="V149" s="89"/>
      <x:c r="W149" s="89"/>
      <x:c r="X149" s="89"/>
      <x:c r="Y149" s="89"/>
      <x:c r="Z149" s="89"/>
    </x:row>
    <x:row r="150">
      <x:c r="A150" s="89"/>
      <x:c r="B150" s="89"/>
      <x:c r="C150" s="89"/>
      <x:c r="D150" s="89"/>
      <x:c r="E150" s="89"/>
      <x:c r="F150" s="89"/>
      <x:c r="G150" s="89"/>
      <x:c r="H150" s="89"/>
      <x:c r="I150" s="89"/>
      <x:c r="J150" s="89"/>
      <x:c r="K150" s="89"/>
      <x:c r="L150" s="89"/>
      <x:c r="M150" s="89"/>
      <x:c r="N150" s="89"/>
      <x:c r="O150" s="89"/>
      <x:c r="P150" s="89"/>
      <x:c r="Q150" s="89"/>
      <x:c r="R150" s="89"/>
      <x:c r="S150" s="89"/>
      <x:c r="T150" s="89"/>
      <x:c r="U150" s="89"/>
      <x:c r="V150" s="89"/>
      <x:c r="W150" s="89"/>
      <x:c r="X150" s="89"/>
      <x:c r="Y150" s="89"/>
      <x:c r="Z150" s="89"/>
    </x:row>
    <x:row r="151">
      <x:c r="A151" s="89"/>
      <x:c r="B151" s="89"/>
      <x:c r="C151" s="89"/>
      <x:c r="D151" s="89"/>
      <x:c r="E151" s="89"/>
      <x:c r="F151" s="89"/>
      <x:c r="G151" s="89"/>
      <x:c r="H151" s="89"/>
      <x:c r="I151" s="89"/>
      <x:c r="J151" s="89"/>
      <x:c r="K151" s="89"/>
      <x:c r="L151" s="89"/>
      <x:c r="M151" s="89"/>
      <x:c r="N151" s="89"/>
      <x:c r="O151" s="89"/>
      <x:c r="P151" s="89"/>
      <x:c r="Q151" s="89"/>
      <x:c r="R151" s="89"/>
      <x:c r="S151" s="89"/>
      <x:c r="T151" s="89"/>
      <x:c r="U151" s="89"/>
      <x:c r="V151" s="89"/>
      <x:c r="W151" s="89"/>
      <x:c r="X151" s="89"/>
      <x:c r="Y151" s="89"/>
      <x:c r="Z151" s="89"/>
    </x:row>
    <x:row r="152">
      <x:c r="A152" s="89"/>
      <x:c r="B152" s="89"/>
      <x:c r="C152" s="89"/>
      <x:c r="D152" s="89"/>
      <x:c r="E152" s="89"/>
      <x:c r="F152" s="89"/>
      <x:c r="G152" s="89"/>
      <x:c r="H152" s="89"/>
      <x:c r="I152" s="89"/>
      <x:c r="J152" s="89"/>
      <x:c r="K152" s="89"/>
      <x:c r="L152" s="89"/>
      <x:c r="M152" s="89"/>
      <x:c r="N152" s="89"/>
      <x:c r="O152" s="89"/>
      <x:c r="P152" s="89"/>
      <x:c r="Q152" s="89"/>
      <x:c r="R152" s="89"/>
      <x:c r="S152" s="89"/>
      <x:c r="T152" s="89"/>
      <x:c r="U152" s="89"/>
      <x:c r="V152" s="89"/>
      <x:c r="W152" s="89"/>
      <x:c r="X152" s="89"/>
      <x:c r="Y152" s="89"/>
      <x:c r="Z152" s="89"/>
    </x:row>
    <x:row r="153">
      <x:c r="A153" s="89"/>
      <x:c r="B153" s="89"/>
      <x:c r="C153" s="89"/>
      <x:c r="D153" s="89"/>
      <x:c r="E153" s="89"/>
      <x:c r="F153" s="89"/>
      <x:c r="G153" s="89"/>
      <x:c r="H153" s="89"/>
      <x:c r="I153" s="89"/>
      <x:c r="J153" s="89"/>
      <x:c r="K153" s="89"/>
      <x:c r="L153" s="89"/>
      <x:c r="M153" s="89"/>
      <x:c r="N153" s="89"/>
      <x:c r="O153" s="89"/>
      <x:c r="P153" s="89"/>
      <x:c r="Q153" s="89"/>
      <x:c r="R153" s="89"/>
      <x:c r="S153" s="89"/>
      <x:c r="T153" s="89"/>
      <x:c r="U153" s="89"/>
      <x:c r="V153" s="89"/>
      <x:c r="W153" s="89"/>
      <x:c r="X153" s="89"/>
      <x:c r="Y153" s="89"/>
      <x:c r="Z153" s="89"/>
    </x:row>
    <x:row r="154">
      <x:c r="A154" s="89"/>
      <x:c r="B154" s="89"/>
      <x:c r="C154" s="89"/>
      <x:c r="D154" s="89"/>
      <x:c r="E154" s="89"/>
      <x:c r="F154" s="89"/>
      <x:c r="G154" s="89"/>
      <x:c r="H154" s="89"/>
      <x:c r="I154" s="89"/>
      <x:c r="J154" s="89"/>
      <x:c r="K154" s="89"/>
      <x:c r="L154" s="89"/>
      <x:c r="M154" s="89"/>
      <x:c r="N154" s="89"/>
      <x:c r="O154" s="89"/>
      <x:c r="P154" s="89"/>
      <x:c r="Q154" s="89"/>
      <x:c r="R154" s="89"/>
      <x:c r="S154" s="89"/>
      <x:c r="T154" s="89"/>
      <x:c r="U154" s="89"/>
      <x:c r="V154" s="89"/>
      <x:c r="W154" s="89"/>
      <x:c r="X154" s="89"/>
      <x:c r="Y154" s="89"/>
      <x:c r="Z154" s="89"/>
    </x:row>
    <x:row r="155">
      <x:c r="A155" s="89"/>
      <x:c r="B155" s="89"/>
      <x:c r="C155" s="89"/>
      <x:c r="D155" s="89"/>
      <x:c r="E155" s="89"/>
      <x:c r="F155" s="89"/>
      <x:c r="G155" s="89"/>
      <x:c r="H155" s="89"/>
      <x:c r="I155" s="89"/>
      <x:c r="J155" s="89"/>
      <x:c r="K155" s="89"/>
      <x:c r="L155" s="89"/>
      <x:c r="M155" s="89"/>
      <x:c r="N155" s="89"/>
      <x:c r="O155" s="89"/>
      <x:c r="P155" s="89"/>
      <x:c r="Q155" s="89"/>
      <x:c r="R155" s="89"/>
      <x:c r="S155" s="89"/>
      <x:c r="T155" s="89"/>
      <x:c r="U155" s="89"/>
      <x:c r="V155" s="89"/>
      <x:c r="W155" s="89"/>
      <x:c r="X155" s="89"/>
      <x:c r="Y155" s="89"/>
      <x:c r="Z155" s="89"/>
    </x:row>
    <x:row r="156">
      <x:c r="A156" s="89"/>
      <x:c r="B156" s="89"/>
      <x:c r="C156" s="89"/>
      <x:c r="D156" s="89"/>
      <x:c r="E156" s="89"/>
      <x:c r="F156" s="89"/>
      <x:c r="G156" s="89"/>
      <x:c r="H156" s="89"/>
      <x:c r="I156" s="89"/>
      <x:c r="J156" s="89"/>
      <x:c r="K156" s="89"/>
      <x:c r="L156" s="89"/>
      <x:c r="M156" s="89"/>
      <x:c r="N156" s="89"/>
      <x:c r="O156" s="89"/>
      <x:c r="P156" s="89"/>
      <x:c r="Q156" s="89"/>
      <x:c r="R156" s="89"/>
      <x:c r="S156" s="89"/>
      <x:c r="T156" s="89"/>
      <x:c r="U156" s="89"/>
      <x:c r="V156" s="89"/>
      <x:c r="W156" s="89"/>
      <x:c r="X156" s="89"/>
      <x:c r="Y156" s="89"/>
      <x:c r="Z156" s="89"/>
    </x:row>
    <x:row r="157">
      <x:c r="A157" s="89"/>
      <x:c r="B157" s="89"/>
      <x:c r="C157" s="89"/>
      <x:c r="D157" s="89"/>
      <x:c r="E157" s="89"/>
      <x:c r="F157" s="89"/>
      <x:c r="G157" s="89"/>
      <x:c r="H157" s="89"/>
      <x:c r="I157" s="89"/>
      <x:c r="J157" s="89"/>
      <x:c r="K157" s="89"/>
      <x:c r="L157" s="89"/>
      <x:c r="M157" s="89"/>
      <x:c r="N157" s="89"/>
      <x:c r="O157" s="89"/>
      <x:c r="P157" s="89"/>
      <x:c r="Q157" s="89"/>
      <x:c r="R157" s="89"/>
      <x:c r="S157" s="89"/>
      <x:c r="T157" s="89"/>
      <x:c r="U157" s="89"/>
      <x:c r="V157" s="89"/>
      <x:c r="W157" s="89"/>
      <x:c r="X157" s="89"/>
      <x:c r="Y157" s="89"/>
      <x:c r="Z157" s="89"/>
    </x:row>
    <x:row r="158">
      <x:c r="A158" s="89"/>
      <x:c r="B158" s="89"/>
      <x:c r="C158" s="89"/>
      <x:c r="D158" s="89"/>
      <x:c r="E158" s="89"/>
      <x:c r="F158" s="89"/>
      <x:c r="G158" s="89"/>
      <x:c r="H158" s="89"/>
      <x:c r="I158" s="89"/>
      <x:c r="J158" s="89"/>
      <x:c r="K158" s="89"/>
      <x:c r="L158" s="89"/>
      <x:c r="M158" s="89"/>
      <x:c r="N158" s="89"/>
      <x:c r="O158" s="89"/>
      <x:c r="P158" s="89"/>
      <x:c r="Q158" s="89"/>
      <x:c r="R158" s="89"/>
      <x:c r="S158" s="89"/>
      <x:c r="T158" s="89"/>
      <x:c r="U158" s="89"/>
      <x:c r="V158" s="89"/>
      <x:c r="W158" s="89"/>
      <x:c r="X158" s="89"/>
      <x:c r="Y158" s="89"/>
      <x:c r="Z158" s="89"/>
    </x:row>
    <x:row r="159">
      <x:c r="A159" s="89"/>
      <x:c r="B159" s="89"/>
      <x:c r="C159" s="89"/>
      <x:c r="D159" s="89"/>
      <x:c r="E159" s="89"/>
      <x:c r="F159" s="89"/>
      <x:c r="G159" s="89"/>
      <x:c r="H159" s="89"/>
      <x:c r="I159" s="89"/>
      <x:c r="J159" s="89"/>
      <x:c r="K159" s="89"/>
      <x:c r="L159" s="89"/>
      <x:c r="M159" s="89"/>
      <x:c r="N159" s="89"/>
      <x:c r="O159" s="89"/>
      <x:c r="P159" s="89"/>
      <x:c r="Q159" s="89"/>
      <x:c r="R159" s="89"/>
      <x:c r="S159" s="89"/>
      <x:c r="T159" s="89"/>
      <x:c r="U159" s="89"/>
      <x:c r="V159" s="89"/>
      <x:c r="W159" s="89"/>
      <x:c r="X159" s="89"/>
      <x:c r="Y159" s="89"/>
      <x:c r="Z159" s="89"/>
    </x:row>
    <x:row r="160">
      <x:c r="A160" s="89"/>
      <x:c r="B160" s="89"/>
      <x:c r="C160" s="89"/>
      <x:c r="D160" s="89"/>
      <x:c r="E160" s="89"/>
      <x:c r="F160" s="89"/>
      <x:c r="G160" s="89"/>
      <x:c r="H160" s="89"/>
      <x:c r="I160" s="89"/>
      <x:c r="J160" s="89"/>
      <x:c r="K160" s="89"/>
      <x:c r="L160" s="89"/>
      <x:c r="M160" s="89"/>
      <x:c r="N160" s="89"/>
      <x:c r="O160" s="89"/>
      <x:c r="P160" s="89"/>
      <x:c r="Q160" s="89"/>
      <x:c r="R160" s="89"/>
      <x:c r="S160" s="89"/>
      <x:c r="T160" s="89"/>
      <x:c r="U160" s="89"/>
      <x:c r="V160" s="89"/>
      <x:c r="W160" s="89"/>
      <x:c r="X160" s="89"/>
      <x:c r="Y160" s="89"/>
      <x:c r="Z160" s="89"/>
    </x:row>
    <x:row r="161">
      <x:c r="A161" s="89"/>
      <x:c r="B161" s="89"/>
      <x:c r="C161" s="89"/>
      <x:c r="D161" s="89"/>
      <x:c r="E161" s="89"/>
      <x:c r="F161" s="89"/>
      <x:c r="G161" s="89"/>
      <x:c r="H161" s="89"/>
      <x:c r="I161" s="89"/>
      <x:c r="J161" s="89"/>
      <x:c r="K161" s="89"/>
      <x:c r="L161" s="89"/>
      <x:c r="M161" s="89"/>
      <x:c r="N161" s="89"/>
      <x:c r="O161" s="89"/>
      <x:c r="P161" s="89"/>
      <x:c r="Q161" s="89"/>
      <x:c r="R161" s="89"/>
      <x:c r="S161" s="89"/>
      <x:c r="T161" s="89"/>
      <x:c r="U161" s="89"/>
      <x:c r="V161" s="89"/>
      <x:c r="W161" s="89"/>
      <x:c r="X161" s="89"/>
      <x:c r="Y161" s="89"/>
      <x:c r="Z161" s="89"/>
    </x:row>
    <x:row r="162">
      <x:c r="A162" s="89"/>
      <x:c r="B162" s="89"/>
      <x:c r="C162" s="89"/>
      <x:c r="D162" s="89"/>
      <x:c r="E162" s="89"/>
      <x:c r="F162" s="89"/>
      <x:c r="G162" s="89"/>
      <x:c r="H162" s="89"/>
      <x:c r="I162" s="89"/>
      <x:c r="J162" s="89"/>
      <x:c r="K162" s="89"/>
      <x:c r="L162" s="89"/>
      <x:c r="M162" s="89"/>
      <x:c r="N162" s="89"/>
      <x:c r="O162" s="89"/>
      <x:c r="P162" s="89"/>
      <x:c r="Q162" s="89"/>
      <x:c r="R162" s="89"/>
      <x:c r="S162" s="89"/>
      <x:c r="T162" s="89"/>
      <x:c r="U162" s="89"/>
      <x:c r="V162" s="89"/>
      <x:c r="W162" s="89"/>
      <x:c r="X162" s="89"/>
      <x:c r="Y162" s="89"/>
      <x:c r="Z162" s="89"/>
    </x:row>
    <x:row r="163">
      <x:c r="A163" s="89"/>
      <x:c r="B163" s="89"/>
      <x:c r="C163" s="89"/>
      <x:c r="D163" s="89"/>
      <x:c r="E163" s="89"/>
      <x:c r="F163" s="89"/>
      <x:c r="G163" s="89"/>
      <x:c r="H163" s="89"/>
      <x:c r="I163" s="89"/>
      <x:c r="J163" s="89"/>
      <x:c r="K163" s="89"/>
      <x:c r="L163" s="89"/>
      <x:c r="M163" s="89"/>
      <x:c r="N163" s="89"/>
      <x:c r="O163" s="89"/>
      <x:c r="P163" s="89"/>
      <x:c r="Q163" s="89"/>
      <x:c r="R163" s="89"/>
      <x:c r="S163" s="89"/>
      <x:c r="T163" s="89"/>
      <x:c r="U163" s="89"/>
      <x:c r="V163" s="89"/>
      <x:c r="W163" s="89"/>
      <x:c r="X163" s="89"/>
      <x:c r="Y163" s="89"/>
      <x:c r="Z163" s="89"/>
    </x:row>
    <x:row r="164">
      <x:c r="A164" s="89"/>
      <x:c r="B164" s="89"/>
      <x:c r="C164" s="89"/>
      <x:c r="D164" s="89"/>
      <x:c r="E164" s="89"/>
      <x:c r="F164" s="89"/>
      <x:c r="G164" s="89"/>
      <x:c r="H164" s="89"/>
      <x:c r="I164" s="89"/>
      <x:c r="J164" s="89"/>
      <x:c r="K164" s="89"/>
      <x:c r="L164" s="89"/>
      <x:c r="M164" s="89"/>
      <x:c r="N164" s="89"/>
      <x:c r="O164" s="89"/>
      <x:c r="P164" s="89"/>
      <x:c r="Q164" s="89"/>
      <x:c r="R164" s="89"/>
      <x:c r="S164" s="89"/>
      <x:c r="T164" s="89"/>
      <x:c r="U164" s="89"/>
      <x:c r="V164" s="89"/>
      <x:c r="W164" s="89"/>
      <x:c r="X164" s="89"/>
      <x:c r="Y164" s="89"/>
      <x:c r="Z164" s="89"/>
    </x:row>
    <x:row r="165">
      <x:c r="A165" s="89"/>
      <x:c r="B165" s="89"/>
      <x:c r="C165" s="89"/>
      <x:c r="D165" s="89"/>
      <x:c r="E165" s="89"/>
      <x:c r="F165" s="89"/>
      <x:c r="G165" s="89"/>
      <x:c r="H165" s="89"/>
      <x:c r="I165" s="89"/>
      <x:c r="J165" s="89"/>
      <x:c r="K165" s="89"/>
      <x:c r="L165" s="89"/>
      <x:c r="M165" s="89"/>
      <x:c r="N165" s="89"/>
      <x:c r="O165" s="89"/>
      <x:c r="P165" s="89"/>
      <x:c r="Q165" s="89"/>
      <x:c r="R165" s="89"/>
      <x:c r="S165" s="89"/>
      <x:c r="T165" s="89"/>
      <x:c r="U165" s="89"/>
      <x:c r="V165" s="89"/>
      <x:c r="W165" s="89"/>
      <x:c r="X165" s="89"/>
      <x:c r="Y165" s="89"/>
      <x:c r="Z165" s="89"/>
    </x:row>
    <x:row r="166">
      <x:c r="A166" s="89"/>
      <x:c r="B166" s="89"/>
      <x:c r="C166" s="89"/>
      <x:c r="D166" s="89"/>
      <x:c r="E166" s="89"/>
      <x:c r="F166" s="89"/>
      <x:c r="G166" s="89"/>
      <x:c r="H166" s="89"/>
      <x:c r="I166" s="89"/>
      <x:c r="J166" s="89"/>
      <x:c r="K166" s="89"/>
      <x:c r="L166" s="89"/>
      <x:c r="M166" s="89"/>
      <x:c r="N166" s="89"/>
      <x:c r="O166" s="89"/>
      <x:c r="P166" s="89"/>
      <x:c r="Q166" s="89"/>
      <x:c r="R166" s="89"/>
      <x:c r="S166" s="89"/>
      <x:c r="T166" s="89"/>
      <x:c r="U166" s="89"/>
      <x:c r="V166" s="89"/>
      <x:c r="W166" s="89"/>
      <x:c r="X166" s="89"/>
      <x:c r="Y166" s="89"/>
      <x:c r="Z166" s="89"/>
    </x:row>
    <x:row r="167">
      <x:c r="A167" s="89"/>
      <x:c r="B167" s="89"/>
      <x:c r="C167" s="89"/>
      <x:c r="D167" s="89"/>
      <x:c r="E167" s="89"/>
      <x:c r="F167" s="89"/>
      <x:c r="G167" s="89"/>
      <x:c r="H167" s="89"/>
      <x:c r="I167" s="89"/>
      <x:c r="J167" s="89"/>
      <x:c r="K167" s="89"/>
      <x:c r="L167" s="89"/>
      <x:c r="M167" s="89"/>
      <x:c r="N167" s="89"/>
      <x:c r="O167" s="89"/>
      <x:c r="P167" s="89"/>
      <x:c r="Q167" s="89"/>
      <x:c r="R167" s="89"/>
      <x:c r="S167" s="89"/>
      <x:c r="T167" s="89"/>
      <x:c r="U167" s="89"/>
      <x:c r="V167" s="89"/>
      <x:c r="W167" s="89"/>
      <x:c r="X167" s="89"/>
      <x:c r="Y167" s="89"/>
      <x:c r="Z167" s="89"/>
    </x:row>
    <x:row r="168">
      <x:c r="A168" s="89"/>
      <x:c r="B168" s="89"/>
      <x:c r="C168" s="89"/>
      <x:c r="D168" s="89"/>
      <x:c r="E168" s="89"/>
      <x:c r="F168" s="89"/>
      <x:c r="G168" s="89"/>
      <x:c r="H168" s="89"/>
      <x:c r="I168" s="89"/>
      <x:c r="J168" s="89"/>
      <x:c r="K168" s="89"/>
      <x:c r="L168" s="89"/>
      <x:c r="M168" s="89"/>
      <x:c r="N168" s="89"/>
      <x:c r="O168" s="89"/>
      <x:c r="P168" s="89"/>
      <x:c r="Q168" s="89"/>
      <x:c r="R168" s="89"/>
      <x:c r="S168" s="89"/>
      <x:c r="T168" s="89"/>
      <x:c r="U168" s="89"/>
      <x:c r="V168" s="89"/>
      <x:c r="W168" s="89"/>
      <x:c r="X168" s="89"/>
      <x:c r="Y168" s="89"/>
      <x:c r="Z168" s="89"/>
    </x:row>
    <x:row r="169">
      <x:c r="A169" s="89"/>
      <x:c r="B169" s="89"/>
      <x:c r="C169" s="89"/>
      <x:c r="D169" s="89"/>
      <x:c r="E169" s="89"/>
      <x:c r="F169" s="89"/>
      <x:c r="G169" s="89"/>
      <x:c r="H169" s="89"/>
      <x:c r="I169" s="89"/>
      <x:c r="J169" s="89"/>
      <x:c r="K169" s="89"/>
      <x:c r="L169" s="89"/>
      <x:c r="M169" s="89"/>
      <x:c r="N169" s="89"/>
      <x:c r="O169" s="89"/>
      <x:c r="P169" s="89"/>
      <x:c r="Q169" s="89"/>
      <x:c r="R169" s="89"/>
      <x:c r="S169" s="89"/>
      <x:c r="T169" s="89"/>
      <x:c r="U169" s="89"/>
      <x:c r="V169" s="89"/>
      <x:c r="W169" s="89"/>
      <x:c r="X169" s="89"/>
      <x:c r="Y169" s="89"/>
      <x:c r="Z169" s="89"/>
    </x:row>
    <x:row r="170">
      <x:c r="A170" s="89"/>
      <x:c r="B170" s="89"/>
      <x:c r="C170" s="89"/>
      <x:c r="D170" s="89"/>
      <x:c r="E170" s="89"/>
      <x:c r="F170" s="89"/>
      <x:c r="G170" s="89"/>
      <x:c r="H170" s="89"/>
      <x:c r="I170" s="89"/>
      <x:c r="J170" s="89"/>
      <x:c r="K170" s="89"/>
      <x:c r="L170" s="89"/>
      <x:c r="M170" s="89"/>
      <x:c r="N170" s="89"/>
      <x:c r="O170" s="89"/>
      <x:c r="P170" s="89"/>
      <x:c r="Q170" s="89"/>
      <x:c r="R170" s="89"/>
      <x:c r="S170" s="89"/>
      <x:c r="T170" s="89"/>
      <x:c r="U170" s="89"/>
      <x:c r="V170" s="89"/>
      <x:c r="W170" s="89"/>
      <x:c r="X170" s="89"/>
      <x:c r="Y170" s="89"/>
      <x:c r="Z170" s="89"/>
    </x:row>
    <x:row r="171">
      <x:c r="A171" s="89"/>
      <x:c r="B171" s="89"/>
      <x:c r="C171" s="89"/>
      <x:c r="D171" s="89"/>
      <x:c r="E171" s="89"/>
      <x:c r="F171" s="89"/>
      <x:c r="G171" s="89"/>
      <x:c r="H171" s="89"/>
      <x:c r="I171" s="89"/>
      <x:c r="J171" s="89"/>
      <x:c r="K171" s="89"/>
      <x:c r="L171" s="89"/>
      <x:c r="M171" s="89"/>
      <x:c r="N171" s="89"/>
      <x:c r="O171" s="89"/>
      <x:c r="P171" s="89"/>
      <x:c r="Q171" s="89"/>
      <x:c r="R171" s="89"/>
      <x:c r="S171" s="89"/>
      <x:c r="T171" s="89"/>
      <x:c r="U171" s="89"/>
      <x:c r="V171" s="89"/>
      <x:c r="W171" s="89"/>
      <x:c r="X171" s="89"/>
      <x:c r="Y171" s="89"/>
      <x:c r="Z171" s="89"/>
    </x:row>
    <x:row r="172">
      <x:c r="A172" s="89"/>
      <x:c r="B172" s="89"/>
      <x:c r="C172" s="89"/>
      <x:c r="D172" s="89"/>
      <x:c r="E172" s="89"/>
      <x:c r="F172" s="89"/>
      <x:c r="G172" s="89"/>
      <x:c r="H172" s="89"/>
      <x:c r="I172" s="89"/>
      <x:c r="J172" s="89"/>
      <x:c r="K172" s="89"/>
      <x:c r="L172" s="89"/>
      <x:c r="M172" s="89"/>
      <x:c r="N172" s="89"/>
      <x:c r="O172" s="89"/>
      <x:c r="P172" s="89"/>
      <x:c r="Q172" s="89"/>
      <x:c r="R172" s="89"/>
      <x:c r="S172" s="89"/>
      <x:c r="T172" s="89"/>
      <x:c r="U172" s="89"/>
      <x:c r="V172" s="89"/>
      <x:c r="W172" s="89"/>
      <x:c r="X172" s="89"/>
      <x:c r="Y172" s="89"/>
      <x:c r="Z172" s="89"/>
    </x:row>
    <x:row r="173">
      <x:c r="A173" s="89"/>
      <x:c r="B173" s="89"/>
      <x:c r="C173" s="89"/>
      <x:c r="D173" s="89"/>
      <x:c r="E173" s="89"/>
      <x:c r="F173" s="89"/>
      <x:c r="G173" s="89"/>
      <x:c r="H173" s="89"/>
      <x:c r="I173" s="89"/>
      <x:c r="J173" s="89"/>
      <x:c r="K173" s="89"/>
      <x:c r="L173" s="89"/>
      <x:c r="M173" s="89"/>
      <x:c r="N173" s="89"/>
      <x:c r="O173" s="89"/>
      <x:c r="P173" s="89"/>
      <x:c r="Q173" s="89"/>
      <x:c r="R173" s="89"/>
      <x:c r="S173" s="89"/>
      <x:c r="T173" s="89"/>
      <x:c r="U173" s="89"/>
      <x:c r="V173" s="89"/>
      <x:c r="W173" s="89"/>
      <x:c r="X173" s="89"/>
      <x:c r="Y173" s="89"/>
      <x:c r="Z173" s="89"/>
    </x:row>
    <x:row r="174">
      <x:c r="A174" s="89"/>
      <x:c r="B174" s="89"/>
      <x:c r="C174" s="89"/>
      <x:c r="D174" s="89"/>
      <x:c r="E174" s="89"/>
      <x:c r="F174" s="89"/>
      <x:c r="G174" s="89"/>
      <x:c r="H174" s="89"/>
      <x:c r="I174" s="89"/>
      <x:c r="J174" s="89"/>
      <x:c r="K174" s="89"/>
      <x:c r="L174" s="89"/>
      <x:c r="M174" s="89"/>
      <x:c r="N174" s="89"/>
      <x:c r="O174" s="89"/>
      <x:c r="P174" s="89"/>
      <x:c r="Q174" s="89"/>
      <x:c r="R174" s="89"/>
      <x:c r="S174" s="89"/>
      <x:c r="T174" s="89"/>
      <x:c r="U174" s="89"/>
      <x:c r="V174" s="89"/>
      <x:c r="W174" s="89"/>
      <x:c r="X174" s="89"/>
      <x:c r="Y174" s="89"/>
      <x:c r="Z174" s="89"/>
    </x:row>
    <x:row r="175">
      <x:c r="A175" s="89"/>
      <x:c r="B175" s="89"/>
      <x:c r="C175" s="89"/>
      <x:c r="D175" s="89"/>
      <x:c r="E175" s="89"/>
      <x:c r="F175" s="89"/>
      <x:c r="G175" s="89"/>
      <x:c r="H175" s="89"/>
      <x:c r="I175" s="89"/>
      <x:c r="J175" s="89"/>
      <x:c r="K175" s="89"/>
      <x:c r="L175" s="89"/>
      <x:c r="M175" s="89"/>
      <x:c r="N175" s="89"/>
      <x:c r="O175" s="89"/>
      <x:c r="P175" s="89"/>
      <x:c r="Q175" s="89"/>
      <x:c r="R175" s="89"/>
      <x:c r="S175" s="89"/>
      <x:c r="T175" s="89"/>
      <x:c r="U175" s="89"/>
      <x:c r="V175" s="89"/>
      <x:c r="W175" s="89"/>
      <x:c r="X175" s="89"/>
      <x:c r="Y175" s="89"/>
      <x:c r="Z175" s="89"/>
    </x:row>
    <x:row r="176">
      <x:c r="A176" s="89"/>
      <x:c r="B176" s="89"/>
      <x:c r="C176" s="89"/>
      <x:c r="D176" s="89"/>
      <x:c r="E176" s="89"/>
      <x:c r="F176" s="89"/>
      <x:c r="G176" s="89"/>
      <x:c r="H176" s="89"/>
      <x:c r="I176" s="89"/>
      <x:c r="J176" s="89"/>
      <x:c r="K176" s="89"/>
      <x:c r="L176" s="89"/>
      <x:c r="M176" s="89"/>
      <x:c r="N176" s="89"/>
      <x:c r="O176" s="89"/>
      <x:c r="P176" s="89"/>
      <x:c r="Q176" s="89"/>
      <x:c r="R176" s="89"/>
      <x:c r="S176" s="89"/>
      <x:c r="T176" s="89"/>
      <x:c r="U176" s="89"/>
      <x:c r="V176" s="89"/>
      <x:c r="W176" s="89"/>
      <x:c r="X176" s="89"/>
      <x:c r="Y176" s="89"/>
      <x:c r="Z176" s="89"/>
    </x:row>
    <x:row r="177">
      <x:c r="A177" s="89"/>
      <x:c r="B177" s="89"/>
      <x:c r="C177" s="89"/>
      <x:c r="D177" s="89"/>
      <x:c r="E177" s="89"/>
      <x:c r="F177" s="89"/>
      <x:c r="G177" s="89"/>
      <x:c r="H177" s="89"/>
      <x:c r="I177" s="89"/>
      <x:c r="J177" s="89"/>
      <x:c r="K177" s="89"/>
      <x:c r="L177" s="89"/>
      <x:c r="M177" s="89"/>
      <x:c r="N177" s="89"/>
      <x:c r="O177" s="89"/>
      <x:c r="P177" s="89"/>
      <x:c r="Q177" s="89"/>
      <x:c r="R177" s="89"/>
      <x:c r="S177" s="89"/>
      <x:c r="T177" s="89"/>
      <x:c r="U177" s="89"/>
      <x:c r="V177" s="89"/>
      <x:c r="W177" s="89"/>
      <x:c r="X177" s="89"/>
      <x:c r="Y177" s="89"/>
      <x:c r="Z177" s="89"/>
    </x:row>
    <x:row r="178">
      <x:c r="A178" s="89"/>
      <x:c r="B178" s="89"/>
      <x:c r="C178" s="89"/>
      <x:c r="D178" s="89"/>
      <x:c r="E178" s="89"/>
      <x:c r="F178" s="89"/>
      <x:c r="G178" s="89"/>
      <x:c r="H178" s="89"/>
      <x:c r="I178" s="89"/>
      <x:c r="J178" s="89"/>
      <x:c r="K178" s="89"/>
      <x:c r="L178" s="89"/>
      <x:c r="M178" s="89"/>
      <x:c r="N178" s="89"/>
      <x:c r="O178" s="89"/>
      <x:c r="P178" s="89"/>
      <x:c r="Q178" s="89"/>
      <x:c r="R178" s="89"/>
      <x:c r="S178" s="89"/>
      <x:c r="T178" s="89"/>
      <x:c r="U178" s="89"/>
      <x:c r="V178" s="89"/>
      <x:c r="W178" s="89"/>
      <x:c r="X178" s="89"/>
      <x:c r="Y178" s="89"/>
      <x:c r="Z178" s="89"/>
    </x:row>
    <x:row r="179">
      <x:c r="A179" s="89"/>
      <x:c r="B179" s="89"/>
      <x:c r="C179" s="89"/>
      <x:c r="D179" s="89"/>
      <x:c r="E179" s="89"/>
      <x:c r="F179" s="89"/>
      <x:c r="G179" s="89"/>
      <x:c r="H179" s="89"/>
      <x:c r="I179" s="89"/>
      <x:c r="J179" s="89"/>
      <x:c r="K179" s="89"/>
      <x:c r="L179" s="89"/>
      <x:c r="M179" s="89"/>
      <x:c r="N179" s="89"/>
      <x:c r="O179" s="89"/>
      <x:c r="P179" s="89"/>
      <x:c r="Q179" s="89"/>
      <x:c r="R179" s="89"/>
      <x:c r="S179" s="89"/>
      <x:c r="T179" s="89"/>
      <x:c r="U179" s="89"/>
      <x:c r="V179" s="89"/>
      <x:c r="W179" s="89"/>
      <x:c r="X179" s="89"/>
      <x:c r="Y179" s="89"/>
      <x:c r="Z179" s="89"/>
    </x:row>
    <x:row r="180">
      <x:c r="A180" s="89"/>
      <x:c r="B180" s="89"/>
      <x:c r="C180" s="89"/>
      <x:c r="D180" s="89"/>
      <x:c r="E180" s="89"/>
      <x:c r="F180" s="89"/>
      <x:c r="G180" s="89"/>
      <x:c r="H180" s="89"/>
      <x:c r="I180" s="89"/>
      <x:c r="J180" s="89"/>
      <x:c r="K180" s="89"/>
      <x:c r="L180" s="89"/>
      <x:c r="M180" s="89"/>
      <x:c r="N180" s="89"/>
      <x:c r="O180" s="89"/>
      <x:c r="P180" s="89"/>
      <x:c r="Q180" s="89"/>
      <x:c r="R180" s="89"/>
      <x:c r="S180" s="89"/>
      <x:c r="T180" s="89"/>
      <x:c r="U180" s="89"/>
      <x:c r="V180" s="89"/>
      <x:c r="W180" s="89"/>
      <x:c r="X180" s="89"/>
      <x:c r="Y180" s="89"/>
      <x:c r="Z180" s="89"/>
    </x:row>
    <x:row r="181">
      <x:c r="A181" s="89"/>
      <x:c r="B181" s="89"/>
      <x:c r="C181" s="89"/>
      <x:c r="D181" s="89"/>
      <x:c r="E181" s="89"/>
      <x:c r="F181" s="89"/>
      <x:c r="G181" s="89"/>
      <x:c r="H181" s="89"/>
      <x:c r="I181" s="89"/>
      <x:c r="J181" s="89"/>
      <x:c r="K181" s="89"/>
      <x:c r="L181" s="89"/>
      <x:c r="M181" s="89"/>
      <x:c r="N181" s="89"/>
      <x:c r="O181" s="89"/>
      <x:c r="P181" s="89"/>
      <x:c r="Q181" s="89"/>
      <x:c r="R181" s="89"/>
      <x:c r="S181" s="89"/>
      <x:c r="T181" s="89"/>
      <x:c r="U181" s="89"/>
      <x:c r="V181" s="89"/>
      <x:c r="W181" s="89"/>
      <x:c r="X181" s="89"/>
      <x:c r="Y181" s="89"/>
      <x:c r="Z181" s="89"/>
    </x:row>
    <x:row r="182">
      <x:c r="A182" s="89"/>
      <x:c r="B182" s="89"/>
      <x:c r="C182" s="89"/>
      <x:c r="D182" s="89"/>
      <x:c r="E182" s="89"/>
      <x:c r="F182" s="89"/>
      <x:c r="G182" s="89"/>
      <x:c r="H182" s="89"/>
      <x:c r="I182" s="89"/>
      <x:c r="J182" s="89"/>
      <x:c r="K182" s="89"/>
      <x:c r="L182" s="89"/>
      <x:c r="M182" s="89"/>
      <x:c r="N182" s="89"/>
      <x:c r="O182" s="89"/>
      <x:c r="P182" s="89"/>
      <x:c r="Q182" s="89"/>
      <x:c r="R182" s="89"/>
      <x:c r="S182" s="89"/>
      <x:c r="T182" s="89"/>
      <x:c r="U182" s="89"/>
      <x:c r="V182" s="89"/>
      <x:c r="W182" s="89"/>
      <x:c r="X182" s="89"/>
      <x:c r="Y182" s="89"/>
      <x:c r="Z182" s="89"/>
    </x:row>
    <x:row r="183">
      <x:c r="A183" s="89"/>
      <x:c r="B183" s="89"/>
      <x:c r="C183" s="89"/>
      <x:c r="D183" s="89"/>
      <x:c r="E183" s="89"/>
      <x:c r="F183" s="89"/>
      <x:c r="G183" s="89"/>
      <x:c r="H183" s="89"/>
      <x:c r="I183" s="89"/>
      <x:c r="J183" s="89"/>
      <x:c r="K183" s="89"/>
      <x:c r="L183" s="89"/>
      <x:c r="M183" s="89"/>
      <x:c r="N183" s="89"/>
      <x:c r="O183" s="89"/>
      <x:c r="P183" s="89"/>
      <x:c r="Q183" s="89"/>
      <x:c r="R183" s="89"/>
      <x:c r="S183" s="89"/>
      <x:c r="T183" s="89"/>
      <x:c r="U183" s="89"/>
      <x:c r="V183" s="89"/>
      <x:c r="W183" s="89"/>
      <x:c r="X183" s="89"/>
      <x:c r="Y183" s="89"/>
      <x:c r="Z183" s="89"/>
    </x:row>
    <x:row r="184">
      <x:c r="A184" s="89"/>
      <x:c r="B184" s="89"/>
      <x:c r="C184" s="89"/>
      <x:c r="D184" s="89"/>
      <x:c r="E184" s="89"/>
      <x:c r="F184" s="89"/>
      <x:c r="G184" s="89"/>
      <x:c r="H184" s="89"/>
      <x:c r="I184" s="89"/>
      <x:c r="J184" s="89"/>
      <x:c r="K184" s="89"/>
      <x:c r="L184" s="89"/>
      <x:c r="M184" s="89"/>
      <x:c r="N184" s="89"/>
      <x:c r="O184" s="89"/>
      <x:c r="P184" s="89"/>
      <x:c r="Q184" s="89"/>
      <x:c r="R184" s="89"/>
      <x:c r="S184" s="89"/>
      <x:c r="T184" s="89"/>
      <x:c r="U184" s="89"/>
      <x:c r="V184" s="89"/>
      <x:c r="W184" s="89"/>
      <x:c r="X184" s="89"/>
      <x:c r="Y184" s="89"/>
      <x:c r="Z184" s="89"/>
    </x:row>
    <x:row r="185">
      <x:c r="A185" s="89"/>
      <x:c r="B185" s="89"/>
      <x:c r="C185" s="89"/>
      <x:c r="D185" s="89"/>
      <x:c r="E185" s="89"/>
      <x:c r="F185" s="89"/>
      <x:c r="G185" s="89"/>
      <x:c r="H185" s="89"/>
      <x:c r="I185" s="89"/>
      <x:c r="J185" s="89"/>
      <x:c r="K185" s="89"/>
      <x:c r="L185" s="89"/>
      <x:c r="M185" s="89"/>
      <x:c r="N185" s="89"/>
      <x:c r="O185" s="89"/>
      <x:c r="P185" s="89"/>
      <x:c r="Q185" s="89"/>
      <x:c r="R185" s="89"/>
      <x:c r="S185" s="89"/>
      <x:c r="T185" s="89"/>
      <x:c r="U185" s="89"/>
      <x:c r="V185" s="89"/>
      <x:c r="W185" s="89"/>
      <x:c r="X185" s="89"/>
      <x:c r="Y185" s="89"/>
      <x:c r="Z185" s="89"/>
    </x:row>
    <x:row r="186">
      <x:c r="A186" s="89"/>
      <x:c r="B186" s="89"/>
      <x:c r="C186" s="89"/>
      <x:c r="D186" s="89"/>
      <x:c r="E186" s="89"/>
      <x:c r="F186" s="89"/>
      <x:c r="G186" s="89"/>
      <x:c r="H186" s="89"/>
      <x:c r="I186" s="89"/>
      <x:c r="J186" s="89"/>
      <x:c r="K186" s="89"/>
      <x:c r="L186" s="89"/>
      <x:c r="M186" s="89"/>
      <x:c r="N186" s="89"/>
      <x:c r="O186" s="89"/>
      <x:c r="P186" s="89"/>
      <x:c r="Q186" s="89"/>
      <x:c r="R186" s="89"/>
      <x:c r="S186" s="89"/>
      <x:c r="T186" s="89"/>
      <x:c r="U186" s="89"/>
      <x:c r="V186" s="89"/>
      <x:c r="W186" s="89"/>
      <x:c r="X186" s="89"/>
      <x:c r="Y186" s="89"/>
      <x:c r="Z186" s="89"/>
    </x:row>
    <x:row r="187">
      <x:c r="A187" s="89"/>
      <x:c r="B187" s="89"/>
      <x:c r="C187" s="89"/>
      <x:c r="D187" s="89"/>
      <x:c r="E187" s="89"/>
      <x:c r="F187" s="89"/>
      <x:c r="G187" s="89"/>
      <x:c r="H187" s="89"/>
      <x:c r="I187" s="89"/>
      <x:c r="J187" s="89"/>
      <x:c r="K187" s="89"/>
      <x:c r="L187" s="89"/>
      <x:c r="M187" s="89"/>
      <x:c r="N187" s="89"/>
      <x:c r="O187" s="89"/>
      <x:c r="P187" s="89"/>
      <x:c r="Q187" s="89"/>
      <x:c r="R187" s="89"/>
      <x:c r="S187" s="89"/>
      <x:c r="T187" s="89"/>
      <x:c r="U187" s="89"/>
      <x:c r="V187" s="89"/>
      <x:c r="W187" s="89"/>
      <x:c r="X187" s="89"/>
      <x:c r="Y187" s="89"/>
      <x:c r="Z187" s="89"/>
    </x:row>
    <x:row r="188">
      <x:c r="A188" s="89"/>
      <x:c r="B188" s="89"/>
      <x:c r="C188" s="89"/>
      <x:c r="D188" s="89"/>
      <x:c r="E188" s="89"/>
      <x:c r="F188" s="89"/>
      <x:c r="G188" s="89"/>
      <x:c r="H188" s="89"/>
      <x:c r="I188" s="89"/>
      <x:c r="J188" s="89"/>
      <x:c r="K188" s="89"/>
      <x:c r="L188" s="89"/>
      <x:c r="M188" s="89"/>
      <x:c r="N188" s="89"/>
      <x:c r="O188" s="89"/>
      <x:c r="P188" s="89"/>
      <x:c r="Q188" s="89"/>
      <x:c r="R188" s="89"/>
      <x:c r="S188" s="89"/>
      <x:c r="T188" s="89"/>
      <x:c r="U188" s="89"/>
      <x:c r="V188" s="89"/>
      <x:c r="W188" s="89"/>
      <x:c r="X188" s="89"/>
      <x:c r="Y188" s="89"/>
      <x:c r="Z188" s="89"/>
    </x:row>
    <x:row r="189">
      <x:c r="A189" s="89"/>
      <x:c r="B189" s="89"/>
      <x:c r="C189" s="89"/>
      <x:c r="D189" s="89"/>
      <x:c r="E189" s="89"/>
      <x:c r="F189" s="89"/>
      <x:c r="G189" s="89"/>
      <x:c r="H189" s="89"/>
      <x:c r="I189" s="89"/>
      <x:c r="J189" s="89"/>
      <x:c r="K189" s="89"/>
      <x:c r="L189" s="89"/>
      <x:c r="M189" s="89"/>
      <x:c r="N189" s="89"/>
      <x:c r="O189" s="89"/>
      <x:c r="P189" s="89"/>
      <x:c r="Q189" s="89"/>
      <x:c r="R189" s="89"/>
      <x:c r="S189" s="89"/>
      <x:c r="T189" s="89"/>
      <x:c r="U189" s="89"/>
      <x:c r="V189" s="89"/>
      <x:c r="W189" s="89"/>
      <x:c r="X189" s="89"/>
      <x:c r="Y189" s="89"/>
      <x:c r="Z189" s="89"/>
    </x:row>
    <x:row r="190">
      <x:c r="A190" s="89"/>
      <x:c r="B190" s="89"/>
      <x:c r="C190" s="89"/>
      <x:c r="D190" s="89"/>
      <x:c r="E190" s="89"/>
      <x:c r="F190" s="89"/>
      <x:c r="G190" s="89"/>
      <x:c r="H190" s="89"/>
      <x:c r="I190" s="89"/>
      <x:c r="J190" s="89"/>
      <x:c r="K190" s="89"/>
      <x:c r="L190" s="89"/>
      <x:c r="M190" s="89"/>
      <x:c r="N190" s="89"/>
      <x:c r="O190" s="89"/>
      <x:c r="P190" s="89"/>
      <x:c r="Q190" s="89"/>
      <x:c r="R190" s="89"/>
      <x:c r="S190" s="89"/>
      <x:c r="T190" s="89"/>
      <x:c r="U190" s="89"/>
      <x:c r="V190" s="89"/>
      <x:c r="W190" s="89"/>
      <x:c r="X190" s="89"/>
      <x:c r="Y190" s="89"/>
      <x:c r="Z190" s="89"/>
    </x:row>
    <x:row r="191">
      <x:c r="A191" s="89"/>
      <x:c r="B191" s="89"/>
      <x:c r="C191" s="89"/>
      <x:c r="D191" s="89"/>
      <x:c r="E191" s="89"/>
      <x:c r="F191" s="89"/>
      <x:c r="G191" s="89"/>
      <x:c r="H191" s="89"/>
      <x:c r="I191" s="89"/>
      <x:c r="J191" s="89"/>
      <x:c r="K191" s="89"/>
      <x:c r="L191" s="89"/>
      <x:c r="M191" s="89"/>
      <x:c r="N191" s="89"/>
      <x:c r="O191" s="89"/>
      <x:c r="P191" s="89"/>
      <x:c r="Q191" s="89"/>
      <x:c r="R191" s="89"/>
      <x:c r="S191" s="89"/>
      <x:c r="T191" s="89"/>
      <x:c r="U191" s="89"/>
      <x:c r="V191" s="89"/>
      <x:c r="W191" s="89"/>
      <x:c r="X191" s="89"/>
      <x:c r="Y191" s="89"/>
      <x:c r="Z191" s="89"/>
    </x:row>
    <x:row r="192">
      <x:c r="A192" s="89"/>
      <x:c r="B192" s="89"/>
      <x:c r="C192" s="89"/>
      <x:c r="D192" s="89"/>
      <x:c r="E192" s="89"/>
      <x:c r="F192" s="89"/>
      <x:c r="G192" s="89"/>
      <x:c r="H192" s="89"/>
      <x:c r="I192" s="89"/>
      <x:c r="J192" s="89"/>
      <x:c r="K192" s="89"/>
      <x:c r="L192" s="89"/>
      <x:c r="M192" s="89"/>
      <x:c r="N192" s="89"/>
      <x:c r="O192" s="89"/>
      <x:c r="P192" s="89"/>
      <x:c r="Q192" s="89"/>
      <x:c r="R192" s="89"/>
      <x:c r="S192" s="89"/>
      <x:c r="T192" s="89"/>
      <x:c r="U192" s="89"/>
      <x:c r="V192" s="89"/>
      <x:c r="W192" s="89"/>
      <x:c r="X192" s="89"/>
      <x:c r="Y192" s="89"/>
      <x:c r="Z192" s="89"/>
    </x:row>
    <x:row r="193">
      <x:c r="A193" s="89"/>
      <x:c r="B193" s="89"/>
      <x:c r="C193" s="89"/>
      <x:c r="D193" s="89"/>
      <x:c r="E193" s="89"/>
      <x:c r="F193" s="89"/>
      <x:c r="G193" s="89"/>
      <x:c r="H193" s="89"/>
      <x:c r="I193" s="89"/>
      <x:c r="J193" s="89"/>
      <x:c r="K193" s="89"/>
      <x:c r="L193" s="89"/>
      <x:c r="M193" s="89"/>
      <x:c r="N193" s="89"/>
      <x:c r="O193" s="89"/>
      <x:c r="P193" s="89"/>
      <x:c r="Q193" s="89"/>
      <x:c r="R193" s="89"/>
      <x:c r="S193" s="89"/>
      <x:c r="T193" s="89"/>
      <x:c r="U193" s="89"/>
      <x:c r="V193" s="89"/>
      <x:c r="W193" s="89"/>
      <x:c r="X193" s="89"/>
      <x:c r="Y193" s="89"/>
      <x:c r="Z193" s="89"/>
    </x:row>
    <x:row r="194">
      <x:c r="A194" s="89"/>
      <x:c r="B194" s="89"/>
      <x:c r="C194" s="89"/>
      <x:c r="D194" s="89"/>
      <x:c r="E194" s="89"/>
      <x:c r="F194" s="89"/>
      <x:c r="G194" s="89"/>
      <x:c r="H194" s="89"/>
      <x:c r="I194" s="89"/>
      <x:c r="J194" s="89"/>
      <x:c r="K194" s="89"/>
      <x:c r="L194" s="89"/>
      <x:c r="M194" s="89"/>
      <x:c r="N194" s="89"/>
      <x:c r="O194" s="89"/>
      <x:c r="P194" s="89"/>
      <x:c r="Q194" s="89"/>
      <x:c r="R194" s="89"/>
      <x:c r="S194" s="89"/>
      <x:c r="T194" s="89"/>
      <x:c r="U194" s="89"/>
      <x:c r="V194" s="89"/>
      <x:c r="W194" s="89"/>
      <x:c r="X194" s="89"/>
      <x:c r="Y194" s="89"/>
      <x:c r="Z194" s="89"/>
    </x:row>
    <x:row r="195">
      <x:c r="A195" s="89"/>
      <x:c r="B195" s="89"/>
      <x:c r="C195" s="89"/>
      <x:c r="D195" s="89"/>
      <x:c r="E195" s="89"/>
      <x:c r="F195" s="89"/>
      <x:c r="G195" s="89"/>
      <x:c r="H195" s="89"/>
      <x:c r="I195" s="89"/>
      <x:c r="J195" s="89"/>
      <x:c r="K195" s="89"/>
      <x:c r="L195" s="89"/>
      <x:c r="M195" s="89"/>
      <x:c r="N195" s="89"/>
      <x:c r="O195" s="89"/>
      <x:c r="P195" s="89"/>
      <x:c r="Q195" s="89"/>
      <x:c r="R195" s="89"/>
      <x:c r="S195" s="89"/>
      <x:c r="T195" s="89"/>
      <x:c r="U195" s="89"/>
      <x:c r="V195" s="89"/>
      <x:c r="W195" s="89"/>
      <x:c r="X195" s="89"/>
      <x:c r="Y195" s="89"/>
      <x:c r="Z195" s="89"/>
    </x:row>
    <x:row r="196">
      <x:c r="A196" s="89"/>
      <x:c r="B196" s="89"/>
      <x:c r="C196" s="89"/>
      <x:c r="D196" s="89"/>
      <x:c r="E196" s="89"/>
      <x:c r="F196" s="89"/>
      <x:c r="G196" s="89"/>
      <x:c r="H196" s="89"/>
      <x:c r="I196" s="89"/>
      <x:c r="J196" s="89"/>
      <x:c r="K196" s="89"/>
      <x:c r="L196" s="89"/>
      <x:c r="M196" s="89"/>
      <x:c r="N196" s="89"/>
      <x:c r="O196" s="89"/>
      <x:c r="P196" s="89"/>
      <x:c r="Q196" s="89"/>
      <x:c r="R196" s="89"/>
      <x:c r="S196" s="89"/>
      <x:c r="T196" s="89"/>
      <x:c r="U196" s="89"/>
      <x:c r="V196" s="89"/>
      <x:c r="W196" s="89"/>
      <x:c r="X196" s="89"/>
      <x:c r="Y196" s="89"/>
      <x:c r="Z196" s="89"/>
    </x:row>
    <x:row r="197">
      <x:c r="A197" s="89"/>
      <x:c r="B197" s="89"/>
      <x:c r="C197" s="89"/>
      <x:c r="D197" s="89"/>
      <x:c r="E197" s="89"/>
      <x:c r="F197" s="89"/>
      <x:c r="G197" s="89"/>
      <x:c r="H197" s="89"/>
      <x:c r="I197" s="89"/>
      <x:c r="J197" s="89"/>
      <x:c r="K197" s="89"/>
      <x:c r="L197" s="89"/>
      <x:c r="M197" s="89"/>
      <x:c r="N197" s="89"/>
      <x:c r="O197" s="89"/>
      <x:c r="P197" s="89"/>
      <x:c r="Q197" s="89"/>
      <x:c r="R197" s="89"/>
      <x:c r="S197" s="89"/>
      <x:c r="T197" s="89"/>
      <x:c r="U197" s="89"/>
      <x:c r="V197" s="89"/>
      <x:c r="W197" s="89"/>
      <x:c r="X197" s="89"/>
      <x:c r="Y197" s="89"/>
      <x:c r="Z197" s="89"/>
    </x:row>
    <x:row r="198">
      <x:c r="A198" s="89"/>
      <x:c r="B198" s="89"/>
      <x:c r="C198" s="89"/>
      <x:c r="D198" s="89"/>
      <x:c r="E198" s="89"/>
      <x:c r="F198" s="89"/>
      <x:c r="G198" s="89"/>
      <x:c r="H198" s="89"/>
      <x:c r="I198" s="89"/>
      <x:c r="J198" s="89"/>
      <x:c r="K198" s="89"/>
      <x:c r="L198" s="89"/>
      <x:c r="M198" s="89"/>
      <x:c r="N198" s="89"/>
      <x:c r="O198" s="89"/>
      <x:c r="P198" s="89"/>
      <x:c r="Q198" s="89"/>
      <x:c r="R198" s="89"/>
      <x:c r="S198" s="89"/>
      <x:c r="T198" s="89"/>
      <x:c r="U198" s="89"/>
      <x:c r="V198" s="89"/>
      <x:c r="W198" s="89"/>
      <x:c r="X198" s="89"/>
      <x:c r="Y198" s="89"/>
      <x:c r="Z198" s="89"/>
    </x:row>
    <x:row r="199">
      <x:c r="A199" s="89"/>
      <x:c r="B199" s="89"/>
      <x:c r="C199" s="89"/>
      <x:c r="D199" s="89"/>
      <x:c r="E199" s="89"/>
      <x:c r="F199" s="89"/>
      <x:c r="G199" s="89"/>
      <x:c r="H199" s="89"/>
      <x:c r="I199" s="89"/>
      <x:c r="J199" s="89"/>
      <x:c r="K199" s="89"/>
      <x:c r="L199" s="89"/>
      <x:c r="M199" s="89"/>
      <x:c r="N199" s="89"/>
      <x:c r="O199" s="89"/>
      <x:c r="P199" s="89"/>
      <x:c r="Q199" s="89"/>
      <x:c r="R199" s="89"/>
      <x:c r="S199" s="89"/>
      <x:c r="T199" s="89"/>
      <x:c r="U199" s="89"/>
      <x:c r="V199" s="89"/>
      <x:c r="W199" s="89"/>
      <x:c r="X199" s="89"/>
      <x:c r="Y199" s="89"/>
      <x:c r="Z199" s="89"/>
    </x:row>
    <x:row r="200">
      <x:c r="A200" s="89"/>
      <x:c r="B200" s="89"/>
      <x:c r="C200" s="89"/>
      <x:c r="D200" s="89"/>
      <x:c r="E200" s="89"/>
      <x:c r="F200" s="89"/>
      <x:c r="G200" s="89"/>
      <x:c r="H200" s="89"/>
      <x:c r="I200" s="89"/>
      <x:c r="J200" s="89"/>
      <x:c r="K200" s="89"/>
      <x:c r="L200" s="89"/>
      <x:c r="M200" s="89"/>
      <x:c r="N200" s="89"/>
      <x:c r="O200" s="89"/>
      <x:c r="P200" s="89"/>
      <x:c r="Q200" s="89"/>
      <x:c r="R200" s="89"/>
      <x:c r="S200" s="89"/>
      <x:c r="T200" s="89"/>
      <x:c r="U200" s="89"/>
      <x:c r="V200" s="89"/>
      <x:c r="W200" s="89"/>
      <x:c r="X200" s="89"/>
      <x:c r="Y200" s="89"/>
      <x:c r="Z200" s="89"/>
    </x:row>
  </x:sheetData>
  <x:mergeCells>
    <x:mergeCell ref="A1:Z1"/>
  </x:mergeCells>
  <x:conditionalFormatting sqref="Y3:Y102">
    <x:cfRule type="expression" dxfId="0" priority="1">
      <x:formula>$Y3="Onaylandı"</x:formula>
    </x:cfRule>
    <x:cfRule type="expression" dxfId="1" priority="2">
      <x:formula>$Y3="Baskıda"</x:formula>
    </x:cfRule>
    <x:cfRule type="expression" dxfId="2" priority="3">
      <x:formula>$Y3="İptal"</x:formula>
    </x:cfRule>
  </x:conditionalFormatting>
  <x:conditionalFormatting sqref="X3:X102">
    <x:cfRule type="expression" dxfId="3" priority="4">
      <x:formula>$X3&gt;0</x:formula>
    </x:cfRule>
  </x:conditionalFormatting>
  <x:dataValidations count="2">
    <x:dataValidation type="list" sqref="E3:E102">
      <x:formula1>'Ayarlar'!$G$4:$G$10</x:formula1>
    </x:dataValidation>
    <x:dataValidation type="list" sqref="Y3:Y102">
      <x:formula1>'Ayarlar'!$H$4:$H$12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b2426ed076dc4ded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6" hidden="0" customWidth="1"/>
    <x:col min="3" max="3" width="12" hidden="0" customWidth="1"/>
    <x:col min="4" max="4" width="36" hidden="0" customWidth="1"/>
    <x:col min="5" max="5" width="24" hidden="0" customWidth="1"/>
    <x:col min="6" max="6" width="38" hidden="0" customWidth="1"/>
  </x:cols>
  <x:sheetData>
    <x:row r="1">
      <x:c r="A1" s="126" t="str">
        <x:v>BunuDaBastık3D - Sipariş Formu Şablonu</x:v>
      </x:c>
      <x:c r="B1" s="126"/>
      <x:c r="C1" s="126"/>
      <x:c r="D1" s="126"/>
      <x:c r="E1" s="126"/>
      <x:c r="F1" s="126"/>
      <x:c r="G1" s="89"/>
      <x:c r="H1" s="89"/>
      <x:c r="I1" s="89"/>
      <x:c r="J1" s="89"/>
      <x:c r="K1" s="89"/>
      <x:c r="L1" s="89"/>
      <x:c r="M1" s="89"/>
      <x:c r="N1" s="89"/>
      <x:c r="O1" s="89"/>
      <x:c r="P1" s="89"/>
      <x:c r="Q1" s="89"/>
      <x:c r="R1" s="89"/>
      <x:c r="S1" s="89"/>
      <x:c r="T1" s="89"/>
      <x:c r="U1" s="89"/>
      <x:c r="V1" s="89"/>
      <x:c r="W1" s="89"/>
      <x:c r="X1" s="89"/>
      <x:c r="Y1" s="89"/>
      <x:c r="Z1" s="89"/>
    </x:row>
    <x:row r="2">
      <x:c r="A2" s="89"/>
      <x:c r="B2" s="89"/>
      <x:c r="C2" s="89"/>
      <x:c r="D2" s="89"/>
      <x:c r="E2" s="89"/>
      <x:c r="F2" s="89"/>
      <x:c r="G2" s="89"/>
      <x:c r="H2" s="89"/>
      <x:c r="I2" s="89"/>
      <x:c r="J2" s="89"/>
      <x:c r="K2" s="89"/>
      <x:c r="L2" s="89"/>
      <x:c r="M2" s="89"/>
      <x:c r="N2" s="89"/>
      <x:c r="O2" s="89"/>
      <x:c r="P2" s="89"/>
      <x:c r="Q2" s="89"/>
      <x:c r="R2" s="89"/>
      <x:c r="S2" s="89"/>
      <x:c r="T2" s="89"/>
      <x:c r="U2" s="89"/>
      <x:c r="V2" s="89"/>
      <x:c r="W2" s="89"/>
      <x:c r="X2" s="89"/>
      <x:c r="Y2" s="89"/>
      <x:c r="Z2" s="89"/>
    </x:row>
    <x:row r="3">
      <x:c r="A3" s="91" t="str">
        <x:v>Soru / Alan</x:v>
      </x:c>
      <x:c r="B3" s="91" t="str">
        <x:v>Tip</x:v>
      </x:c>
      <x:c r="C3" s="91" t="str">
        <x:v>Zorunlu mu?</x:v>
      </x:c>
      <x:c r="D3" s="91" t="str">
        <x:v>Seçenekler / Açıklama</x:v>
      </x:c>
      <x:c r="E3" s="91" t="str">
        <x:v>Nereye Aktarılır?</x:v>
      </x:c>
      <x:c r="F3" s="91" t="str">
        <x:v>Müşteriye Görünen Not</x:v>
      </x:c>
      <x:c r="G3" s="89"/>
      <x:c r="H3" s="89"/>
      <x:c r="I3" s="89"/>
      <x:c r="J3" s="89"/>
      <x:c r="K3" s="89"/>
      <x:c r="L3" s="89"/>
      <x:c r="M3" s="89"/>
      <x:c r="N3" s="89"/>
      <x:c r="O3" s="89"/>
      <x:c r="P3" s="89"/>
      <x:c r="Q3" s="89"/>
      <x:c r="R3" s="89"/>
      <x:c r="S3" s="89"/>
      <x:c r="T3" s="89"/>
      <x:c r="U3" s="89"/>
      <x:c r="V3" s="89"/>
      <x:c r="W3" s="89"/>
      <x:c r="X3" s="89"/>
      <x:c r="Y3" s="89"/>
      <x:c r="Z3" s="89"/>
    </x:row>
    <x:row r="4">
      <x:c r="A4" s="95" t="str">
        <x:v>Ad Soyad / Firma</x:v>
      </x:c>
      <x:c r="B4" s="95" t="str">
        <x:v>Kısa cevap</x:v>
      </x:c>
      <x:c r="C4" s="95" t="str">
        <x:v>Evet</x:v>
      </x:c>
      <x:c r="D4" s="95" t="str">
        <x:v>Gerçek kişi veya firma adı</x:v>
      </x:c>
      <x:c r="E4" s="95" t="str">
        <x:v>Fiyat Hesaplama &gt; Müşteri</x:v>
      </x:c>
      <x:c r="F4" s="95" t="str">
        <x:v>Teklif ve teslimat için gerekli.</x:v>
      </x:c>
      <x:c r="G4" s="89"/>
      <x:c r="H4" s="89"/>
      <x:c r="I4" s="89"/>
      <x:c r="J4" s="89"/>
      <x:c r="K4" s="89"/>
      <x:c r="L4" s="89"/>
      <x:c r="M4" s="89"/>
      <x:c r="N4" s="89"/>
      <x:c r="O4" s="89"/>
      <x:c r="P4" s="89"/>
      <x:c r="Q4" s="89"/>
      <x:c r="R4" s="89"/>
      <x:c r="S4" s="89"/>
      <x:c r="T4" s="89"/>
      <x:c r="U4" s="89"/>
      <x:c r="V4" s="89"/>
      <x:c r="W4" s="89"/>
      <x:c r="X4" s="89"/>
      <x:c r="Y4" s="89"/>
      <x:c r="Z4" s="89"/>
    </x:row>
    <x:row r="5">
      <x:c r="A5" s="95" t="str">
        <x:v>Telefon / WhatsApp</x:v>
      </x:c>
      <x:c r="B5" s="95" t="str">
        <x:v>Kısa cevap</x:v>
      </x:c>
      <x:c r="C5" s="95" t="str">
        <x:v>Evet</x:v>
      </x:c>
      <x:c r="D5" s="95" t="str">
        <x:v>05xx xxx xx xx</x:v>
      </x:c>
      <x:c r="E5" s="95" t="str">
        <x:v>Müşteri iletişim</x:v>
      </x:c>
      <x:c r="F5" s="95" t="str">
        <x:v>Durum bilgilendirmesi WhatsApp üzerinden yapılabilir.</x:v>
      </x:c>
      <x:c r="G5" s="89"/>
      <x:c r="H5" s="89"/>
      <x:c r="I5" s="89"/>
      <x:c r="J5" s="89"/>
      <x:c r="K5" s="89"/>
      <x:c r="L5" s="89"/>
      <x:c r="M5" s="89"/>
      <x:c r="N5" s="89"/>
      <x:c r="O5" s="89"/>
      <x:c r="P5" s="89"/>
      <x:c r="Q5" s="89"/>
      <x:c r="R5" s="89"/>
      <x:c r="S5" s="89"/>
      <x:c r="T5" s="89"/>
      <x:c r="U5" s="89"/>
      <x:c r="V5" s="89"/>
      <x:c r="W5" s="89"/>
      <x:c r="X5" s="89"/>
      <x:c r="Y5" s="89"/>
      <x:c r="Z5" s="89"/>
    </x:row>
    <x:row r="6">
      <x:c r="A6" s="95" t="str">
        <x:v>E-posta</x:v>
      </x:c>
      <x:c r="B6" s="95" t="str">
        <x:v>Kısa cevap</x:v>
      </x:c>
      <x:c r="C6" s="95" t="str">
        <x:v>Hayır</x:v>
      </x:c>
      <x:c r="D6" s="95" t="str">
        <x:v>Teklif PDF'i için</x:v>
      </x:c>
      <x:c r="E6" s="95" t="str">
        <x:v>Müşteri iletişim</x:v>
      </x:c>
      <x:c r="F6" s="95" t="str">
        <x:v>Varsa teklif dosyası gönderilir.</x:v>
      </x:c>
      <x:c r="G6" s="89"/>
      <x:c r="H6" s="89"/>
      <x:c r="I6" s="89"/>
      <x:c r="J6" s="89"/>
      <x:c r="K6" s="89"/>
      <x:c r="L6" s="89"/>
      <x:c r="M6" s="89"/>
      <x:c r="N6" s="89"/>
      <x:c r="O6" s="89"/>
      <x:c r="P6" s="89"/>
      <x:c r="Q6" s="89"/>
      <x:c r="R6" s="89"/>
      <x:c r="S6" s="89"/>
      <x:c r="T6" s="89"/>
      <x:c r="U6" s="89"/>
      <x:c r="V6" s="89"/>
      <x:c r="W6" s="89"/>
      <x:c r="X6" s="89"/>
      <x:c r="Y6" s="89"/>
      <x:c r="Z6" s="89"/>
    </x:row>
    <x:row r="7">
      <x:c r="A7" s="95" t="str">
        <x:v>Ürün / Parça Açıklaması</x:v>
      </x:c>
      <x:c r="B7" s="95" t="str">
        <x:v>Uzun cevap</x:v>
      </x:c>
      <x:c r="C7" s="95" t="str">
        <x:v>Evet</x:v>
      </x:c>
      <x:c r="D7" s="95" t="str">
        <x:v>Ne bastırmak istiyorsunuz?</x:v>
      </x:c>
      <x:c r="E7" s="95" t="str">
        <x:v>Fiyat Hesaplama &gt; Ürün</x:v>
      </x:c>
      <x:c r="F7" s="95" t="str">
        <x:v>Kullanım amacını kısa anlatın.</x:v>
      </x:c>
      <x:c r="G7" s="89"/>
      <x:c r="H7" s="89"/>
      <x:c r="I7" s="89"/>
      <x:c r="J7" s="89"/>
      <x:c r="K7" s="89"/>
      <x:c r="L7" s="89"/>
      <x:c r="M7" s="89"/>
      <x:c r="N7" s="89"/>
      <x:c r="O7" s="89"/>
      <x:c r="P7" s="89"/>
      <x:c r="Q7" s="89"/>
      <x:c r="R7" s="89"/>
      <x:c r="S7" s="89"/>
      <x:c r="T7" s="89"/>
      <x:c r="U7" s="89"/>
      <x:c r="V7" s="89"/>
      <x:c r="W7" s="89"/>
      <x:c r="X7" s="89"/>
      <x:c r="Y7" s="89"/>
      <x:c r="Z7" s="89"/>
    </x:row>
    <x:row r="8">
      <x:c r="A8" s="95" t="str">
        <x:v>Dosya Yükleme</x:v>
      </x:c>
      <x:c r="B8" s="95" t="str">
        <x:v>Dosya</x:v>
      </x:c>
      <x:c r="C8" s="95" t="str">
        <x:v>Hayır</x:v>
      </x:c>
      <x:c r="D8" s="95" t="str">
        <x:v>STL, OBJ, STEP, 3MF, görsel referans</x:v>
      </x:c>
      <x:c r="E8" s="95" t="str">
        <x:v>Google Drive</x:v>
      </x:c>
      <x:c r="F8" s="95" t="str">
        <x:v>Dosyanız yoksa modelleme hizmeti sunulur.</x:v>
      </x:c>
      <x:c r="G8" s="89"/>
      <x:c r="H8" s="89"/>
      <x:c r="I8" s="89"/>
      <x:c r="J8" s="89"/>
      <x:c r="K8" s="89"/>
      <x:c r="L8" s="89"/>
      <x:c r="M8" s="89"/>
      <x:c r="N8" s="89"/>
      <x:c r="O8" s="89"/>
      <x:c r="P8" s="89"/>
      <x:c r="Q8" s="89"/>
      <x:c r="R8" s="89"/>
      <x:c r="S8" s="89"/>
      <x:c r="T8" s="89"/>
      <x:c r="U8" s="89"/>
      <x:c r="V8" s="89"/>
      <x:c r="W8" s="89"/>
      <x:c r="X8" s="89"/>
      <x:c r="Y8" s="89"/>
      <x:c r="Z8" s="89"/>
    </x:row>
    <x:row r="9">
      <x:c r="A9" s="95" t="str">
        <x:v>Adet</x:v>
      </x:c>
      <x:c r="B9" s="95" t="str">
        <x:v>Sayı</x:v>
      </x:c>
      <x:c r="C9" s="95" t="str">
        <x:v>Evet</x:v>
      </x:c>
      <x:c r="D9" s="95" t="str">
        <x:v>1, 2, 5, 10...</x:v>
      </x:c>
      <x:c r="E9" s="95" t="str">
        <x:v>Fiyat Hesaplama &gt; Adet</x:v>
      </x:c>
      <x:c r="F9" s="95" t="str">
        <x:v>Adet arttıkça birim fiyat düşebilir.</x:v>
      </x:c>
      <x:c r="G9" s="89"/>
      <x:c r="H9" s="89"/>
      <x:c r="I9" s="89"/>
      <x:c r="J9" s="89"/>
      <x:c r="K9" s="89"/>
      <x:c r="L9" s="89"/>
      <x:c r="M9" s="89"/>
      <x:c r="N9" s="89"/>
      <x:c r="O9" s="89"/>
      <x:c r="P9" s="89"/>
      <x:c r="Q9" s="89"/>
      <x:c r="R9" s="89"/>
      <x:c r="S9" s="89"/>
      <x:c r="T9" s="89"/>
      <x:c r="U9" s="89"/>
      <x:c r="V9" s="89"/>
      <x:c r="W9" s="89"/>
      <x:c r="X9" s="89"/>
      <x:c r="Y9" s="89"/>
      <x:c r="Z9" s="89"/>
    </x:row>
    <x:row r="10">
      <x:c r="A10" s="95" t="str">
        <x:v>Malzeme Tercihi</x:v>
      </x:c>
      <x:c r="B10" s="95" t="str">
        <x:v>Çoktan seçmeli</x:v>
      </x:c>
      <x:c r="C10" s="95" t="str">
        <x:v>Hayır</x:v>
      </x:c>
      <x:c r="D10" s="95" t="str">
        <x:v>PLA / PETG / ABS / ASA / TPU / Bilmiyorum</x:v>
      </x:c>
      <x:c r="E10" s="95" t="str">
        <x:v>Fiyat Hesaplama &gt; Malzeme</x:v>
      </x:c>
      <x:c r="F10" s="95" t="str">
        <x:v>Bilmiyorsanız kullanım amacına göre biz öneririz.</x:v>
      </x:c>
      <x:c r="G10" s="89"/>
      <x:c r="H10" s="89"/>
      <x:c r="I10" s="89"/>
      <x:c r="J10" s="89"/>
      <x:c r="K10" s="89"/>
      <x:c r="L10" s="89"/>
      <x:c r="M10" s="89"/>
      <x:c r="N10" s="89"/>
      <x:c r="O10" s="89"/>
      <x:c r="P10" s="89"/>
      <x:c r="Q10" s="89"/>
      <x:c r="R10" s="89"/>
      <x:c r="S10" s="89"/>
      <x:c r="T10" s="89"/>
      <x:c r="U10" s="89"/>
      <x:c r="V10" s="89"/>
      <x:c r="W10" s="89"/>
      <x:c r="X10" s="89"/>
      <x:c r="Y10" s="89"/>
      <x:c r="Z10" s="89"/>
    </x:row>
    <x:row r="11">
      <x:c r="A11" s="95" t="str">
        <x:v>Renk</x:v>
      </x:c>
      <x:c r="B11" s="95" t="str">
        <x:v>Kısa cevap</x:v>
      </x:c>
      <x:c r="C11" s="95" t="str">
        <x:v>Hayır</x:v>
      </x:c>
      <x:c r="D11" s="95" t="str">
        <x:v>Siyah, beyaz, gri, özel renk</x:v>
      </x:c>
      <x:c r="E11" s="95" t="str">
        <x:v>Fiyat Hesaplama &gt; Renk</x:v>
      </x:c>
      <x:c r="F11" s="95" t="str">
        <x:v>Stok durumuna göre teyit edilir.</x:v>
      </x:c>
      <x:c r="G11" s="89"/>
      <x:c r="H11" s="89"/>
      <x:c r="I11" s="89"/>
      <x:c r="J11" s="89"/>
      <x:c r="K11" s="89"/>
      <x:c r="L11" s="89"/>
      <x:c r="M11" s="89"/>
      <x:c r="N11" s="89"/>
      <x:c r="O11" s="89"/>
      <x:c r="P11" s="89"/>
      <x:c r="Q11" s="89"/>
      <x:c r="R11" s="89"/>
      <x:c r="S11" s="89"/>
      <x:c r="T11" s="89"/>
      <x:c r="U11" s="89"/>
      <x:c r="V11" s="89"/>
      <x:c r="W11" s="89"/>
      <x:c r="X11" s="89"/>
      <x:c r="Y11" s="89"/>
      <x:c r="Z11" s="89"/>
    </x:row>
    <x:row r="12">
      <x:c r="A12" s="95" t="str">
        <x:v>Kullanım Amacı</x:v>
      </x:c>
      <x:c r="B12" s="95" t="str">
        <x:v>Çoktan seçmeli</x:v>
      </x:c>
      <x:c r="C12" s="95" t="str">
        <x:v>Evet</x:v>
      </x:c>
      <x:c r="D12" s="95" t="str">
        <x:v>Dekor / Prototip / Mekanik / Dış ortam / Esnek parça / Hediye</x:v>
      </x:c>
      <x:c r="E12" s="95" t="str">
        <x:v>Teknik değerlendirme</x:v>
      </x:c>
      <x:c r="F12" s="95" t="str">
        <x:v>Doğru malzeme seçimi için gereklidir.</x:v>
      </x:c>
      <x:c r="G12" s="89"/>
      <x:c r="H12" s="89"/>
      <x:c r="I12" s="89"/>
      <x:c r="J12" s="89"/>
      <x:c r="K12" s="89"/>
      <x:c r="L12" s="89"/>
      <x:c r="M12" s="89"/>
      <x:c r="N12" s="89"/>
      <x:c r="O12" s="89"/>
      <x:c r="P12" s="89"/>
      <x:c r="Q12" s="89"/>
      <x:c r="R12" s="89"/>
      <x:c r="S12" s="89"/>
      <x:c r="T12" s="89"/>
      <x:c r="U12" s="89"/>
      <x:c r="V12" s="89"/>
      <x:c r="W12" s="89"/>
      <x:c r="X12" s="89"/>
      <x:c r="Y12" s="89"/>
      <x:c r="Z12" s="89"/>
    </x:row>
    <x:row r="13">
      <x:c r="A13" s="95" t="str">
        <x:v>Ölçü Hassasiyeti</x:v>
      </x:c>
      <x:c r="B13" s="95" t="str">
        <x:v>Çoktan seçmeli</x:v>
      </x:c>
      <x:c r="C13" s="95" t="str">
        <x:v>Hayır</x:v>
      </x:c>
      <x:c r="D13" s="95" t="str">
        <x:v>Önemli / Normal / Önemli değil</x:v>
      </x:c>
      <x:c r="E13" s="95" t="str">
        <x:v>Kalite Kontrol</x:v>
      </x:c>
      <x:c r="F13" s="95" t="str">
        <x:v>Geçme, vida, yatak gibi bölgeler belirtilebilir.</x:v>
      </x:c>
      <x:c r="G13" s="89"/>
      <x:c r="H13" s="89"/>
      <x:c r="I13" s="89"/>
      <x:c r="J13" s="89"/>
      <x:c r="K13" s="89"/>
      <x:c r="L13" s="89"/>
      <x:c r="M13" s="89"/>
      <x:c r="N13" s="89"/>
      <x:c r="O13" s="89"/>
      <x:c r="P13" s="89"/>
      <x:c r="Q13" s="89"/>
      <x:c r="R13" s="89"/>
      <x:c r="S13" s="89"/>
      <x:c r="T13" s="89"/>
      <x:c r="U13" s="89"/>
      <x:c r="V13" s="89"/>
      <x:c r="W13" s="89"/>
      <x:c r="X13" s="89"/>
      <x:c r="Y13" s="89"/>
      <x:c r="Z13" s="89"/>
    </x:row>
    <x:row r="14">
      <x:c r="A14" s="95" t="str">
        <x:v>Teslim Tarihi</x:v>
      </x:c>
      <x:c r="B14" s="95" t="str">
        <x:v>Tarih</x:v>
      </x:c>
      <x:c r="C14" s="95" t="str">
        <x:v>Hayır</x:v>
      </x:c>
      <x:c r="D14" s="95" t="str">
        <x:v>Acil işler ayrıca fiyatlandırılabilir</x:v>
      </x:c>
      <x:c r="E14" s="95" t="str">
        <x:v>Üretim Takip &gt; Teslim Tarihi</x:v>
      </x:c>
      <x:c r="F14" s="95" t="str">
        <x:v>Yoğunluğa göre teyit edilir.</x:v>
      </x:c>
      <x:c r="G14" s="89"/>
      <x:c r="H14" s="89"/>
      <x:c r="I14" s="89"/>
      <x:c r="J14" s="89"/>
      <x:c r="K14" s="89"/>
      <x:c r="L14" s="89"/>
      <x:c r="M14" s="89"/>
      <x:c r="N14" s="89"/>
      <x:c r="O14" s="89"/>
      <x:c r="P14" s="89"/>
      <x:c r="Q14" s="89"/>
      <x:c r="R14" s="89"/>
      <x:c r="S14" s="89"/>
      <x:c r="T14" s="89"/>
      <x:c r="U14" s="89"/>
      <x:c r="V14" s="89"/>
      <x:c r="W14" s="89"/>
      <x:c r="X14" s="89"/>
      <x:c r="Y14" s="89"/>
      <x:c r="Z14" s="89"/>
    </x:row>
    <x:row r="15">
      <x:c r="A15" s="95" t="str">
        <x:v>Teslimat Yöntemi</x:v>
      </x:c>
      <x:c r="B15" s="95" t="str">
        <x:v>Çoktan seçmeli</x:v>
      </x:c>
      <x:c r="C15" s="95" t="str">
        <x:v>Evet</x:v>
      </x:c>
      <x:c r="D15" s="95" t="str">
        <x:v>Elden teslim / Kargo / Kurye</x:v>
      </x:c>
      <x:c r="E15" s="95" t="str">
        <x:v>Üretim Takip</x:v>
      </x:c>
      <x:c r="F15" s="95" t="str">
        <x:v>Kargo ücreti ayrıca hesaplanır.</x:v>
      </x:c>
      <x:c r="G15" s="89"/>
      <x:c r="H15" s="89"/>
      <x:c r="I15" s="89"/>
      <x:c r="J15" s="89"/>
      <x:c r="K15" s="89"/>
      <x:c r="L15" s="89"/>
      <x:c r="M15" s="89"/>
      <x:c r="N15" s="89"/>
      <x:c r="O15" s="89"/>
      <x:c r="P15" s="89"/>
      <x:c r="Q15" s="89"/>
      <x:c r="R15" s="89"/>
      <x:c r="S15" s="89"/>
      <x:c r="T15" s="89"/>
      <x:c r="U15" s="89"/>
      <x:c r="V15" s="89"/>
      <x:c r="W15" s="89"/>
      <x:c r="X15" s="89"/>
      <x:c r="Y15" s="89"/>
      <x:c r="Z15" s="89"/>
    </x:row>
    <x:row r="16">
      <x:c r="A16" s="95" t="str">
        <x:v>Ek Not</x:v>
      </x:c>
      <x:c r="B16" s="95" t="str">
        <x:v>Uzun cevap</x:v>
      </x:c>
      <x:c r="C16" s="95" t="str">
        <x:v>Hayır</x:v>
      </x:c>
      <x:c r="D16" s="95" t="str">
        <x:v>Özel istek, referans link, ölçü</x:v>
      </x:c>
      <x:c r="E16" s="95" t="str">
        <x:v>Teklif Notu</x:v>
      </x:c>
      <x:c r="F16" s="95" t="str">
        <x:v>Ne kadar net bilgi, o kadar hızlı teklif.</x:v>
      </x:c>
      <x:c r="G16" s="89"/>
      <x:c r="H16" s="89"/>
      <x:c r="I16" s="89"/>
      <x:c r="J16" s="89"/>
      <x:c r="K16" s="89"/>
      <x:c r="L16" s="89"/>
      <x:c r="M16" s="89"/>
      <x:c r="N16" s="89"/>
      <x:c r="O16" s="89"/>
      <x:c r="P16" s="89"/>
      <x:c r="Q16" s="89"/>
      <x:c r="R16" s="89"/>
      <x:c r="S16" s="89"/>
      <x:c r="T16" s="89"/>
      <x:c r="U16" s="89"/>
      <x:c r="V16" s="89"/>
      <x:c r="W16" s="89"/>
      <x:c r="X16" s="89"/>
      <x:c r="Y16" s="89"/>
      <x:c r="Z16" s="89"/>
    </x:row>
    <x:row r="17">
      <x:c r="A17" s="89"/>
      <x:c r="B17" s="89"/>
      <x:c r="C17" s="89"/>
      <x:c r="D17" s="89"/>
      <x:c r="E17" s="89"/>
      <x:c r="F17" s="89"/>
      <x:c r="G17" s="89"/>
      <x:c r="H17" s="89"/>
      <x:c r="I17" s="89"/>
      <x:c r="J17" s="89"/>
      <x:c r="K17" s="89"/>
      <x:c r="L17" s="89"/>
      <x:c r="M17" s="89"/>
      <x:c r="N17" s="89"/>
      <x:c r="O17" s="89"/>
      <x:c r="P17" s="89"/>
      <x:c r="Q17" s="89"/>
      <x:c r="R17" s="89"/>
      <x:c r="S17" s="89"/>
      <x:c r="T17" s="89"/>
      <x:c r="U17" s="89"/>
      <x:c r="V17" s="89"/>
      <x:c r="W17" s="89"/>
      <x:c r="X17" s="89"/>
      <x:c r="Y17" s="89"/>
      <x:c r="Z17" s="89"/>
    </x:row>
    <x:row r="18">
      <x:c r="A18" s="89"/>
      <x:c r="B18" s="89"/>
      <x:c r="C18" s="89"/>
      <x:c r="D18" s="89"/>
      <x:c r="E18" s="89"/>
      <x:c r="F18" s="89"/>
      <x:c r="G18" s="89"/>
      <x:c r="H18" s="89"/>
      <x:c r="I18" s="89"/>
      <x:c r="J18" s="89"/>
      <x:c r="K18" s="89"/>
      <x:c r="L18" s="89"/>
      <x:c r="M18" s="89"/>
      <x:c r="N18" s="89"/>
      <x:c r="O18" s="89"/>
      <x:c r="P18" s="89"/>
      <x:c r="Q18" s="89"/>
      <x:c r="R18" s="89"/>
      <x:c r="S18" s="89"/>
      <x:c r="T18" s="89"/>
      <x:c r="U18" s="89"/>
      <x:c r="V18" s="89"/>
      <x:c r="W18" s="89"/>
      <x:c r="X18" s="89"/>
      <x:c r="Y18" s="89"/>
      <x:c r="Z18" s="89"/>
    </x:row>
    <x:row r="19">
      <x:c r="A19" s="89"/>
      <x:c r="B19" s="89"/>
      <x:c r="C19" s="89"/>
      <x:c r="D19" s="89"/>
      <x:c r="E19" s="89"/>
      <x:c r="F19" s="89"/>
      <x:c r="G19" s="89"/>
      <x:c r="H19" s="89"/>
      <x:c r="I19" s="89"/>
      <x:c r="J19" s="89"/>
      <x:c r="K19" s="89"/>
      <x:c r="L19" s="89"/>
      <x:c r="M19" s="89"/>
      <x:c r="N19" s="89"/>
      <x:c r="O19" s="89"/>
      <x:c r="P19" s="89"/>
      <x:c r="Q19" s="89"/>
      <x:c r="R19" s="89"/>
      <x:c r="S19" s="89"/>
      <x:c r="T19" s="89"/>
      <x:c r="U19" s="89"/>
      <x:c r="V19" s="89"/>
      <x:c r="W19" s="89"/>
      <x:c r="X19" s="89"/>
      <x:c r="Y19" s="89"/>
      <x:c r="Z19" s="89"/>
    </x:row>
    <x:row r="20">
      <x:c r="A20" s="89"/>
      <x:c r="B20" s="89"/>
      <x:c r="C20" s="89"/>
      <x:c r="D20" s="89"/>
      <x:c r="E20" s="89"/>
      <x:c r="F20" s="89"/>
      <x:c r="G20" s="89"/>
      <x:c r="H20" s="89"/>
      <x:c r="I20" s="89"/>
      <x:c r="J20" s="89"/>
      <x:c r="K20" s="89"/>
      <x:c r="L20" s="89"/>
      <x:c r="M20" s="89"/>
      <x:c r="N20" s="89"/>
      <x:c r="O20" s="89"/>
      <x:c r="P20" s="89"/>
      <x:c r="Q20" s="89"/>
      <x:c r="R20" s="89"/>
      <x:c r="S20" s="89"/>
      <x:c r="T20" s="89"/>
      <x:c r="U20" s="89"/>
      <x:c r="V20" s="89"/>
      <x:c r="W20" s="89"/>
      <x:c r="X20" s="89"/>
      <x:c r="Y20" s="89"/>
      <x:c r="Z20" s="89"/>
    </x:row>
    <x:row r="21">
      <x:c r="A21" s="89"/>
      <x:c r="B21" s="89"/>
      <x:c r="C21" s="89"/>
      <x:c r="D21" s="89"/>
      <x:c r="E21" s="89"/>
      <x:c r="F21" s="89"/>
      <x:c r="G21" s="89"/>
      <x:c r="H21" s="89"/>
      <x:c r="I21" s="89"/>
      <x:c r="J21" s="89"/>
      <x:c r="K21" s="89"/>
      <x:c r="L21" s="89"/>
      <x:c r="M21" s="89"/>
      <x:c r="N21" s="89"/>
      <x:c r="O21" s="89"/>
      <x:c r="P21" s="89"/>
      <x:c r="Q21" s="89"/>
      <x:c r="R21" s="89"/>
      <x:c r="S21" s="89"/>
      <x:c r="T21" s="89"/>
      <x:c r="U21" s="89"/>
      <x:c r="V21" s="89"/>
      <x:c r="W21" s="89"/>
      <x:c r="X21" s="89"/>
      <x:c r="Y21" s="89"/>
      <x:c r="Z21" s="89"/>
    </x:row>
    <x:row r="22">
      <x:c r="A22" s="89"/>
      <x:c r="B22" s="89"/>
      <x:c r="C22" s="89"/>
      <x:c r="D22" s="89"/>
      <x:c r="E22" s="89"/>
      <x:c r="F22" s="89"/>
      <x:c r="G22" s="89"/>
      <x:c r="H22" s="89"/>
      <x:c r="I22" s="89"/>
      <x:c r="J22" s="89"/>
      <x:c r="K22" s="89"/>
      <x:c r="L22" s="89"/>
      <x:c r="M22" s="89"/>
      <x:c r="N22" s="89"/>
      <x:c r="O22" s="89"/>
      <x:c r="P22" s="89"/>
      <x:c r="Q22" s="89"/>
      <x:c r="R22" s="89"/>
      <x:c r="S22" s="89"/>
      <x:c r="T22" s="89"/>
      <x:c r="U22" s="89"/>
      <x:c r="V22" s="89"/>
      <x:c r="W22" s="89"/>
      <x:c r="X22" s="89"/>
      <x:c r="Y22" s="89"/>
      <x:c r="Z22" s="89"/>
    </x:row>
    <x:row r="23">
      <x:c r="A23" s="89"/>
      <x:c r="B23" s="89"/>
      <x:c r="C23" s="89"/>
      <x:c r="D23" s="89"/>
      <x:c r="E23" s="89"/>
      <x:c r="F23" s="89"/>
      <x:c r="G23" s="89"/>
      <x:c r="H23" s="89"/>
      <x:c r="I23" s="89"/>
      <x:c r="J23" s="89"/>
      <x:c r="K23" s="89"/>
      <x:c r="L23" s="89"/>
      <x:c r="M23" s="89"/>
      <x:c r="N23" s="89"/>
      <x:c r="O23" s="89"/>
      <x:c r="P23" s="89"/>
      <x:c r="Q23" s="89"/>
      <x:c r="R23" s="89"/>
      <x:c r="S23" s="89"/>
      <x:c r="T23" s="89"/>
      <x:c r="U23" s="89"/>
      <x:c r="V23" s="89"/>
      <x:c r="W23" s="89"/>
      <x:c r="X23" s="89"/>
      <x:c r="Y23" s="89"/>
      <x:c r="Z23" s="89"/>
    </x:row>
    <x:row r="24">
      <x:c r="A24" s="89"/>
      <x:c r="B24" s="89"/>
      <x:c r="C24" s="89"/>
      <x:c r="D24" s="89"/>
      <x:c r="E24" s="89"/>
      <x:c r="F24" s="89"/>
      <x:c r="G24" s="89"/>
      <x:c r="H24" s="89"/>
      <x:c r="I24" s="89"/>
      <x:c r="J24" s="89"/>
      <x:c r="K24" s="89"/>
      <x:c r="L24" s="89"/>
      <x:c r="M24" s="89"/>
      <x:c r="N24" s="89"/>
      <x:c r="O24" s="89"/>
      <x:c r="P24" s="89"/>
      <x:c r="Q24" s="89"/>
      <x:c r="R24" s="89"/>
      <x:c r="S24" s="89"/>
      <x:c r="T24" s="89"/>
      <x:c r="U24" s="89"/>
      <x:c r="V24" s="89"/>
      <x:c r="W24" s="89"/>
      <x:c r="X24" s="89"/>
      <x:c r="Y24" s="89"/>
      <x:c r="Z24" s="89"/>
    </x:row>
    <x:row r="25">
      <x:c r="A25" s="89"/>
      <x:c r="B25" s="89"/>
      <x:c r="C25" s="89"/>
      <x:c r="D25" s="89"/>
      <x:c r="E25" s="89"/>
      <x:c r="F25" s="89"/>
      <x:c r="G25" s="89"/>
      <x:c r="H25" s="89"/>
      <x:c r="I25" s="89"/>
      <x:c r="J25" s="89"/>
      <x:c r="K25" s="89"/>
      <x:c r="L25" s="89"/>
      <x:c r="M25" s="89"/>
      <x:c r="N25" s="89"/>
      <x:c r="O25" s="89"/>
      <x:c r="P25" s="89"/>
      <x:c r="Q25" s="89"/>
      <x:c r="R25" s="89"/>
      <x:c r="S25" s="89"/>
      <x:c r="T25" s="89"/>
      <x:c r="U25" s="89"/>
      <x:c r="V25" s="89"/>
      <x:c r="W25" s="89"/>
      <x:c r="X25" s="89"/>
      <x:c r="Y25" s="89"/>
      <x:c r="Z25" s="89"/>
    </x:row>
    <x:row r="26">
      <x:c r="A26" s="89"/>
      <x:c r="B26" s="89"/>
      <x:c r="C26" s="89"/>
      <x:c r="D26" s="89"/>
      <x:c r="E26" s="89"/>
      <x:c r="F26" s="89"/>
      <x:c r="G26" s="89"/>
      <x:c r="H26" s="89"/>
      <x:c r="I26" s="89"/>
      <x:c r="J26" s="89"/>
      <x:c r="K26" s="89"/>
      <x:c r="L26" s="89"/>
      <x:c r="M26" s="89"/>
      <x:c r="N26" s="89"/>
      <x:c r="O26" s="89"/>
      <x:c r="P26" s="89"/>
      <x:c r="Q26" s="89"/>
      <x:c r="R26" s="89"/>
      <x:c r="S26" s="89"/>
      <x:c r="T26" s="89"/>
      <x:c r="U26" s="89"/>
      <x:c r="V26" s="89"/>
      <x:c r="W26" s="89"/>
      <x:c r="X26" s="89"/>
      <x:c r="Y26" s="89"/>
      <x:c r="Z26" s="89"/>
    </x:row>
    <x:row r="27">
      <x:c r="A27" s="89"/>
      <x:c r="B27" s="89"/>
      <x:c r="C27" s="89"/>
      <x:c r="D27" s="89"/>
      <x:c r="E27" s="89"/>
      <x:c r="F27" s="89"/>
      <x:c r="G27" s="89"/>
      <x:c r="H27" s="89"/>
      <x:c r="I27" s="89"/>
      <x:c r="J27" s="89"/>
      <x:c r="K27" s="89"/>
      <x:c r="L27" s="89"/>
      <x:c r="M27" s="89"/>
      <x:c r="N27" s="89"/>
      <x:c r="O27" s="89"/>
      <x:c r="P27" s="89"/>
      <x:c r="Q27" s="89"/>
      <x:c r="R27" s="89"/>
      <x:c r="S27" s="89"/>
      <x:c r="T27" s="89"/>
      <x:c r="U27" s="89"/>
      <x:c r="V27" s="89"/>
      <x:c r="W27" s="89"/>
      <x:c r="X27" s="89"/>
      <x:c r="Y27" s="89"/>
      <x:c r="Z27" s="89"/>
    </x:row>
    <x:row r="28">
      <x:c r="A28" s="89"/>
      <x:c r="B28" s="89"/>
      <x:c r="C28" s="89"/>
      <x:c r="D28" s="89"/>
      <x:c r="E28" s="89"/>
      <x:c r="F28" s="89"/>
      <x:c r="G28" s="89"/>
      <x:c r="H28" s="89"/>
      <x:c r="I28" s="89"/>
      <x:c r="J28" s="89"/>
      <x:c r="K28" s="89"/>
      <x:c r="L28" s="89"/>
      <x:c r="M28" s="89"/>
      <x:c r="N28" s="89"/>
      <x:c r="O28" s="89"/>
      <x:c r="P28" s="89"/>
      <x:c r="Q28" s="89"/>
      <x:c r="R28" s="89"/>
      <x:c r="S28" s="89"/>
      <x:c r="T28" s="89"/>
      <x:c r="U28" s="89"/>
      <x:c r="V28" s="89"/>
      <x:c r="W28" s="89"/>
      <x:c r="X28" s="89"/>
      <x:c r="Y28" s="89"/>
      <x:c r="Z28" s="89"/>
    </x:row>
    <x:row r="29">
      <x:c r="A29" s="89"/>
      <x:c r="B29" s="89"/>
      <x:c r="C29" s="89"/>
      <x:c r="D29" s="89"/>
      <x:c r="E29" s="89"/>
      <x:c r="F29" s="89"/>
      <x:c r="G29" s="89"/>
      <x:c r="H29" s="89"/>
      <x:c r="I29" s="89"/>
      <x:c r="J29" s="89"/>
      <x:c r="K29" s="89"/>
      <x:c r="L29" s="89"/>
      <x:c r="M29" s="89"/>
      <x:c r="N29" s="89"/>
      <x:c r="O29" s="89"/>
      <x:c r="P29" s="89"/>
      <x:c r="Q29" s="89"/>
      <x:c r="R29" s="89"/>
      <x:c r="S29" s="89"/>
      <x:c r="T29" s="89"/>
      <x:c r="U29" s="89"/>
      <x:c r="V29" s="89"/>
      <x:c r="W29" s="89"/>
      <x:c r="X29" s="89"/>
      <x:c r="Y29" s="89"/>
      <x:c r="Z29" s="89"/>
    </x:row>
    <x:row r="30">
      <x:c r="A30" s="89"/>
      <x:c r="B30" s="89"/>
      <x:c r="C30" s="89"/>
      <x:c r="D30" s="89"/>
      <x:c r="E30" s="89"/>
      <x:c r="F30" s="89"/>
      <x:c r="G30" s="89"/>
      <x:c r="H30" s="89"/>
      <x:c r="I30" s="89"/>
      <x:c r="J30" s="89"/>
      <x:c r="K30" s="89"/>
      <x:c r="L30" s="89"/>
      <x:c r="M30" s="89"/>
      <x:c r="N30" s="89"/>
      <x:c r="O30" s="89"/>
      <x:c r="P30" s="89"/>
      <x:c r="Q30" s="89"/>
      <x:c r="R30" s="89"/>
      <x:c r="S30" s="89"/>
      <x:c r="T30" s="89"/>
      <x:c r="U30" s="89"/>
      <x:c r="V30" s="89"/>
      <x:c r="W30" s="89"/>
      <x:c r="X30" s="89"/>
      <x:c r="Y30" s="89"/>
      <x:c r="Z30" s="89"/>
    </x:row>
    <x:row r="31">
      <x:c r="A31" s="89"/>
      <x:c r="B31" s="89"/>
      <x:c r="C31" s="89"/>
      <x:c r="D31" s="89"/>
      <x:c r="E31" s="89"/>
      <x:c r="F31" s="89"/>
      <x:c r="G31" s="89"/>
      <x:c r="H31" s="89"/>
      <x:c r="I31" s="89"/>
      <x:c r="J31" s="89"/>
      <x:c r="K31" s="89"/>
      <x:c r="L31" s="89"/>
      <x:c r="M31" s="89"/>
      <x:c r="N31" s="89"/>
      <x:c r="O31" s="89"/>
      <x:c r="P31" s="89"/>
      <x:c r="Q31" s="89"/>
      <x:c r="R31" s="89"/>
      <x:c r="S31" s="89"/>
      <x:c r="T31" s="89"/>
      <x:c r="U31" s="89"/>
      <x:c r="V31" s="89"/>
      <x:c r="W31" s="89"/>
      <x:c r="X31" s="89"/>
      <x:c r="Y31" s="89"/>
      <x:c r="Z31" s="89"/>
    </x:row>
    <x:row r="32">
      <x:c r="A32" s="89"/>
      <x:c r="B32" s="89"/>
      <x:c r="C32" s="89"/>
      <x:c r="D32" s="89"/>
      <x:c r="E32" s="89"/>
      <x:c r="F32" s="89"/>
      <x:c r="G32" s="89"/>
      <x:c r="H32" s="89"/>
      <x:c r="I32" s="89"/>
      <x:c r="J32" s="89"/>
      <x:c r="K32" s="89"/>
      <x:c r="L32" s="89"/>
      <x:c r="M32" s="89"/>
      <x:c r="N32" s="89"/>
      <x:c r="O32" s="89"/>
      <x:c r="P32" s="89"/>
      <x:c r="Q32" s="89"/>
      <x:c r="R32" s="89"/>
      <x:c r="S32" s="89"/>
      <x:c r="T32" s="89"/>
      <x:c r="U32" s="89"/>
      <x:c r="V32" s="89"/>
      <x:c r="W32" s="89"/>
      <x:c r="X32" s="89"/>
      <x:c r="Y32" s="89"/>
      <x:c r="Z32" s="89"/>
    </x:row>
    <x:row r="33">
      <x:c r="A33" s="89"/>
      <x:c r="B33" s="89"/>
      <x:c r="C33" s="89"/>
      <x:c r="D33" s="89"/>
      <x:c r="E33" s="89"/>
      <x:c r="F33" s="89"/>
      <x:c r="G33" s="89"/>
      <x:c r="H33" s="89"/>
      <x:c r="I33" s="89"/>
      <x:c r="J33" s="89"/>
      <x:c r="K33" s="89"/>
      <x:c r="L33" s="89"/>
      <x:c r="M33" s="89"/>
      <x:c r="N33" s="89"/>
      <x:c r="O33" s="89"/>
      <x:c r="P33" s="89"/>
      <x:c r="Q33" s="89"/>
      <x:c r="R33" s="89"/>
      <x:c r="S33" s="89"/>
      <x:c r="T33" s="89"/>
      <x:c r="U33" s="89"/>
      <x:c r="V33" s="89"/>
      <x:c r="W33" s="89"/>
      <x:c r="X33" s="89"/>
      <x:c r="Y33" s="89"/>
      <x:c r="Z33" s="89"/>
    </x:row>
    <x:row r="34">
      <x:c r="A34" s="89"/>
      <x:c r="B34" s="89"/>
      <x:c r="C34" s="89"/>
      <x:c r="D34" s="89"/>
      <x:c r="E34" s="89"/>
      <x:c r="F34" s="89"/>
      <x:c r="G34" s="89"/>
      <x:c r="H34" s="89"/>
      <x:c r="I34" s="89"/>
      <x:c r="J34" s="89"/>
      <x:c r="K34" s="89"/>
      <x:c r="L34" s="89"/>
      <x:c r="M34" s="89"/>
      <x:c r="N34" s="89"/>
      <x:c r="O34" s="89"/>
      <x:c r="P34" s="89"/>
      <x:c r="Q34" s="89"/>
      <x:c r="R34" s="89"/>
      <x:c r="S34" s="89"/>
      <x:c r="T34" s="89"/>
      <x:c r="U34" s="89"/>
      <x:c r="V34" s="89"/>
      <x:c r="W34" s="89"/>
      <x:c r="X34" s="89"/>
      <x:c r="Y34" s="89"/>
      <x:c r="Z34" s="89"/>
    </x:row>
    <x:row r="35">
      <x:c r="A35" s="89"/>
      <x:c r="B35" s="89"/>
      <x:c r="C35" s="89"/>
      <x:c r="D35" s="89"/>
      <x:c r="E35" s="89"/>
      <x:c r="F35" s="89"/>
      <x:c r="G35" s="89"/>
      <x:c r="H35" s="89"/>
      <x:c r="I35" s="89"/>
      <x:c r="J35" s="89"/>
      <x:c r="K35" s="89"/>
      <x:c r="L35" s="89"/>
      <x:c r="M35" s="89"/>
      <x:c r="N35" s="89"/>
      <x:c r="O35" s="89"/>
      <x:c r="P35" s="89"/>
      <x:c r="Q35" s="89"/>
      <x:c r="R35" s="89"/>
      <x:c r="S35" s="89"/>
      <x:c r="T35" s="89"/>
      <x:c r="U35" s="89"/>
      <x:c r="V35" s="89"/>
      <x:c r="W35" s="89"/>
      <x:c r="X35" s="89"/>
      <x:c r="Y35" s="89"/>
      <x:c r="Z35" s="89"/>
    </x:row>
    <x:row r="36">
      <x:c r="A36" s="89"/>
      <x:c r="B36" s="89"/>
      <x:c r="C36" s="89"/>
      <x:c r="D36" s="89"/>
      <x:c r="E36" s="89"/>
      <x:c r="F36" s="89"/>
      <x:c r="G36" s="89"/>
      <x:c r="H36" s="89"/>
      <x:c r="I36" s="89"/>
      <x:c r="J36" s="89"/>
      <x:c r="K36" s="89"/>
      <x:c r="L36" s="89"/>
      <x:c r="M36" s="89"/>
      <x:c r="N36" s="89"/>
      <x:c r="O36" s="89"/>
      <x:c r="P36" s="89"/>
      <x:c r="Q36" s="89"/>
      <x:c r="R36" s="89"/>
      <x:c r="S36" s="89"/>
      <x:c r="T36" s="89"/>
      <x:c r="U36" s="89"/>
      <x:c r="V36" s="89"/>
      <x:c r="W36" s="89"/>
      <x:c r="X36" s="89"/>
      <x:c r="Y36" s="89"/>
      <x:c r="Z36" s="89"/>
    </x:row>
    <x:row r="37">
      <x:c r="A37" s="89"/>
      <x:c r="B37" s="89"/>
      <x:c r="C37" s="89"/>
      <x:c r="D37" s="89"/>
      <x:c r="E37" s="89"/>
      <x:c r="F37" s="89"/>
      <x:c r="G37" s="89"/>
      <x:c r="H37" s="89"/>
      <x:c r="I37" s="89"/>
      <x:c r="J37" s="89"/>
      <x:c r="K37" s="89"/>
      <x:c r="L37" s="89"/>
      <x:c r="M37" s="89"/>
      <x:c r="N37" s="89"/>
      <x:c r="O37" s="89"/>
      <x:c r="P37" s="89"/>
      <x:c r="Q37" s="89"/>
      <x:c r="R37" s="89"/>
      <x:c r="S37" s="89"/>
      <x:c r="T37" s="89"/>
      <x:c r="U37" s="89"/>
      <x:c r="V37" s="89"/>
      <x:c r="W37" s="89"/>
      <x:c r="X37" s="89"/>
      <x:c r="Y37" s="89"/>
      <x:c r="Z37" s="89"/>
    </x:row>
    <x:row r="38">
      <x:c r="A38" s="89"/>
      <x:c r="B38" s="89"/>
      <x:c r="C38" s="89"/>
      <x:c r="D38" s="89"/>
      <x:c r="E38" s="89"/>
      <x:c r="F38" s="89"/>
      <x:c r="G38" s="89"/>
      <x:c r="H38" s="89"/>
      <x:c r="I38" s="89"/>
      <x:c r="J38" s="89"/>
      <x:c r="K38" s="89"/>
      <x:c r="L38" s="89"/>
      <x:c r="M38" s="89"/>
      <x:c r="N38" s="89"/>
      <x:c r="O38" s="89"/>
      <x:c r="P38" s="89"/>
      <x:c r="Q38" s="89"/>
      <x:c r="R38" s="89"/>
      <x:c r="S38" s="89"/>
      <x:c r="T38" s="89"/>
      <x:c r="U38" s="89"/>
      <x:c r="V38" s="89"/>
      <x:c r="W38" s="89"/>
      <x:c r="X38" s="89"/>
      <x:c r="Y38" s="89"/>
      <x:c r="Z38" s="89"/>
    </x:row>
    <x:row r="39">
      <x:c r="A39" s="89"/>
      <x:c r="B39" s="89"/>
      <x:c r="C39" s="89"/>
      <x:c r="D39" s="89"/>
      <x:c r="E39" s="89"/>
      <x:c r="F39" s="89"/>
      <x:c r="G39" s="89"/>
      <x:c r="H39" s="89"/>
      <x:c r="I39" s="89"/>
      <x:c r="J39" s="89"/>
      <x:c r="K39" s="89"/>
      <x:c r="L39" s="89"/>
      <x:c r="M39" s="89"/>
      <x:c r="N39" s="89"/>
      <x:c r="O39" s="89"/>
      <x:c r="P39" s="89"/>
      <x:c r="Q39" s="89"/>
      <x:c r="R39" s="89"/>
      <x:c r="S39" s="89"/>
      <x:c r="T39" s="89"/>
      <x:c r="U39" s="89"/>
      <x:c r="V39" s="89"/>
      <x:c r="W39" s="89"/>
      <x:c r="X39" s="89"/>
      <x:c r="Y39" s="89"/>
      <x:c r="Z39" s="89"/>
    </x:row>
    <x:row r="40">
      <x:c r="A40" s="89"/>
      <x:c r="B40" s="89"/>
      <x:c r="C40" s="89"/>
      <x:c r="D40" s="89"/>
      <x:c r="E40" s="89"/>
      <x:c r="F40" s="89"/>
      <x:c r="G40" s="89"/>
      <x:c r="H40" s="89"/>
      <x:c r="I40" s="89"/>
      <x:c r="J40" s="89"/>
      <x:c r="K40" s="89"/>
      <x:c r="L40" s="89"/>
      <x:c r="M40" s="89"/>
      <x:c r="N40" s="89"/>
      <x:c r="O40" s="89"/>
      <x:c r="P40" s="89"/>
      <x:c r="Q40" s="89"/>
      <x:c r="R40" s="89"/>
      <x:c r="S40" s="89"/>
      <x:c r="T40" s="89"/>
      <x:c r="U40" s="89"/>
      <x:c r="V40" s="89"/>
      <x:c r="W40" s="89"/>
      <x:c r="X40" s="89"/>
      <x:c r="Y40" s="89"/>
      <x:c r="Z40" s="89"/>
    </x:row>
    <x:row r="41">
      <x:c r="A41" s="89"/>
      <x:c r="B41" s="89"/>
      <x:c r="C41" s="89"/>
      <x:c r="D41" s="89"/>
      <x:c r="E41" s="89"/>
      <x:c r="F41" s="89"/>
      <x:c r="G41" s="89"/>
      <x:c r="H41" s="89"/>
      <x:c r="I41" s="89"/>
      <x:c r="J41" s="89"/>
      <x:c r="K41" s="89"/>
      <x:c r="L41" s="89"/>
      <x:c r="M41" s="89"/>
      <x:c r="N41" s="89"/>
      <x:c r="O41" s="89"/>
      <x:c r="P41" s="89"/>
      <x:c r="Q41" s="89"/>
      <x:c r="R41" s="89"/>
      <x:c r="S41" s="89"/>
      <x:c r="T41" s="89"/>
      <x:c r="U41" s="89"/>
      <x:c r="V41" s="89"/>
      <x:c r="W41" s="89"/>
      <x:c r="X41" s="89"/>
      <x:c r="Y41" s="89"/>
      <x:c r="Z41" s="89"/>
    </x:row>
    <x:row r="42">
      <x:c r="A42" s="89"/>
      <x:c r="B42" s="89"/>
      <x:c r="C42" s="89"/>
      <x:c r="D42" s="89"/>
      <x:c r="E42" s="89"/>
      <x:c r="F42" s="89"/>
      <x:c r="G42" s="89"/>
      <x:c r="H42" s="89"/>
      <x:c r="I42" s="89"/>
      <x:c r="J42" s="89"/>
      <x:c r="K42" s="89"/>
      <x:c r="L42" s="89"/>
      <x:c r="M42" s="89"/>
      <x:c r="N42" s="89"/>
      <x:c r="O42" s="89"/>
      <x:c r="P42" s="89"/>
      <x:c r="Q42" s="89"/>
      <x:c r="R42" s="89"/>
      <x:c r="S42" s="89"/>
      <x:c r="T42" s="89"/>
      <x:c r="U42" s="89"/>
      <x:c r="V42" s="89"/>
      <x:c r="W42" s="89"/>
      <x:c r="X42" s="89"/>
      <x:c r="Y42" s="89"/>
      <x:c r="Z42" s="89"/>
    </x:row>
    <x:row r="43">
      <x:c r="A43" s="89"/>
      <x:c r="B43" s="89"/>
      <x:c r="C43" s="89"/>
      <x:c r="D43" s="89"/>
      <x:c r="E43" s="89"/>
      <x:c r="F43" s="89"/>
      <x:c r="G43" s="89"/>
      <x:c r="H43" s="89"/>
      <x:c r="I43" s="89"/>
      <x:c r="J43" s="89"/>
      <x:c r="K43" s="89"/>
      <x:c r="L43" s="89"/>
      <x:c r="M43" s="89"/>
      <x:c r="N43" s="89"/>
      <x:c r="O43" s="89"/>
      <x:c r="P43" s="89"/>
      <x:c r="Q43" s="89"/>
      <x:c r="R43" s="89"/>
      <x:c r="S43" s="89"/>
      <x:c r="T43" s="89"/>
      <x:c r="U43" s="89"/>
      <x:c r="V43" s="89"/>
      <x:c r="W43" s="89"/>
      <x:c r="X43" s="89"/>
      <x:c r="Y43" s="89"/>
      <x:c r="Z43" s="89"/>
    </x:row>
    <x:row r="44">
      <x:c r="A44" s="89"/>
      <x:c r="B44" s="89"/>
      <x:c r="C44" s="89"/>
      <x:c r="D44" s="89"/>
      <x:c r="E44" s="89"/>
      <x:c r="F44" s="89"/>
      <x:c r="G44" s="89"/>
      <x:c r="H44" s="89"/>
      <x:c r="I44" s="89"/>
      <x:c r="J44" s="89"/>
      <x:c r="K44" s="89"/>
      <x:c r="L44" s="89"/>
      <x:c r="M44" s="89"/>
      <x:c r="N44" s="89"/>
      <x:c r="O44" s="89"/>
      <x:c r="P44" s="89"/>
      <x:c r="Q44" s="89"/>
      <x:c r="R44" s="89"/>
      <x:c r="S44" s="89"/>
      <x:c r="T44" s="89"/>
      <x:c r="U44" s="89"/>
      <x:c r="V44" s="89"/>
      <x:c r="W44" s="89"/>
      <x:c r="X44" s="89"/>
      <x:c r="Y44" s="89"/>
      <x:c r="Z44" s="89"/>
    </x:row>
    <x:row r="45">
      <x:c r="A45" s="89"/>
      <x:c r="B45" s="89"/>
      <x:c r="C45" s="89"/>
      <x:c r="D45" s="89"/>
      <x:c r="E45" s="89"/>
      <x:c r="F45" s="89"/>
      <x:c r="G45" s="89"/>
      <x:c r="H45" s="89"/>
      <x:c r="I45" s="89"/>
      <x:c r="J45" s="89"/>
      <x:c r="K45" s="89"/>
      <x:c r="L45" s="89"/>
      <x:c r="M45" s="89"/>
      <x:c r="N45" s="89"/>
      <x:c r="O45" s="89"/>
      <x:c r="P45" s="89"/>
      <x:c r="Q45" s="89"/>
      <x:c r="R45" s="89"/>
      <x:c r="S45" s="89"/>
      <x:c r="T45" s="89"/>
      <x:c r="U45" s="89"/>
      <x:c r="V45" s="89"/>
      <x:c r="W45" s="89"/>
      <x:c r="X45" s="89"/>
      <x:c r="Y45" s="89"/>
      <x:c r="Z45" s="89"/>
    </x:row>
    <x:row r="46">
      <x:c r="A46" s="89"/>
      <x:c r="B46" s="89"/>
      <x:c r="C46" s="89"/>
      <x:c r="D46" s="89"/>
      <x:c r="E46" s="89"/>
      <x:c r="F46" s="89"/>
      <x:c r="G46" s="89"/>
      <x:c r="H46" s="89"/>
      <x:c r="I46" s="89"/>
      <x:c r="J46" s="89"/>
      <x:c r="K46" s="89"/>
      <x:c r="L46" s="89"/>
      <x:c r="M46" s="89"/>
      <x:c r="N46" s="89"/>
      <x:c r="O46" s="89"/>
      <x:c r="P46" s="89"/>
      <x:c r="Q46" s="89"/>
      <x:c r="R46" s="89"/>
      <x:c r="S46" s="89"/>
      <x:c r="T46" s="89"/>
      <x:c r="U46" s="89"/>
      <x:c r="V46" s="89"/>
      <x:c r="W46" s="89"/>
      <x:c r="X46" s="89"/>
      <x:c r="Y46" s="89"/>
      <x:c r="Z46" s="89"/>
    </x:row>
    <x:row r="47">
      <x:c r="A47" s="89"/>
      <x:c r="B47" s="89"/>
      <x:c r="C47" s="89"/>
      <x:c r="D47" s="89"/>
      <x:c r="E47" s="89"/>
      <x:c r="F47" s="89"/>
      <x:c r="G47" s="89"/>
      <x:c r="H47" s="89"/>
      <x:c r="I47" s="89"/>
      <x:c r="J47" s="89"/>
      <x:c r="K47" s="89"/>
      <x:c r="L47" s="89"/>
      <x:c r="M47" s="89"/>
      <x:c r="N47" s="89"/>
      <x:c r="O47" s="89"/>
      <x:c r="P47" s="89"/>
      <x:c r="Q47" s="89"/>
      <x:c r="R47" s="89"/>
      <x:c r="S47" s="89"/>
      <x:c r="T47" s="89"/>
      <x:c r="U47" s="89"/>
      <x:c r="V47" s="89"/>
      <x:c r="W47" s="89"/>
      <x:c r="X47" s="89"/>
      <x:c r="Y47" s="89"/>
      <x:c r="Z47" s="89"/>
    </x:row>
    <x:row r="48">
      <x:c r="A48" s="89"/>
      <x:c r="B48" s="89"/>
      <x:c r="C48" s="89"/>
      <x:c r="D48" s="89"/>
      <x:c r="E48" s="89"/>
      <x:c r="F48" s="89"/>
      <x:c r="G48" s="89"/>
      <x:c r="H48" s="89"/>
      <x:c r="I48" s="89"/>
      <x:c r="J48" s="89"/>
      <x:c r="K48" s="89"/>
      <x:c r="L48" s="89"/>
      <x:c r="M48" s="89"/>
      <x:c r="N48" s="89"/>
      <x:c r="O48" s="89"/>
      <x:c r="P48" s="89"/>
      <x:c r="Q48" s="89"/>
      <x:c r="R48" s="89"/>
      <x:c r="S48" s="89"/>
      <x:c r="T48" s="89"/>
      <x:c r="U48" s="89"/>
      <x:c r="V48" s="89"/>
      <x:c r="W48" s="89"/>
      <x:c r="X48" s="89"/>
      <x:c r="Y48" s="89"/>
      <x:c r="Z48" s="89"/>
    </x:row>
    <x:row r="49">
      <x:c r="A49" s="89"/>
      <x:c r="B49" s="89"/>
      <x:c r="C49" s="89"/>
      <x:c r="D49" s="89"/>
      <x:c r="E49" s="89"/>
      <x:c r="F49" s="89"/>
      <x:c r="G49" s="89"/>
      <x:c r="H49" s="89"/>
      <x:c r="I49" s="89"/>
      <x:c r="J49" s="89"/>
      <x:c r="K49" s="89"/>
      <x:c r="L49" s="89"/>
      <x:c r="M49" s="89"/>
      <x:c r="N49" s="89"/>
      <x:c r="O49" s="89"/>
      <x:c r="P49" s="89"/>
      <x:c r="Q49" s="89"/>
      <x:c r="R49" s="89"/>
      <x:c r="S49" s="89"/>
      <x:c r="T49" s="89"/>
      <x:c r="U49" s="89"/>
      <x:c r="V49" s="89"/>
      <x:c r="W49" s="89"/>
      <x:c r="X49" s="89"/>
      <x:c r="Y49" s="89"/>
      <x:c r="Z49" s="89"/>
    </x:row>
    <x:row r="50">
      <x:c r="A50" s="89"/>
      <x:c r="B50" s="89"/>
      <x:c r="C50" s="89"/>
      <x:c r="D50" s="89"/>
      <x:c r="E50" s="89"/>
      <x:c r="F50" s="89"/>
      <x:c r="G50" s="89"/>
      <x:c r="H50" s="89"/>
      <x:c r="I50" s="89"/>
      <x:c r="J50" s="89"/>
      <x:c r="K50" s="89"/>
      <x:c r="L50" s="89"/>
      <x:c r="M50" s="89"/>
      <x:c r="N50" s="89"/>
      <x:c r="O50" s="89"/>
      <x:c r="P50" s="89"/>
      <x:c r="Q50" s="89"/>
      <x:c r="R50" s="89"/>
      <x:c r="S50" s="89"/>
      <x:c r="T50" s="89"/>
      <x:c r="U50" s="89"/>
      <x:c r="V50" s="89"/>
      <x:c r="W50" s="89"/>
      <x:c r="X50" s="89"/>
      <x:c r="Y50" s="89"/>
      <x:c r="Z50" s="89"/>
    </x:row>
    <x:row r="51">
      <x:c r="A51" s="89"/>
      <x:c r="B51" s="89"/>
      <x:c r="C51" s="89"/>
      <x:c r="D51" s="89"/>
      <x:c r="E51" s="89"/>
      <x:c r="F51" s="89"/>
      <x:c r="G51" s="89"/>
      <x:c r="H51" s="89"/>
      <x:c r="I51" s="89"/>
      <x:c r="J51" s="89"/>
      <x:c r="K51" s="89"/>
      <x:c r="L51" s="89"/>
      <x:c r="M51" s="89"/>
      <x:c r="N51" s="89"/>
      <x:c r="O51" s="89"/>
      <x:c r="P51" s="89"/>
      <x:c r="Q51" s="89"/>
      <x:c r="R51" s="89"/>
      <x:c r="S51" s="89"/>
      <x:c r="T51" s="89"/>
      <x:c r="U51" s="89"/>
      <x:c r="V51" s="89"/>
      <x:c r="W51" s="89"/>
      <x:c r="X51" s="89"/>
      <x:c r="Y51" s="89"/>
      <x:c r="Z51" s="89"/>
    </x:row>
    <x:row r="52">
      <x:c r="A52" s="89"/>
      <x:c r="B52" s="89"/>
      <x:c r="C52" s="89"/>
      <x:c r="D52" s="89"/>
      <x:c r="E52" s="89"/>
      <x:c r="F52" s="89"/>
      <x:c r="G52" s="89"/>
      <x:c r="H52" s="89"/>
      <x:c r="I52" s="89"/>
      <x:c r="J52" s="89"/>
      <x:c r="K52" s="89"/>
      <x:c r="L52" s="89"/>
      <x:c r="M52" s="89"/>
      <x:c r="N52" s="89"/>
      <x:c r="O52" s="89"/>
      <x:c r="P52" s="89"/>
      <x:c r="Q52" s="89"/>
      <x:c r="R52" s="89"/>
      <x:c r="S52" s="89"/>
      <x:c r="T52" s="89"/>
      <x:c r="U52" s="89"/>
      <x:c r="V52" s="89"/>
      <x:c r="W52" s="89"/>
      <x:c r="X52" s="89"/>
      <x:c r="Y52" s="89"/>
      <x:c r="Z52" s="89"/>
    </x:row>
    <x:row r="53">
      <x:c r="A53" s="89"/>
      <x:c r="B53" s="89"/>
      <x:c r="C53" s="89"/>
      <x:c r="D53" s="89"/>
      <x:c r="E53" s="89"/>
      <x:c r="F53" s="89"/>
      <x:c r="G53" s="89"/>
      <x:c r="H53" s="89"/>
      <x:c r="I53" s="89"/>
      <x:c r="J53" s="89"/>
      <x:c r="K53" s="89"/>
      <x:c r="L53" s="89"/>
      <x:c r="M53" s="89"/>
      <x:c r="N53" s="89"/>
      <x:c r="O53" s="89"/>
      <x:c r="P53" s="89"/>
      <x:c r="Q53" s="89"/>
      <x:c r="R53" s="89"/>
      <x:c r="S53" s="89"/>
      <x:c r="T53" s="89"/>
      <x:c r="U53" s="89"/>
      <x:c r="V53" s="89"/>
      <x:c r="W53" s="89"/>
      <x:c r="X53" s="89"/>
      <x:c r="Y53" s="89"/>
      <x:c r="Z53" s="89"/>
    </x:row>
    <x:row r="54">
      <x:c r="A54" s="89"/>
      <x:c r="B54" s="89"/>
      <x:c r="C54" s="89"/>
      <x:c r="D54" s="89"/>
      <x:c r="E54" s="89"/>
      <x:c r="F54" s="89"/>
      <x:c r="G54" s="89"/>
      <x:c r="H54" s="89"/>
      <x:c r="I54" s="89"/>
      <x:c r="J54" s="89"/>
      <x:c r="K54" s="89"/>
      <x:c r="L54" s="89"/>
      <x:c r="M54" s="89"/>
      <x:c r="N54" s="89"/>
      <x:c r="O54" s="89"/>
      <x:c r="P54" s="89"/>
      <x:c r="Q54" s="89"/>
      <x:c r="R54" s="89"/>
      <x:c r="S54" s="89"/>
      <x:c r="T54" s="89"/>
      <x:c r="U54" s="89"/>
      <x:c r="V54" s="89"/>
      <x:c r="W54" s="89"/>
      <x:c r="X54" s="89"/>
      <x:c r="Y54" s="89"/>
      <x:c r="Z54" s="89"/>
    </x:row>
    <x:row r="55">
      <x:c r="A55" s="89"/>
      <x:c r="B55" s="89"/>
      <x:c r="C55" s="89"/>
      <x:c r="D55" s="89"/>
      <x:c r="E55" s="89"/>
      <x:c r="F55" s="89"/>
      <x:c r="G55" s="89"/>
      <x:c r="H55" s="89"/>
      <x:c r="I55" s="89"/>
      <x:c r="J55" s="89"/>
      <x:c r="K55" s="89"/>
      <x:c r="L55" s="89"/>
      <x:c r="M55" s="89"/>
      <x:c r="N55" s="89"/>
      <x:c r="O55" s="89"/>
      <x:c r="P55" s="89"/>
      <x:c r="Q55" s="89"/>
      <x:c r="R55" s="89"/>
      <x:c r="S55" s="89"/>
      <x:c r="T55" s="89"/>
      <x:c r="U55" s="89"/>
      <x:c r="V55" s="89"/>
      <x:c r="W55" s="89"/>
      <x:c r="X55" s="89"/>
      <x:c r="Y55" s="89"/>
      <x:c r="Z55" s="89"/>
    </x:row>
    <x:row r="56">
      <x:c r="A56" s="89"/>
      <x:c r="B56" s="89"/>
      <x:c r="C56" s="89"/>
      <x:c r="D56" s="89"/>
      <x:c r="E56" s="89"/>
      <x:c r="F56" s="89"/>
      <x:c r="G56" s="89"/>
      <x:c r="H56" s="89"/>
      <x:c r="I56" s="89"/>
      <x:c r="J56" s="89"/>
      <x:c r="K56" s="89"/>
      <x:c r="L56" s="89"/>
      <x:c r="M56" s="89"/>
      <x:c r="N56" s="89"/>
      <x:c r="O56" s="89"/>
      <x:c r="P56" s="89"/>
      <x:c r="Q56" s="89"/>
      <x:c r="R56" s="89"/>
      <x:c r="S56" s="89"/>
      <x:c r="T56" s="89"/>
      <x:c r="U56" s="89"/>
      <x:c r="V56" s="89"/>
      <x:c r="W56" s="89"/>
      <x:c r="X56" s="89"/>
      <x:c r="Y56" s="89"/>
      <x:c r="Z56" s="89"/>
    </x:row>
    <x:row r="57">
      <x:c r="A57" s="89"/>
      <x:c r="B57" s="89"/>
      <x:c r="C57" s="89"/>
      <x:c r="D57" s="89"/>
      <x:c r="E57" s="89"/>
      <x:c r="F57" s="89"/>
      <x:c r="G57" s="89"/>
      <x:c r="H57" s="89"/>
      <x:c r="I57" s="89"/>
      <x:c r="J57" s="89"/>
      <x:c r="K57" s="89"/>
      <x:c r="L57" s="89"/>
      <x:c r="M57" s="89"/>
      <x:c r="N57" s="89"/>
      <x:c r="O57" s="89"/>
      <x:c r="P57" s="89"/>
      <x:c r="Q57" s="89"/>
      <x:c r="R57" s="89"/>
      <x:c r="S57" s="89"/>
      <x:c r="T57" s="89"/>
      <x:c r="U57" s="89"/>
      <x:c r="V57" s="89"/>
      <x:c r="W57" s="89"/>
      <x:c r="X57" s="89"/>
      <x:c r="Y57" s="89"/>
      <x:c r="Z57" s="89"/>
    </x:row>
    <x:row r="58">
      <x:c r="A58" s="89"/>
      <x:c r="B58" s="89"/>
      <x:c r="C58" s="89"/>
      <x:c r="D58" s="89"/>
      <x:c r="E58" s="89"/>
      <x:c r="F58" s="89"/>
      <x:c r="G58" s="89"/>
      <x:c r="H58" s="89"/>
      <x:c r="I58" s="89"/>
      <x:c r="J58" s="89"/>
      <x:c r="K58" s="89"/>
      <x:c r="L58" s="89"/>
      <x:c r="M58" s="89"/>
      <x:c r="N58" s="89"/>
      <x:c r="O58" s="89"/>
      <x:c r="P58" s="89"/>
      <x:c r="Q58" s="89"/>
      <x:c r="R58" s="89"/>
      <x:c r="S58" s="89"/>
      <x:c r="T58" s="89"/>
      <x:c r="U58" s="89"/>
      <x:c r="V58" s="89"/>
      <x:c r="W58" s="89"/>
      <x:c r="X58" s="89"/>
      <x:c r="Y58" s="89"/>
      <x:c r="Z58" s="89"/>
    </x:row>
    <x:row r="59">
      <x:c r="A59" s="89"/>
      <x:c r="B59" s="89"/>
      <x:c r="C59" s="89"/>
      <x:c r="D59" s="89"/>
      <x:c r="E59" s="89"/>
      <x:c r="F59" s="89"/>
      <x:c r="G59" s="89"/>
      <x:c r="H59" s="89"/>
      <x:c r="I59" s="89"/>
      <x:c r="J59" s="89"/>
      <x:c r="K59" s="89"/>
      <x:c r="L59" s="89"/>
      <x:c r="M59" s="89"/>
      <x:c r="N59" s="89"/>
      <x:c r="O59" s="89"/>
      <x:c r="P59" s="89"/>
      <x:c r="Q59" s="89"/>
      <x:c r="R59" s="89"/>
      <x:c r="S59" s="89"/>
      <x:c r="T59" s="89"/>
      <x:c r="U59" s="89"/>
      <x:c r="V59" s="89"/>
      <x:c r="W59" s="89"/>
      <x:c r="X59" s="89"/>
      <x:c r="Y59" s="89"/>
      <x:c r="Z59" s="89"/>
    </x:row>
    <x:row r="60">
      <x:c r="A60" s="89"/>
      <x:c r="B60" s="89"/>
      <x:c r="C60" s="89"/>
      <x:c r="D60" s="89"/>
      <x:c r="E60" s="89"/>
      <x:c r="F60" s="89"/>
      <x:c r="G60" s="89"/>
      <x:c r="H60" s="89"/>
      <x:c r="I60" s="89"/>
      <x:c r="J60" s="89"/>
      <x:c r="K60" s="89"/>
      <x:c r="L60" s="89"/>
      <x:c r="M60" s="89"/>
      <x:c r="N60" s="89"/>
      <x:c r="O60" s="89"/>
      <x:c r="P60" s="89"/>
      <x:c r="Q60" s="89"/>
      <x:c r="R60" s="89"/>
      <x:c r="S60" s="89"/>
      <x:c r="T60" s="89"/>
      <x:c r="U60" s="89"/>
      <x:c r="V60" s="89"/>
      <x:c r="W60" s="89"/>
      <x:c r="X60" s="89"/>
      <x:c r="Y60" s="89"/>
      <x:c r="Z60" s="89"/>
    </x:row>
    <x:row r="61">
      <x:c r="A61" s="89"/>
      <x:c r="B61" s="89"/>
      <x:c r="C61" s="89"/>
      <x:c r="D61" s="89"/>
      <x:c r="E61" s="89"/>
      <x:c r="F61" s="89"/>
      <x:c r="G61" s="89"/>
      <x:c r="H61" s="89"/>
      <x:c r="I61" s="89"/>
      <x:c r="J61" s="89"/>
      <x:c r="K61" s="89"/>
      <x:c r="L61" s="89"/>
      <x:c r="M61" s="89"/>
      <x:c r="N61" s="89"/>
      <x:c r="O61" s="89"/>
      <x:c r="P61" s="89"/>
      <x:c r="Q61" s="89"/>
      <x:c r="R61" s="89"/>
      <x:c r="S61" s="89"/>
      <x:c r="T61" s="89"/>
      <x:c r="U61" s="89"/>
      <x:c r="V61" s="89"/>
      <x:c r="W61" s="89"/>
      <x:c r="X61" s="89"/>
      <x:c r="Y61" s="89"/>
      <x:c r="Z61" s="89"/>
    </x:row>
    <x:row r="62">
      <x:c r="A62" s="89"/>
      <x:c r="B62" s="89"/>
      <x:c r="C62" s="89"/>
      <x:c r="D62" s="89"/>
      <x:c r="E62" s="89"/>
      <x:c r="F62" s="89"/>
      <x:c r="G62" s="89"/>
      <x:c r="H62" s="89"/>
      <x:c r="I62" s="89"/>
      <x:c r="J62" s="89"/>
      <x:c r="K62" s="89"/>
      <x:c r="L62" s="89"/>
      <x:c r="M62" s="89"/>
      <x:c r="N62" s="89"/>
      <x:c r="O62" s="89"/>
      <x:c r="P62" s="89"/>
      <x:c r="Q62" s="89"/>
      <x:c r="R62" s="89"/>
      <x:c r="S62" s="89"/>
      <x:c r="T62" s="89"/>
      <x:c r="U62" s="89"/>
      <x:c r="V62" s="89"/>
      <x:c r="W62" s="89"/>
      <x:c r="X62" s="89"/>
      <x:c r="Y62" s="89"/>
      <x:c r="Z62" s="89"/>
    </x:row>
    <x:row r="63">
      <x:c r="A63" s="89"/>
      <x:c r="B63" s="89"/>
      <x:c r="C63" s="89"/>
      <x:c r="D63" s="89"/>
      <x:c r="E63" s="89"/>
      <x:c r="F63" s="89"/>
      <x:c r="G63" s="89"/>
      <x:c r="H63" s="89"/>
      <x:c r="I63" s="89"/>
      <x:c r="J63" s="89"/>
      <x:c r="K63" s="89"/>
      <x:c r="L63" s="89"/>
      <x:c r="M63" s="89"/>
      <x:c r="N63" s="89"/>
      <x:c r="O63" s="89"/>
      <x:c r="P63" s="89"/>
      <x:c r="Q63" s="89"/>
      <x:c r="R63" s="89"/>
      <x:c r="S63" s="89"/>
      <x:c r="T63" s="89"/>
      <x:c r="U63" s="89"/>
      <x:c r="V63" s="89"/>
      <x:c r="W63" s="89"/>
      <x:c r="X63" s="89"/>
      <x:c r="Y63" s="89"/>
      <x:c r="Z63" s="89"/>
    </x:row>
    <x:row r="64">
      <x:c r="A64" s="89"/>
      <x:c r="B64" s="89"/>
      <x:c r="C64" s="89"/>
      <x:c r="D64" s="89"/>
      <x:c r="E64" s="89"/>
      <x:c r="F64" s="89"/>
      <x:c r="G64" s="89"/>
      <x:c r="H64" s="89"/>
      <x:c r="I64" s="89"/>
      <x:c r="J64" s="89"/>
      <x:c r="K64" s="89"/>
      <x:c r="L64" s="89"/>
      <x:c r="M64" s="89"/>
      <x:c r="N64" s="89"/>
      <x:c r="O64" s="89"/>
      <x:c r="P64" s="89"/>
      <x:c r="Q64" s="89"/>
      <x:c r="R64" s="89"/>
      <x:c r="S64" s="89"/>
      <x:c r="T64" s="89"/>
      <x:c r="U64" s="89"/>
      <x:c r="V64" s="89"/>
      <x:c r="W64" s="89"/>
      <x:c r="X64" s="89"/>
      <x:c r="Y64" s="89"/>
      <x:c r="Z64" s="89"/>
    </x:row>
    <x:row r="65">
      <x:c r="A65" s="89"/>
      <x:c r="B65" s="89"/>
      <x:c r="C65" s="89"/>
      <x:c r="D65" s="89"/>
      <x:c r="E65" s="89"/>
      <x:c r="F65" s="89"/>
      <x:c r="G65" s="89"/>
      <x:c r="H65" s="89"/>
      <x:c r="I65" s="89"/>
      <x:c r="J65" s="89"/>
      <x:c r="K65" s="89"/>
      <x:c r="L65" s="89"/>
      <x:c r="M65" s="89"/>
      <x:c r="N65" s="89"/>
      <x:c r="O65" s="89"/>
      <x:c r="P65" s="89"/>
      <x:c r="Q65" s="89"/>
      <x:c r="R65" s="89"/>
      <x:c r="S65" s="89"/>
      <x:c r="T65" s="89"/>
      <x:c r="U65" s="89"/>
      <x:c r="V65" s="89"/>
      <x:c r="W65" s="89"/>
      <x:c r="X65" s="89"/>
      <x:c r="Y65" s="89"/>
      <x:c r="Z65" s="89"/>
    </x:row>
    <x:row r="66">
      <x:c r="A66" s="89"/>
      <x:c r="B66" s="89"/>
      <x:c r="C66" s="89"/>
      <x:c r="D66" s="89"/>
      <x:c r="E66" s="89"/>
      <x:c r="F66" s="89"/>
      <x:c r="G66" s="89"/>
      <x:c r="H66" s="89"/>
      <x:c r="I66" s="89"/>
      <x:c r="J66" s="89"/>
      <x:c r="K66" s="89"/>
      <x:c r="L66" s="89"/>
      <x:c r="M66" s="89"/>
      <x:c r="N66" s="89"/>
      <x:c r="O66" s="89"/>
      <x:c r="P66" s="89"/>
      <x:c r="Q66" s="89"/>
      <x:c r="R66" s="89"/>
      <x:c r="S66" s="89"/>
      <x:c r="T66" s="89"/>
      <x:c r="U66" s="89"/>
      <x:c r="V66" s="89"/>
      <x:c r="W66" s="89"/>
      <x:c r="X66" s="89"/>
      <x:c r="Y66" s="89"/>
      <x:c r="Z66" s="89"/>
    </x:row>
    <x:row r="67">
      <x:c r="A67" s="89"/>
      <x:c r="B67" s="89"/>
      <x:c r="C67" s="89"/>
      <x:c r="D67" s="89"/>
      <x:c r="E67" s="89"/>
      <x:c r="F67" s="89"/>
      <x:c r="G67" s="89"/>
      <x:c r="H67" s="89"/>
      <x:c r="I67" s="89"/>
      <x:c r="J67" s="89"/>
      <x:c r="K67" s="89"/>
      <x:c r="L67" s="89"/>
      <x:c r="M67" s="89"/>
      <x:c r="N67" s="89"/>
      <x:c r="O67" s="89"/>
      <x:c r="P67" s="89"/>
      <x:c r="Q67" s="89"/>
      <x:c r="R67" s="89"/>
      <x:c r="S67" s="89"/>
      <x:c r="T67" s="89"/>
      <x:c r="U67" s="89"/>
      <x:c r="V67" s="89"/>
      <x:c r="W67" s="89"/>
      <x:c r="X67" s="89"/>
      <x:c r="Y67" s="89"/>
      <x:c r="Z67" s="89"/>
    </x:row>
    <x:row r="68">
      <x:c r="A68" s="89"/>
      <x:c r="B68" s="89"/>
      <x:c r="C68" s="89"/>
      <x:c r="D68" s="89"/>
      <x:c r="E68" s="89"/>
      <x:c r="F68" s="89"/>
      <x:c r="G68" s="89"/>
      <x:c r="H68" s="89"/>
      <x:c r="I68" s="89"/>
      <x:c r="J68" s="89"/>
      <x:c r="K68" s="89"/>
      <x:c r="L68" s="89"/>
      <x:c r="M68" s="89"/>
      <x:c r="N68" s="89"/>
      <x:c r="O68" s="89"/>
      <x:c r="P68" s="89"/>
      <x:c r="Q68" s="89"/>
      <x:c r="R68" s="89"/>
      <x:c r="S68" s="89"/>
      <x:c r="T68" s="89"/>
      <x:c r="U68" s="89"/>
      <x:c r="V68" s="89"/>
      <x:c r="W68" s="89"/>
      <x:c r="X68" s="89"/>
      <x:c r="Y68" s="89"/>
      <x:c r="Z68" s="89"/>
    </x:row>
    <x:row r="69">
      <x:c r="A69" s="89"/>
      <x:c r="B69" s="89"/>
      <x:c r="C69" s="89"/>
      <x:c r="D69" s="89"/>
      <x:c r="E69" s="89"/>
      <x:c r="F69" s="89"/>
      <x:c r="G69" s="89"/>
      <x:c r="H69" s="89"/>
      <x:c r="I69" s="89"/>
      <x:c r="J69" s="89"/>
      <x:c r="K69" s="89"/>
      <x:c r="L69" s="89"/>
      <x:c r="M69" s="89"/>
      <x:c r="N69" s="89"/>
      <x:c r="O69" s="89"/>
      <x:c r="P69" s="89"/>
      <x:c r="Q69" s="89"/>
      <x:c r="R69" s="89"/>
      <x:c r="S69" s="89"/>
      <x:c r="T69" s="89"/>
      <x:c r="U69" s="89"/>
      <x:c r="V69" s="89"/>
      <x:c r="W69" s="89"/>
      <x:c r="X69" s="89"/>
      <x:c r="Y69" s="89"/>
      <x:c r="Z69" s="89"/>
    </x:row>
    <x:row r="70">
      <x:c r="A70" s="89"/>
      <x:c r="B70" s="89"/>
      <x:c r="C70" s="89"/>
      <x:c r="D70" s="89"/>
      <x:c r="E70" s="89"/>
      <x:c r="F70" s="89"/>
      <x:c r="G70" s="89"/>
      <x:c r="H70" s="89"/>
      <x:c r="I70" s="89"/>
      <x:c r="J70" s="89"/>
      <x:c r="K70" s="89"/>
      <x:c r="L70" s="89"/>
      <x:c r="M70" s="89"/>
      <x:c r="N70" s="89"/>
      <x:c r="O70" s="89"/>
      <x:c r="P70" s="89"/>
      <x:c r="Q70" s="89"/>
      <x:c r="R70" s="89"/>
      <x:c r="S70" s="89"/>
      <x:c r="T70" s="89"/>
      <x:c r="U70" s="89"/>
      <x:c r="V70" s="89"/>
      <x:c r="W70" s="89"/>
      <x:c r="X70" s="89"/>
      <x:c r="Y70" s="89"/>
      <x:c r="Z70" s="89"/>
    </x:row>
    <x:row r="71">
      <x:c r="A71" s="89"/>
      <x:c r="B71" s="89"/>
      <x:c r="C71" s="89"/>
      <x:c r="D71" s="89"/>
      <x:c r="E71" s="89"/>
      <x:c r="F71" s="89"/>
      <x:c r="G71" s="89"/>
      <x:c r="H71" s="89"/>
      <x:c r="I71" s="89"/>
      <x:c r="J71" s="89"/>
      <x:c r="K71" s="89"/>
      <x:c r="L71" s="89"/>
      <x:c r="M71" s="89"/>
      <x:c r="N71" s="89"/>
      <x:c r="O71" s="89"/>
      <x:c r="P71" s="89"/>
      <x:c r="Q71" s="89"/>
      <x:c r="R71" s="89"/>
      <x:c r="S71" s="89"/>
      <x:c r="T71" s="89"/>
      <x:c r="U71" s="89"/>
      <x:c r="V71" s="89"/>
      <x:c r="W71" s="89"/>
      <x:c r="X71" s="89"/>
      <x:c r="Y71" s="89"/>
      <x:c r="Z71" s="89"/>
    </x:row>
    <x:row r="72">
      <x:c r="A72" s="89"/>
      <x:c r="B72" s="89"/>
      <x:c r="C72" s="89"/>
      <x:c r="D72" s="89"/>
      <x:c r="E72" s="89"/>
      <x:c r="F72" s="89"/>
      <x:c r="G72" s="89"/>
      <x:c r="H72" s="89"/>
      <x:c r="I72" s="89"/>
      <x:c r="J72" s="89"/>
      <x:c r="K72" s="89"/>
      <x:c r="L72" s="89"/>
      <x:c r="M72" s="89"/>
      <x:c r="N72" s="89"/>
      <x:c r="O72" s="89"/>
      <x:c r="P72" s="89"/>
      <x:c r="Q72" s="89"/>
      <x:c r="R72" s="89"/>
      <x:c r="S72" s="89"/>
      <x:c r="T72" s="89"/>
      <x:c r="U72" s="89"/>
      <x:c r="V72" s="89"/>
      <x:c r="W72" s="89"/>
      <x:c r="X72" s="89"/>
      <x:c r="Y72" s="89"/>
      <x:c r="Z72" s="89"/>
    </x:row>
    <x:row r="73">
      <x:c r="A73" s="89"/>
      <x:c r="B73" s="89"/>
      <x:c r="C73" s="89"/>
      <x:c r="D73" s="89"/>
      <x:c r="E73" s="89"/>
      <x:c r="F73" s="89"/>
      <x:c r="G73" s="89"/>
      <x:c r="H73" s="89"/>
      <x:c r="I73" s="89"/>
      <x:c r="J73" s="89"/>
      <x:c r="K73" s="89"/>
      <x:c r="L73" s="89"/>
      <x:c r="M73" s="89"/>
      <x:c r="N73" s="89"/>
      <x:c r="O73" s="89"/>
      <x:c r="P73" s="89"/>
      <x:c r="Q73" s="89"/>
      <x:c r="R73" s="89"/>
      <x:c r="S73" s="89"/>
      <x:c r="T73" s="89"/>
      <x:c r="U73" s="89"/>
      <x:c r="V73" s="89"/>
      <x:c r="W73" s="89"/>
      <x:c r="X73" s="89"/>
      <x:c r="Y73" s="89"/>
      <x:c r="Z73" s="89"/>
    </x:row>
    <x:row r="74">
      <x:c r="A74" s="89"/>
      <x:c r="B74" s="89"/>
      <x:c r="C74" s="89"/>
      <x:c r="D74" s="89"/>
      <x:c r="E74" s="89"/>
      <x:c r="F74" s="89"/>
      <x:c r="G74" s="89"/>
      <x:c r="H74" s="89"/>
      <x:c r="I74" s="89"/>
      <x:c r="J74" s="89"/>
      <x:c r="K74" s="89"/>
      <x:c r="L74" s="89"/>
      <x:c r="M74" s="89"/>
      <x:c r="N74" s="89"/>
      <x:c r="O74" s="89"/>
      <x:c r="P74" s="89"/>
      <x:c r="Q74" s="89"/>
      <x:c r="R74" s="89"/>
      <x:c r="S74" s="89"/>
      <x:c r="T74" s="89"/>
      <x:c r="U74" s="89"/>
      <x:c r="V74" s="89"/>
      <x:c r="W74" s="89"/>
      <x:c r="X74" s="89"/>
      <x:c r="Y74" s="89"/>
      <x:c r="Z74" s="89"/>
    </x:row>
    <x:row r="75">
      <x:c r="A75" s="89"/>
      <x:c r="B75" s="89"/>
      <x:c r="C75" s="89"/>
      <x:c r="D75" s="89"/>
      <x:c r="E75" s="89"/>
      <x:c r="F75" s="89"/>
      <x:c r="G75" s="89"/>
      <x:c r="H75" s="89"/>
      <x:c r="I75" s="89"/>
      <x:c r="J75" s="89"/>
      <x:c r="K75" s="89"/>
      <x:c r="L75" s="89"/>
      <x:c r="M75" s="89"/>
      <x:c r="N75" s="89"/>
      <x:c r="O75" s="89"/>
      <x:c r="P75" s="89"/>
      <x:c r="Q75" s="89"/>
      <x:c r="R75" s="89"/>
      <x:c r="S75" s="89"/>
      <x:c r="T75" s="89"/>
      <x:c r="U75" s="89"/>
      <x:c r="V75" s="89"/>
      <x:c r="W75" s="89"/>
      <x:c r="X75" s="89"/>
      <x:c r="Y75" s="89"/>
      <x:c r="Z75" s="89"/>
    </x:row>
    <x:row r="76">
      <x:c r="A76" s="89"/>
      <x:c r="B76" s="89"/>
      <x:c r="C76" s="89"/>
      <x:c r="D76" s="89"/>
      <x:c r="E76" s="89"/>
      <x:c r="F76" s="89"/>
      <x:c r="G76" s="89"/>
      <x:c r="H76" s="89"/>
      <x:c r="I76" s="89"/>
      <x:c r="J76" s="89"/>
      <x:c r="K76" s="89"/>
      <x:c r="L76" s="89"/>
      <x:c r="M76" s="89"/>
      <x:c r="N76" s="89"/>
      <x:c r="O76" s="89"/>
      <x:c r="P76" s="89"/>
      <x:c r="Q76" s="89"/>
      <x:c r="R76" s="89"/>
      <x:c r="S76" s="89"/>
      <x:c r="T76" s="89"/>
      <x:c r="U76" s="89"/>
      <x:c r="V76" s="89"/>
      <x:c r="W76" s="89"/>
      <x:c r="X76" s="89"/>
      <x:c r="Y76" s="89"/>
      <x:c r="Z76" s="89"/>
    </x:row>
    <x:row r="77">
      <x:c r="A77" s="89"/>
      <x:c r="B77" s="89"/>
      <x:c r="C77" s="89"/>
      <x:c r="D77" s="89"/>
      <x:c r="E77" s="89"/>
      <x:c r="F77" s="89"/>
      <x:c r="G77" s="89"/>
      <x:c r="H77" s="89"/>
      <x:c r="I77" s="89"/>
      <x:c r="J77" s="89"/>
      <x:c r="K77" s="89"/>
      <x:c r="L77" s="89"/>
      <x:c r="M77" s="89"/>
      <x:c r="N77" s="89"/>
      <x:c r="O77" s="89"/>
      <x:c r="P77" s="89"/>
      <x:c r="Q77" s="89"/>
      <x:c r="R77" s="89"/>
      <x:c r="S77" s="89"/>
      <x:c r="T77" s="89"/>
      <x:c r="U77" s="89"/>
      <x:c r="V77" s="89"/>
      <x:c r="W77" s="89"/>
      <x:c r="X77" s="89"/>
      <x:c r="Y77" s="89"/>
      <x:c r="Z77" s="89"/>
    </x:row>
    <x:row r="78">
      <x:c r="A78" s="89"/>
      <x:c r="B78" s="89"/>
      <x:c r="C78" s="89"/>
      <x:c r="D78" s="89"/>
      <x:c r="E78" s="89"/>
      <x:c r="F78" s="89"/>
      <x:c r="G78" s="89"/>
      <x:c r="H78" s="89"/>
      <x:c r="I78" s="89"/>
      <x:c r="J78" s="89"/>
      <x:c r="K78" s="89"/>
      <x:c r="L78" s="89"/>
      <x:c r="M78" s="89"/>
      <x:c r="N78" s="89"/>
      <x:c r="O78" s="89"/>
      <x:c r="P78" s="89"/>
      <x:c r="Q78" s="89"/>
      <x:c r="R78" s="89"/>
      <x:c r="S78" s="89"/>
      <x:c r="T78" s="89"/>
      <x:c r="U78" s="89"/>
      <x:c r="V78" s="89"/>
      <x:c r="W78" s="89"/>
      <x:c r="X78" s="89"/>
      <x:c r="Y78" s="89"/>
      <x:c r="Z78" s="89"/>
    </x:row>
    <x:row r="79">
      <x:c r="A79" s="89"/>
      <x:c r="B79" s="89"/>
      <x:c r="C79" s="89"/>
      <x:c r="D79" s="89"/>
      <x:c r="E79" s="89"/>
      <x:c r="F79" s="89"/>
      <x:c r="G79" s="89"/>
      <x:c r="H79" s="89"/>
      <x:c r="I79" s="89"/>
      <x:c r="J79" s="89"/>
      <x:c r="K79" s="89"/>
      <x:c r="L79" s="89"/>
      <x:c r="M79" s="89"/>
      <x:c r="N79" s="89"/>
      <x:c r="O79" s="89"/>
      <x:c r="P79" s="89"/>
      <x:c r="Q79" s="89"/>
      <x:c r="R79" s="89"/>
      <x:c r="S79" s="89"/>
      <x:c r="T79" s="89"/>
      <x:c r="U79" s="89"/>
      <x:c r="V79" s="89"/>
      <x:c r="W79" s="89"/>
      <x:c r="X79" s="89"/>
      <x:c r="Y79" s="89"/>
      <x:c r="Z79" s="89"/>
    </x:row>
    <x:row r="80">
      <x:c r="A80" s="89"/>
      <x:c r="B80" s="89"/>
      <x:c r="C80" s="89"/>
      <x:c r="D80" s="89"/>
      <x:c r="E80" s="89"/>
      <x:c r="F80" s="89"/>
      <x:c r="G80" s="89"/>
      <x:c r="H80" s="89"/>
      <x:c r="I80" s="89"/>
      <x:c r="J80" s="89"/>
      <x:c r="K80" s="89"/>
      <x:c r="L80" s="89"/>
      <x:c r="M80" s="89"/>
      <x:c r="N80" s="89"/>
      <x:c r="O80" s="89"/>
      <x:c r="P80" s="89"/>
      <x:c r="Q80" s="89"/>
      <x:c r="R80" s="89"/>
      <x:c r="S80" s="89"/>
      <x:c r="T80" s="89"/>
      <x:c r="U80" s="89"/>
      <x:c r="V80" s="89"/>
      <x:c r="W80" s="89"/>
      <x:c r="X80" s="89"/>
      <x:c r="Y80" s="89"/>
      <x:c r="Z80" s="89"/>
    </x:row>
    <x:row r="81">
      <x:c r="A81" s="89"/>
      <x:c r="B81" s="89"/>
      <x:c r="C81" s="89"/>
      <x:c r="D81" s="89"/>
      <x:c r="E81" s="89"/>
      <x:c r="F81" s="89"/>
      <x:c r="G81" s="89"/>
      <x:c r="H81" s="89"/>
      <x:c r="I81" s="89"/>
      <x:c r="J81" s="89"/>
      <x:c r="K81" s="89"/>
      <x:c r="L81" s="89"/>
      <x:c r="M81" s="89"/>
      <x:c r="N81" s="89"/>
      <x:c r="O81" s="89"/>
      <x:c r="P81" s="89"/>
      <x:c r="Q81" s="89"/>
      <x:c r="R81" s="89"/>
      <x:c r="S81" s="89"/>
      <x:c r="T81" s="89"/>
      <x:c r="U81" s="89"/>
      <x:c r="V81" s="89"/>
      <x:c r="W81" s="89"/>
      <x:c r="X81" s="89"/>
      <x:c r="Y81" s="89"/>
      <x:c r="Z81" s="89"/>
    </x:row>
    <x:row r="82">
      <x:c r="A82" s="89"/>
      <x:c r="B82" s="89"/>
      <x:c r="C82" s="89"/>
      <x:c r="D82" s="89"/>
      <x:c r="E82" s="89"/>
      <x:c r="F82" s="89"/>
      <x:c r="G82" s="89"/>
      <x:c r="H82" s="89"/>
      <x:c r="I82" s="89"/>
      <x:c r="J82" s="89"/>
      <x:c r="K82" s="89"/>
      <x:c r="L82" s="89"/>
      <x:c r="M82" s="89"/>
      <x:c r="N82" s="89"/>
      <x:c r="O82" s="89"/>
      <x:c r="P82" s="89"/>
      <x:c r="Q82" s="89"/>
      <x:c r="R82" s="89"/>
      <x:c r="S82" s="89"/>
      <x:c r="T82" s="89"/>
      <x:c r="U82" s="89"/>
      <x:c r="V82" s="89"/>
      <x:c r="W82" s="89"/>
      <x:c r="X82" s="89"/>
      <x:c r="Y82" s="89"/>
      <x:c r="Z82" s="89"/>
    </x:row>
    <x:row r="83">
      <x:c r="A83" s="89"/>
      <x:c r="B83" s="89"/>
      <x:c r="C83" s="89"/>
      <x:c r="D83" s="89"/>
      <x:c r="E83" s="89"/>
      <x:c r="F83" s="89"/>
      <x:c r="G83" s="89"/>
      <x:c r="H83" s="89"/>
      <x:c r="I83" s="89"/>
      <x:c r="J83" s="89"/>
      <x:c r="K83" s="89"/>
      <x:c r="L83" s="89"/>
      <x:c r="M83" s="89"/>
      <x:c r="N83" s="89"/>
      <x:c r="O83" s="89"/>
      <x:c r="P83" s="89"/>
      <x:c r="Q83" s="89"/>
      <x:c r="R83" s="89"/>
      <x:c r="S83" s="89"/>
      <x:c r="T83" s="89"/>
      <x:c r="U83" s="89"/>
      <x:c r="V83" s="89"/>
      <x:c r="W83" s="89"/>
      <x:c r="X83" s="89"/>
      <x:c r="Y83" s="89"/>
      <x:c r="Z83" s="89"/>
    </x:row>
    <x:row r="84">
      <x:c r="A84" s="89"/>
      <x:c r="B84" s="89"/>
      <x:c r="C84" s="89"/>
      <x:c r="D84" s="89"/>
      <x:c r="E84" s="89"/>
      <x:c r="F84" s="89"/>
      <x:c r="G84" s="89"/>
      <x:c r="H84" s="89"/>
      <x:c r="I84" s="89"/>
      <x:c r="J84" s="89"/>
      <x:c r="K84" s="89"/>
      <x:c r="L84" s="89"/>
      <x:c r="M84" s="89"/>
      <x:c r="N84" s="89"/>
      <x:c r="O84" s="89"/>
      <x:c r="P84" s="89"/>
      <x:c r="Q84" s="89"/>
      <x:c r="R84" s="89"/>
      <x:c r="S84" s="89"/>
      <x:c r="T84" s="89"/>
      <x:c r="U84" s="89"/>
      <x:c r="V84" s="89"/>
      <x:c r="W84" s="89"/>
      <x:c r="X84" s="89"/>
      <x:c r="Y84" s="89"/>
      <x:c r="Z84" s="89"/>
    </x:row>
    <x:row r="85">
      <x:c r="A85" s="89"/>
      <x:c r="B85" s="89"/>
      <x:c r="C85" s="89"/>
      <x:c r="D85" s="89"/>
      <x:c r="E85" s="89"/>
      <x:c r="F85" s="89"/>
      <x:c r="G85" s="89"/>
      <x:c r="H85" s="89"/>
      <x:c r="I85" s="89"/>
      <x:c r="J85" s="89"/>
      <x:c r="K85" s="89"/>
      <x:c r="L85" s="89"/>
      <x:c r="M85" s="89"/>
      <x:c r="N85" s="89"/>
      <x:c r="O85" s="89"/>
      <x:c r="P85" s="89"/>
      <x:c r="Q85" s="89"/>
      <x:c r="R85" s="89"/>
      <x:c r="S85" s="89"/>
      <x:c r="T85" s="89"/>
      <x:c r="U85" s="89"/>
      <x:c r="V85" s="89"/>
      <x:c r="W85" s="89"/>
      <x:c r="X85" s="89"/>
      <x:c r="Y85" s="89"/>
      <x:c r="Z85" s="89"/>
    </x:row>
    <x:row r="86">
      <x:c r="A86" s="89"/>
      <x:c r="B86" s="89"/>
      <x:c r="C86" s="89"/>
      <x:c r="D86" s="89"/>
      <x:c r="E86" s="89"/>
      <x:c r="F86" s="89"/>
      <x:c r="G86" s="89"/>
      <x:c r="H86" s="89"/>
      <x:c r="I86" s="89"/>
      <x:c r="J86" s="89"/>
      <x:c r="K86" s="89"/>
      <x:c r="L86" s="89"/>
      <x:c r="M86" s="89"/>
      <x:c r="N86" s="89"/>
      <x:c r="O86" s="89"/>
      <x:c r="P86" s="89"/>
      <x:c r="Q86" s="89"/>
      <x:c r="R86" s="89"/>
      <x:c r="S86" s="89"/>
      <x:c r="T86" s="89"/>
      <x:c r="U86" s="89"/>
      <x:c r="V86" s="89"/>
      <x:c r="W86" s="89"/>
      <x:c r="X86" s="89"/>
      <x:c r="Y86" s="89"/>
      <x:c r="Z86" s="89"/>
    </x:row>
    <x:row r="87">
      <x:c r="A87" s="89"/>
      <x:c r="B87" s="89"/>
      <x:c r="C87" s="89"/>
      <x:c r="D87" s="89"/>
      <x:c r="E87" s="89"/>
      <x:c r="F87" s="89"/>
      <x:c r="G87" s="89"/>
      <x:c r="H87" s="89"/>
      <x:c r="I87" s="89"/>
      <x:c r="J87" s="89"/>
      <x:c r="K87" s="89"/>
      <x:c r="L87" s="89"/>
      <x:c r="M87" s="89"/>
      <x:c r="N87" s="89"/>
      <x:c r="O87" s="89"/>
      <x:c r="P87" s="89"/>
      <x:c r="Q87" s="89"/>
      <x:c r="R87" s="89"/>
      <x:c r="S87" s="89"/>
      <x:c r="T87" s="89"/>
      <x:c r="U87" s="89"/>
      <x:c r="V87" s="89"/>
      <x:c r="W87" s="89"/>
      <x:c r="X87" s="89"/>
      <x:c r="Y87" s="89"/>
      <x:c r="Z87" s="89"/>
    </x:row>
    <x:row r="88">
      <x:c r="A88" s="89"/>
      <x:c r="B88" s="89"/>
      <x:c r="C88" s="89"/>
      <x:c r="D88" s="89"/>
      <x:c r="E88" s="89"/>
      <x:c r="F88" s="89"/>
      <x:c r="G88" s="89"/>
      <x:c r="H88" s="89"/>
      <x:c r="I88" s="89"/>
      <x:c r="J88" s="89"/>
      <x:c r="K88" s="89"/>
      <x:c r="L88" s="89"/>
      <x:c r="M88" s="89"/>
      <x:c r="N88" s="89"/>
      <x:c r="O88" s="89"/>
      <x:c r="P88" s="89"/>
      <x:c r="Q88" s="89"/>
      <x:c r="R88" s="89"/>
      <x:c r="S88" s="89"/>
      <x:c r="T88" s="89"/>
      <x:c r="U88" s="89"/>
      <x:c r="V88" s="89"/>
      <x:c r="W88" s="89"/>
      <x:c r="X88" s="89"/>
      <x:c r="Y88" s="89"/>
      <x:c r="Z88" s="89"/>
    </x:row>
    <x:row r="89">
      <x:c r="A89" s="89"/>
      <x:c r="B89" s="89"/>
      <x:c r="C89" s="89"/>
      <x:c r="D89" s="89"/>
      <x:c r="E89" s="89"/>
      <x:c r="F89" s="89"/>
      <x:c r="G89" s="89"/>
      <x:c r="H89" s="89"/>
      <x:c r="I89" s="89"/>
      <x:c r="J89" s="89"/>
      <x:c r="K89" s="89"/>
      <x:c r="L89" s="89"/>
      <x:c r="M89" s="89"/>
      <x:c r="N89" s="89"/>
      <x:c r="O89" s="89"/>
      <x:c r="P89" s="89"/>
      <x:c r="Q89" s="89"/>
      <x:c r="R89" s="89"/>
      <x:c r="S89" s="89"/>
      <x:c r="T89" s="89"/>
      <x:c r="U89" s="89"/>
      <x:c r="V89" s="89"/>
      <x:c r="W89" s="89"/>
      <x:c r="X89" s="89"/>
      <x:c r="Y89" s="89"/>
      <x:c r="Z89" s="89"/>
    </x:row>
    <x:row r="90">
      <x:c r="A90" s="89"/>
      <x:c r="B90" s="89"/>
      <x:c r="C90" s="89"/>
      <x:c r="D90" s="89"/>
      <x:c r="E90" s="89"/>
      <x:c r="F90" s="89"/>
      <x:c r="G90" s="89"/>
      <x:c r="H90" s="89"/>
      <x:c r="I90" s="89"/>
      <x:c r="J90" s="89"/>
      <x:c r="K90" s="89"/>
      <x:c r="L90" s="89"/>
      <x:c r="M90" s="89"/>
      <x:c r="N90" s="89"/>
      <x:c r="O90" s="89"/>
      <x:c r="P90" s="89"/>
      <x:c r="Q90" s="89"/>
      <x:c r="R90" s="89"/>
      <x:c r="S90" s="89"/>
      <x:c r="T90" s="89"/>
      <x:c r="U90" s="89"/>
      <x:c r="V90" s="89"/>
      <x:c r="W90" s="89"/>
      <x:c r="X90" s="89"/>
      <x:c r="Y90" s="89"/>
      <x:c r="Z90" s="89"/>
    </x:row>
    <x:row r="91">
      <x:c r="A91" s="89"/>
      <x:c r="B91" s="89"/>
      <x:c r="C91" s="89"/>
      <x:c r="D91" s="89"/>
      <x:c r="E91" s="89"/>
      <x:c r="F91" s="89"/>
      <x:c r="G91" s="89"/>
      <x:c r="H91" s="89"/>
      <x:c r="I91" s="89"/>
      <x:c r="J91" s="89"/>
      <x:c r="K91" s="89"/>
      <x:c r="L91" s="89"/>
      <x:c r="M91" s="89"/>
      <x:c r="N91" s="89"/>
      <x:c r="O91" s="89"/>
      <x:c r="P91" s="89"/>
      <x:c r="Q91" s="89"/>
      <x:c r="R91" s="89"/>
      <x:c r="S91" s="89"/>
      <x:c r="T91" s="89"/>
      <x:c r="U91" s="89"/>
      <x:c r="V91" s="89"/>
      <x:c r="W91" s="89"/>
      <x:c r="X91" s="89"/>
      <x:c r="Y91" s="89"/>
      <x:c r="Z91" s="89"/>
    </x:row>
    <x:row r="92">
      <x:c r="A92" s="89"/>
      <x:c r="B92" s="89"/>
      <x:c r="C92" s="89"/>
      <x:c r="D92" s="89"/>
      <x:c r="E92" s="89"/>
      <x:c r="F92" s="89"/>
      <x:c r="G92" s="89"/>
      <x:c r="H92" s="89"/>
      <x:c r="I92" s="89"/>
      <x:c r="J92" s="89"/>
      <x:c r="K92" s="89"/>
      <x:c r="L92" s="89"/>
      <x:c r="M92" s="89"/>
      <x:c r="N92" s="89"/>
      <x:c r="O92" s="89"/>
      <x:c r="P92" s="89"/>
      <x:c r="Q92" s="89"/>
      <x:c r="R92" s="89"/>
      <x:c r="S92" s="89"/>
      <x:c r="T92" s="89"/>
      <x:c r="U92" s="89"/>
      <x:c r="V92" s="89"/>
      <x:c r="W92" s="89"/>
      <x:c r="X92" s="89"/>
      <x:c r="Y92" s="89"/>
      <x:c r="Z92" s="89"/>
    </x:row>
    <x:row r="93">
      <x:c r="A93" s="89"/>
      <x:c r="B93" s="89"/>
      <x:c r="C93" s="89"/>
      <x:c r="D93" s="89"/>
      <x:c r="E93" s="89"/>
      <x:c r="F93" s="89"/>
      <x:c r="G93" s="89"/>
      <x:c r="H93" s="89"/>
      <x:c r="I93" s="89"/>
      <x:c r="J93" s="89"/>
      <x:c r="K93" s="89"/>
      <x:c r="L93" s="89"/>
      <x:c r="M93" s="89"/>
      <x:c r="N93" s="89"/>
      <x:c r="O93" s="89"/>
      <x:c r="P93" s="89"/>
      <x:c r="Q93" s="89"/>
      <x:c r="R93" s="89"/>
      <x:c r="S93" s="89"/>
      <x:c r="T93" s="89"/>
      <x:c r="U93" s="89"/>
      <x:c r="V93" s="89"/>
      <x:c r="W93" s="89"/>
      <x:c r="X93" s="89"/>
      <x:c r="Y93" s="89"/>
      <x:c r="Z93" s="89"/>
    </x:row>
    <x:row r="94">
      <x:c r="A94" s="89"/>
      <x:c r="B94" s="89"/>
      <x:c r="C94" s="89"/>
      <x:c r="D94" s="89"/>
      <x:c r="E94" s="89"/>
      <x:c r="F94" s="89"/>
      <x:c r="G94" s="89"/>
      <x:c r="H94" s="89"/>
      <x:c r="I94" s="89"/>
      <x:c r="J94" s="89"/>
      <x:c r="K94" s="89"/>
      <x:c r="L94" s="89"/>
      <x:c r="M94" s="89"/>
      <x:c r="N94" s="89"/>
      <x:c r="O94" s="89"/>
      <x:c r="P94" s="89"/>
      <x:c r="Q94" s="89"/>
      <x:c r="R94" s="89"/>
      <x:c r="S94" s="89"/>
      <x:c r="T94" s="89"/>
      <x:c r="U94" s="89"/>
      <x:c r="V94" s="89"/>
      <x:c r="W94" s="89"/>
      <x:c r="X94" s="89"/>
      <x:c r="Y94" s="89"/>
      <x:c r="Z94" s="89"/>
    </x:row>
    <x:row r="95">
      <x:c r="A95" s="89"/>
      <x:c r="B95" s="89"/>
      <x:c r="C95" s="89"/>
      <x:c r="D95" s="89"/>
      <x:c r="E95" s="89"/>
      <x:c r="F95" s="89"/>
      <x:c r="G95" s="89"/>
      <x:c r="H95" s="89"/>
      <x:c r="I95" s="89"/>
      <x:c r="J95" s="89"/>
      <x:c r="K95" s="89"/>
      <x:c r="L95" s="89"/>
      <x:c r="M95" s="89"/>
      <x:c r="N95" s="89"/>
      <x:c r="O95" s="89"/>
      <x:c r="P95" s="89"/>
      <x:c r="Q95" s="89"/>
      <x:c r="R95" s="89"/>
      <x:c r="S95" s="89"/>
      <x:c r="T95" s="89"/>
      <x:c r="U95" s="89"/>
      <x:c r="V95" s="89"/>
      <x:c r="W95" s="89"/>
      <x:c r="X95" s="89"/>
      <x:c r="Y95" s="89"/>
      <x:c r="Z95" s="89"/>
    </x:row>
    <x:row r="96">
      <x:c r="A96" s="89"/>
      <x:c r="B96" s="89"/>
      <x:c r="C96" s="89"/>
      <x:c r="D96" s="89"/>
      <x:c r="E96" s="89"/>
      <x:c r="F96" s="89"/>
      <x:c r="G96" s="89"/>
      <x:c r="H96" s="89"/>
      <x:c r="I96" s="89"/>
      <x:c r="J96" s="89"/>
      <x:c r="K96" s="89"/>
      <x:c r="L96" s="89"/>
      <x:c r="M96" s="89"/>
      <x:c r="N96" s="89"/>
      <x:c r="O96" s="89"/>
      <x:c r="P96" s="89"/>
      <x:c r="Q96" s="89"/>
      <x:c r="R96" s="89"/>
      <x:c r="S96" s="89"/>
      <x:c r="T96" s="89"/>
      <x:c r="U96" s="89"/>
      <x:c r="V96" s="89"/>
      <x:c r="W96" s="89"/>
      <x:c r="X96" s="89"/>
      <x:c r="Y96" s="89"/>
      <x:c r="Z96" s="89"/>
    </x:row>
    <x:row r="97">
      <x:c r="A97" s="89"/>
      <x:c r="B97" s="89"/>
      <x:c r="C97" s="89"/>
      <x:c r="D97" s="89"/>
      <x:c r="E97" s="89"/>
      <x:c r="F97" s="89"/>
      <x:c r="G97" s="89"/>
      <x:c r="H97" s="89"/>
      <x:c r="I97" s="89"/>
      <x:c r="J97" s="89"/>
      <x:c r="K97" s="89"/>
      <x:c r="L97" s="89"/>
      <x:c r="M97" s="89"/>
      <x:c r="N97" s="89"/>
      <x:c r="O97" s="89"/>
      <x:c r="P97" s="89"/>
      <x:c r="Q97" s="89"/>
      <x:c r="R97" s="89"/>
      <x:c r="S97" s="89"/>
      <x:c r="T97" s="89"/>
      <x:c r="U97" s="89"/>
      <x:c r="V97" s="89"/>
      <x:c r="W97" s="89"/>
      <x:c r="X97" s="89"/>
      <x:c r="Y97" s="89"/>
      <x:c r="Z97" s="89"/>
    </x:row>
    <x:row r="98">
      <x:c r="A98" s="89"/>
      <x:c r="B98" s="89"/>
      <x:c r="C98" s="89"/>
      <x:c r="D98" s="89"/>
      <x:c r="E98" s="89"/>
      <x:c r="F98" s="89"/>
      <x:c r="G98" s="89"/>
      <x:c r="H98" s="89"/>
      <x:c r="I98" s="89"/>
      <x:c r="J98" s="89"/>
      <x:c r="K98" s="89"/>
      <x:c r="L98" s="89"/>
      <x:c r="M98" s="89"/>
      <x:c r="N98" s="89"/>
      <x:c r="O98" s="89"/>
      <x:c r="P98" s="89"/>
      <x:c r="Q98" s="89"/>
      <x:c r="R98" s="89"/>
      <x:c r="S98" s="89"/>
      <x:c r="T98" s="89"/>
      <x:c r="U98" s="89"/>
      <x:c r="V98" s="89"/>
      <x:c r="W98" s="89"/>
      <x:c r="X98" s="89"/>
      <x:c r="Y98" s="89"/>
      <x:c r="Z98" s="89"/>
    </x:row>
    <x:row r="99">
      <x:c r="A99" s="89"/>
      <x:c r="B99" s="89"/>
      <x:c r="C99" s="89"/>
      <x:c r="D99" s="89"/>
      <x:c r="E99" s="89"/>
      <x:c r="F99" s="89"/>
      <x:c r="G99" s="89"/>
      <x:c r="H99" s="89"/>
      <x:c r="I99" s="89"/>
      <x:c r="J99" s="89"/>
      <x:c r="K99" s="89"/>
      <x:c r="L99" s="89"/>
      <x:c r="M99" s="89"/>
      <x:c r="N99" s="89"/>
      <x:c r="O99" s="89"/>
      <x:c r="P99" s="89"/>
      <x:c r="Q99" s="89"/>
      <x:c r="R99" s="89"/>
      <x:c r="S99" s="89"/>
      <x:c r="T99" s="89"/>
      <x:c r="U99" s="89"/>
      <x:c r="V99" s="89"/>
      <x:c r="W99" s="89"/>
      <x:c r="X99" s="89"/>
      <x:c r="Y99" s="89"/>
      <x:c r="Z99" s="89"/>
    </x:row>
    <x:row r="100">
      <x:c r="A100" s="89"/>
      <x:c r="B100" s="89"/>
      <x:c r="C100" s="89"/>
      <x:c r="D100" s="89"/>
      <x:c r="E100" s="89"/>
      <x:c r="F100" s="89"/>
      <x:c r="G100" s="89"/>
      <x:c r="H100" s="89"/>
      <x:c r="I100" s="89"/>
      <x:c r="J100" s="89"/>
      <x:c r="K100" s="89"/>
      <x:c r="L100" s="89"/>
      <x:c r="M100" s="89"/>
      <x:c r="N100" s="89"/>
      <x:c r="O100" s="89"/>
      <x:c r="P100" s="89"/>
      <x:c r="Q100" s="89"/>
      <x:c r="R100" s="89"/>
      <x:c r="S100" s="89"/>
      <x:c r="T100" s="89"/>
      <x:c r="U100" s="89"/>
      <x:c r="V100" s="89"/>
      <x:c r="W100" s="89"/>
      <x:c r="X100" s="89"/>
      <x:c r="Y100" s="89"/>
      <x:c r="Z100" s="89"/>
    </x:row>
    <x:row r="101">
      <x:c r="A101" s="89"/>
      <x:c r="B101" s="89"/>
      <x:c r="C101" s="89"/>
      <x:c r="D101" s="89"/>
      <x:c r="E101" s="89"/>
      <x:c r="F101" s="89"/>
      <x:c r="G101" s="89"/>
      <x:c r="H101" s="89"/>
      <x:c r="I101" s="89"/>
      <x:c r="J101" s="89"/>
      <x:c r="K101" s="89"/>
      <x:c r="L101" s="89"/>
      <x:c r="M101" s="89"/>
      <x:c r="N101" s="89"/>
      <x:c r="O101" s="89"/>
      <x:c r="P101" s="89"/>
      <x:c r="Q101" s="89"/>
      <x:c r="R101" s="89"/>
      <x:c r="S101" s="89"/>
      <x:c r="T101" s="89"/>
      <x:c r="U101" s="89"/>
      <x:c r="V101" s="89"/>
      <x:c r="W101" s="89"/>
      <x:c r="X101" s="89"/>
      <x:c r="Y101" s="89"/>
      <x:c r="Z101" s="89"/>
    </x:row>
    <x:row r="102">
      <x:c r="A102" s="89"/>
      <x:c r="B102" s="89"/>
      <x:c r="C102" s="89"/>
      <x:c r="D102" s="89"/>
      <x:c r="E102" s="89"/>
      <x:c r="F102" s="89"/>
      <x:c r="G102" s="89"/>
      <x:c r="H102" s="89"/>
      <x:c r="I102" s="89"/>
      <x:c r="J102" s="89"/>
      <x:c r="K102" s="89"/>
      <x:c r="L102" s="89"/>
      <x:c r="M102" s="89"/>
      <x:c r="N102" s="89"/>
      <x:c r="O102" s="89"/>
      <x:c r="P102" s="89"/>
      <x:c r="Q102" s="89"/>
      <x:c r="R102" s="89"/>
      <x:c r="S102" s="89"/>
      <x:c r="T102" s="89"/>
      <x:c r="U102" s="89"/>
      <x:c r="V102" s="89"/>
      <x:c r="W102" s="89"/>
      <x:c r="X102" s="89"/>
      <x:c r="Y102" s="89"/>
      <x:c r="Z102" s="89"/>
    </x:row>
    <x:row r="103">
      <x:c r="A103" s="89"/>
      <x:c r="B103" s="89"/>
      <x:c r="C103" s="89"/>
      <x:c r="D103" s="89"/>
      <x:c r="E103" s="89"/>
      <x:c r="F103" s="89"/>
      <x:c r="G103" s="89"/>
      <x:c r="H103" s="89"/>
      <x:c r="I103" s="89"/>
      <x:c r="J103" s="89"/>
      <x:c r="K103" s="89"/>
      <x:c r="L103" s="89"/>
      <x:c r="M103" s="89"/>
      <x:c r="N103" s="89"/>
      <x:c r="O103" s="89"/>
      <x:c r="P103" s="89"/>
      <x:c r="Q103" s="89"/>
      <x:c r="R103" s="89"/>
      <x:c r="S103" s="89"/>
      <x:c r="T103" s="89"/>
      <x:c r="U103" s="89"/>
      <x:c r="V103" s="89"/>
      <x:c r="W103" s="89"/>
      <x:c r="X103" s="89"/>
      <x:c r="Y103" s="89"/>
      <x:c r="Z103" s="89"/>
    </x:row>
    <x:row r="104">
      <x:c r="A104" s="89"/>
      <x:c r="B104" s="89"/>
      <x:c r="C104" s="89"/>
      <x:c r="D104" s="89"/>
      <x:c r="E104" s="89"/>
      <x:c r="F104" s="89"/>
      <x:c r="G104" s="89"/>
      <x:c r="H104" s="89"/>
      <x:c r="I104" s="89"/>
      <x:c r="J104" s="89"/>
      <x:c r="K104" s="89"/>
      <x:c r="L104" s="89"/>
      <x:c r="M104" s="89"/>
      <x:c r="N104" s="89"/>
      <x:c r="O104" s="89"/>
      <x:c r="P104" s="89"/>
      <x:c r="Q104" s="89"/>
      <x:c r="R104" s="89"/>
      <x:c r="S104" s="89"/>
      <x:c r="T104" s="89"/>
      <x:c r="U104" s="89"/>
      <x:c r="V104" s="89"/>
      <x:c r="W104" s="89"/>
      <x:c r="X104" s="89"/>
      <x:c r="Y104" s="89"/>
      <x:c r="Z104" s="89"/>
    </x:row>
    <x:row r="105">
      <x:c r="A105" s="89"/>
      <x:c r="B105" s="89"/>
      <x:c r="C105" s="89"/>
      <x:c r="D105" s="89"/>
      <x:c r="E105" s="89"/>
      <x:c r="F105" s="89"/>
      <x:c r="G105" s="89"/>
      <x:c r="H105" s="89"/>
      <x:c r="I105" s="89"/>
      <x:c r="J105" s="89"/>
      <x:c r="K105" s="89"/>
      <x:c r="L105" s="89"/>
      <x:c r="M105" s="89"/>
      <x:c r="N105" s="89"/>
      <x:c r="O105" s="89"/>
      <x:c r="P105" s="89"/>
      <x:c r="Q105" s="89"/>
      <x:c r="R105" s="89"/>
      <x:c r="S105" s="89"/>
      <x:c r="T105" s="89"/>
      <x:c r="U105" s="89"/>
      <x:c r="V105" s="89"/>
      <x:c r="W105" s="89"/>
      <x:c r="X105" s="89"/>
      <x:c r="Y105" s="89"/>
      <x:c r="Z105" s="89"/>
    </x:row>
    <x:row r="106">
      <x:c r="A106" s="89"/>
      <x:c r="B106" s="89"/>
      <x:c r="C106" s="89"/>
      <x:c r="D106" s="89"/>
      <x:c r="E106" s="89"/>
      <x:c r="F106" s="89"/>
      <x:c r="G106" s="89"/>
      <x:c r="H106" s="89"/>
      <x:c r="I106" s="89"/>
      <x:c r="J106" s="89"/>
      <x:c r="K106" s="89"/>
      <x:c r="L106" s="89"/>
      <x:c r="M106" s="89"/>
      <x:c r="N106" s="89"/>
      <x:c r="O106" s="89"/>
      <x:c r="P106" s="89"/>
      <x:c r="Q106" s="89"/>
      <x:c r="R106" s="89"/>
      <x:c r="S106" s="89"/>
      <x:c r="T106" s="89"/>
      <x:c r="U106" s="89"/>
      <x:c r="V106" s="89"/>
      <x:c r="W106" s="89"/>
      <x:c r="X106" s="89"/>
      <x:c r="Y106" s="89"/>
      <x:c r="Z106" s="89"/>
    </x:row>
    <x:row r="107">
      <x:c r="A107" s="89"/>
      <x:c r="B107" s="89"/>
      <x:c r="C107" s="89"/>
      <x:c r="D107" s="89"/>
      <x:c r="E107" s="89"/>
      <x:c r="F107" s="89"/>
      <x:c r="G107" s="89"/>
      <x:c r="H107" s="89"/>
      <x:c r="I107" s="89"/>
      <x:c r="J107" s="89"/>
      <x:c r="K107" s="89"/>
      <x:c r="L107" s="89"/>
      <x:c r="M107" s="89"/>
      <x:c r="N107" s="89"/>
      <x:c r="O107" s="89"/>
      <x:c r="P107" s="89"/>
      <x:c r="Q107" s="89"/>
      <x:c r="R107" s="89"/>
      <x:c r="S107" s="89"/>
      <x:c r="T107" s="89"/>
      <x:c r="U107" s="89"/>
      <x:c r="V107" s="89"/>
      <x:c r="W107" s="89"/>
      <x:c r="X107" s="89"/>
      <x:c r="Y107" s="89"/>
      <x:c r="Z107" s="89"/>
    </x:row>
    <x:row r="108">
      <x:c r="A108" s="89"/>
      <x:c r="B108" s="89"/>
      <x:c r="C108" s="89"/>
      <x:c r="D108" s="89"/>
      <x:c r="E108" s="89"/>
      <x:c r="F108" s="89"/>
      <x:c r="G108" s="89"/>
      <x:c r="H108" s="89"/>
      <x:c r="I108" s="89"/>
      <x:c r="J108" s="89"/>
      <x:c r="K108" s="89"/>
      <x:c r="L108" s="89"/>
      <x:c r="M108" s="89"/>
      <x:c r="N108" s="89"/>
      <x:c r="O108" s="89"/>
      <x:c r="P108" s="89"/>
      <x:c r="Q108" s="89"/>
      <x:c r="R108" s="89"/>
      <x:c r="S108" s="89"/>
      <x:c r="T108" s="89"/>
      <x:c r="U108" s="89"/>
      <x:c r="V108" s="89"/>
      <x:c r="W108" s="89"/>
      <x:c r="X108" s="89"/>
      <x:c r="Y108" s="89"/>
      <x:c r="Z108" s="89"/>
    </x:row>
    <x:row r="109">
      <x:c r="A109" s="89"/>
      <x:c r="B109" s="89"/>
      <x:c r="C109" s="89"/>
      <x:c r="D109" s="89"/>
      <x:c r="E109" s="89"/>
      <x:c r="F109" s="89"/>
      <x:c r="G109" s="89"/>
      <x:c r="H109" s="89"/>
      <x:c r="I109" s="89"/>
      <x:c r="J109" s="89"/>
      <x:c r="K109" s="89"/>
      <x:c r="L109" s="89"/>
      <x:c r="M109" s="89"/>
      <x:c r="N109" s="89"/>
      <x:c r="O109" s="89"/>
      <x:c r="P109" s="89"/>
      <x:c r="Q109" s="89"/>
      <x:c r="R109" s="89"/>
      <x:c r="S109" s="89"/>
      <x:c r="T109" s="89"/>
      <x:c r="U109" s="89"/>
      <x:c r="V109" s="89"/>
      <x:c r="W109" s="89"/>
      <x:c r="X109" s="89"/>
      <x:c r="Y109" s="89"/>
      <x:c r="Z109" s="89"/>
    </x:row>
    <x:row r="110">
      <x:c r="A110" s="89"/>
      <x:c r="B110" s="89"/>
      <x:c r="C110" s="89"/>
      <x:c r="D110" s="89"/>
      <x:c r="E110" s="89"/>
      <x:c r="F110" s="89"/>
      <x:c r="G110" s="89"/>
      <x:c r="H110" s="89"/>
      <x:c r="I110" s="89"/>
      <x:c r="J110" s="89"/>
      <x:c r="K110" s="89"/>
      <x:c r="L110" s="89"/>
      <x:c r="M110" s="89"/>
      <x:c r="N110" s="89"/>
      <x:c r="O110" s="89"/>
      <x:c r="P110" s="89"/>
      <x:c r="Q110" s="89"/>
      <x:c r="R110" s="89"/>
      <x:c r="S110" s="89"/>
      <x:c r="T110" s="89"/>
      <x:c r="U110" s="89"/>
      <x:c r="V110" s="89"/>
      <x:c r="W110" s="89"/>
      <x:c r="X110" s="89"/>
      <x:c r="Y110" s="89"/>
      <x:c r="Z110" s="89"/>
    </x:row>
    <x:row r="111">
      <x:c r="A111" s="89"/>
      <x:c r="B111" s="89"/>
      <x:c r="C111" s="89"/>
      <x:c r="D111" s="89"/>
      <x:c r="E111" s="89"/>
      <x:c r="F111" s="89"/>
      <x:c r="G111" s="89"/>
      <x:c r="H111" s="89"/>
      <x:c r="I111" s="89"/>
      <x:c r="J111" s="89"/>
      <x:c r="K111" s="89"/>
      <x:c r="L111" s="89"/>
      <x:c r="M111" s="89"/>
      <x:c r="N111" s="89"/>
      <x:c r="O111" s="89"/>
      <x:c r="P111" s="89"/>
      <x:c r="Q111" s="89"/>
      <x:c r="R111" s="89"/>
      <x:c r="S111" s="89"/>
      <x:c r="T111" s="89"/>
      <x:c r="U111" s="89"/>
      <x:c r="V111" s="89"/>
      <x:c r="W111" s="89"/>
      <x:c r="X111" s="89"/>
      <x:c r="Y111" s="89"/>
      <x:c r="Z111" s="89"/>
    </x:row>
    <x:row r="112">
      <x:c r="A112" s="89"/>
      <x:c r="B112" s="89"/>
      <x:c r="C112" s="89"/>
      <x:c r="D112" s="89"/>
      <x:c r="E112" s="89"/>
      <x:c r="F112" s="89"/>
      <x:c r="G112" s="89"/>
      <x:c r="H112" s="89"/>
      <x:c r="I112" s="89"/>
      <x:c r="J112" s="89"/>
      <x:c r="K112" s="89"/>
      <x:c r="L112" s="89"/>
      <x:c r="M112" s="89"/>
      <x:c r="N112" s="89"/>
      <x:c r="O112" s="89"/>
      <x:c r="P112" s="89"/>
      <x:c r="Q112" s="89"/>
      <x:c r="R112" s="89"/>
      <x:c r="S112" s="89"/>
      <x:c r="T112" s="89"/>
      <x:c r="U112" s="89"/>
      <x:c r="V112" s="89"/>
      <x:c r="W112" s="89"/>
      <x:c r="X112" s="89"/>
      <x:c r="Y112" s="89"/>
      <x:c r="Z112" s="89"/>
    </x:row>
    <x:row r="113">
      <x:c r="A113" s="89"/>
      <x:c r="B113" s="89"/>
      <x:c r="C113" s="89"/>
      <x:c r="D113" s="89"/>
      <x:c r="E113" s="89"/>
      <x:c r="F113" s="89"/>
      <x:c r="G113" s="89"/>
      <x:c r="H113" s="89"/>
      <x:c r="I113" s="89"/>
      <x:c r="J113" s="89"/>
      <x:c r="K113" s="89"/>
      <x:c r="L113" s="89"/>
      <x:c r="M113" s="89"/>
      <x:c r="N113" s="89"/>
      <x:c r="O113" s="89"/>
      <x:c r="P113" s="89"/>
      <x:c r="Q113" s="89"/>
      <x:c r="R113" s="89"/>
      <x:c r="S113" s="89"/>
      <x:c r="T113" s="89"/>
      <x:c r="U113" s="89"/>
      <x:c r="V113" s="89"/>
      <x:c r="W113" s="89"/>
      <x:c r="X113" s="89"/>
      <x:c r="Y113" s="89"/>
      <x:c r="Z113" s="89"/>
    </x:row>
    <x:row r="114">
      <x:c r="A114" s="89"/>
      <x:c r="B114" s="89"/>
      <x:c r="C114" s="89"/>
      <x:c r="D114" s="89"/>
      <x:c r="E114" s="89"/>
      <x:c r="F114" s="89"/>
      <x:c r="G114" s="89"/>
      <x:c r="H114" s="89"/>
      <x:c r="I114" s="89"/>
      <x:c r="J114" s="89"/>
      <x:c r="K114" s="89"/>
      <x:c r="L114" s="89"/>
      <x:c r="M114" s="89"/>
      <x:c r="N114" s="89"/>
      <x:c r="O114" s="89"/>
      <x:c r="P114" s="89"/>
      <x:c r="Q114" s="89"/>
      <x:c r="R114" s="89"/>
      <x:c r="S114" s="89"/>
      <x:c r="T114" s="89"/>
      <x:c r="U114" s="89"/>
      <x:c r="V114" s="89"/>
      <x:c r="W114" s="89"/>
      <x:c r="X114" s="89"/>
      <x:c r="Y114" s="89"/>
      <x:c r="Z114" s="89"/>
    </x:row>
    <x:row r="115">
      <x:c r="A115" s="89"/>
      <x:c r="B115" s="89"/>
      <x:c r="C115" s="89"/>
      <x:c r="D115" s="89"/>
      <x:c r="E115" s="89"/>
      <x:c r="F115" s="89"/>
      <x:c r="G115" s="89"/>
      <x:c r="H115" s="89"/>
      <x:c r="I115" s="89"/>
      <x:c r="J115" s="89"/>
      <x:c r="K115" s="89"/>
      <x:c r="L115" s="89"/>
      <x:c r="M115" s="89"/>
      <x:c r="N115" s="89"/>
      <x:c r="O115" s="89"/>
      <x:c r="P115" s="89"/>
      <x:c r="Q115" s="89"/>
      <x:c r="R115" s="89"/>
      <x:c r="S115" s="89"/>
      <x:c r="T115" s="89"/>
      <x:c r="U115" s="89"/>
      <x:c r="V115" s="89"/>
      <x:c r="W115" s="89"/>
      <x:c r="X115" s="89"/>
      <x:c r="Y115" s="89"/>
      <x:c r="Z115" s="89"/>
    </x:row>
    <x:row r="116">
      <x:c r="A116" s="89"/>
      <x:c r="B116" s="89"/>
      <x:c r="C116" s="89"/>
      <x:c r="D116" s="89"/>
      <x:c r="E116" s="89"/>
      <x:c r="F116" s="89"/>
      <x:c r="G116" s="89"/>
      <x:c r="H116" s="89"/>
      <x:c r="I116" s="89"/>
      <x:c r="J116" s="89"/>
      <x:c r="K116" s="89"/>
      <x:c r="L116" s="89"/>
      <x:c r="M116" s="89"/>
      <x:c r="N116" s="89"/>
      <x:c r="O116" s="89"/>
      <x:c r="P116" s="89"/>
      <x:c r="Q116" s="89"/>
      <x:c r="R116" s="89"/>
      <x:c r="S116" s="89"/>
      <x:c r="T116" s="89"/>
      <x:c r="U116" s="89"/>
      <x:c r="V116" s="89"/>
      <x:c r="W116" s="89"/>
      <x:c r="X116" s="89"/>
      <x:c r="Y116" s="89"/>
      <x:c r="Z116" s="89"/>
    </x:row>
    <x:row r="117">
      <x:c r="A117" s="89"/>
      <x:c r="B117" s="89"/>
      <x:c r="C117" s="89"/>
      <x:c r="D117" s="89"/>
      <x:c r="E117" s="89"/>
      <x:c r="F117" s="89"/>
      <x:c r="G117" s="89"/>
      <x:c r="H117" s="89"/>
      <x:c r="I117" s="89"/>
      <x:c r="J117" s="89"/>
      <x:c r="K117" s="89"/>
      <x:c r="L117" s="89"/>
      <x:c r="M117" s="89"/>
      <x:c r="N117" s="89"/>
      <x:c r="O117" s="89"/>
      <x:c r="P117" s="89"/>
      <x:c r="Q117" s="89"/>
      <x:c r="R117" s="89"/>
      <x:c r="S117" s="89"/>
      <x:c r="T117" s="89"/>
      <x:c r="U117" s="89"/>
      <x:c r="V117" s="89"/>
      <x:c r="W117" s="89"/>
      <x:c r="X117" s="89"/>
      <x:c r="Y117" s="89"/>
      <x:c r="Z117" s="89"/>
    </x:row>
    <x:row r="118">
      <x:c r="A118" s="89"/>
      <x:c r="B118" s="89"/>
      <x:c r="C118" s="89"/>
      <x:c r="D118" s="89"/>
      <x:c r="E118" s="89"/>
      <x:c r="F118" s="89"/>
      <x:c r="G118" s="89"/>
      <x:c r="H118" s="89"/>
      <x:c r="I118" s="89"/>
      <x:c r="J118" s="89"/>
      <x:c r="K118" s="89"/>
      <x:c r="L118" s="89"/>
      <x:c r="M118" s="89"/>
      <x:c r="N118" s="89"/>
      <x:c r="O118" s="89"/>
      <x:c r="P118" s="89"/>
      <x:c r="Q118" s="89"/>
      <x:c r="R118" s="89"/>
      <x:c r="S118" s="89"/>
      <x:c r="T118" s="89"/>
      <x:c r="U118" s="89"/>
      <x:c r="V118" s="89"/>
      <x:c r="W118" s="89"/>
      <x:c r="X118" s="89"/>
      <x:c r="Y118" s="89"/>
      <x:c r="Z118" s="89"/>
    </x:row>
    <x:row r="119">
      <x:c r="A119" s="89"/>
      <x:c r="B119" s="89"/>
      <x:c r="C119" s="89"/>
      <x:c r="D119" s="89"/>
      <x:c r="E119" s="89"/>
      <x:c r="F119" s="89"/>
      <x:c r="G119" s="89"/>
      <x:c r="H119" s="89"/>
      <x:c r="I119" s="89"/>
      <x:c r="J119" s="89"/>
      <x:c r="K119" s="89"/>
      <x:c r="L119" s="89"/>
      <x:c r="M119" s="89"/>
      <x:c r="N119" s="89"/>
      <x:c r="O119" s="89"/>
      <x:c r="P119" s="89"/>
      <x:c r="Q119" s="89"/>
      <x:c r="R119" s="89"/>
      <x:c r="S119" s="89"/>
      <x:c r="T119" s="89"/>
      <x:c r="U119" s="89"/>
      <x:c r="V119" s="89"/>
      <x:c r="W119" s="89"/>
      <x:c r="X119" s="89"/>
      <x:c r="Y119" s="89"/>
      <x:c r="Z119" s="89"/>
    </x:row>
    <x:row r="120">
      <x:c r="A120" s="89"/>
      <x:c r="B120" s="89"/>
      <x:c r="C120" s="89"/>
      <x:c r="D120" s="89"/>
      <x:c r="E120" s="89"/>
      <x:c r="F120" s="89"/>
      <x:c r="G120" s="89"/>
      <x:c r="H120" s="89"/>
      <x:c r="I120" s="89"/>
      <x:c r="J120" s="89"/>
      <x:c r="K120" s="89"/>
      <x:c r="L120" s="89"/>
      <x:c r="M120" s="89"/>
      <x:c r="N120" s="89"/>
      <x:c r="O120" s="89"/>
      <x:c r="P120" s="89"/>
      <x:c r="Q120" s="89"/>
      <x:c r="R120" s="89"/>
      <x:c r="S120" s="89"/>
      <x:c r="T120" s="89"/>
      <x:c r="U120" s="89"/>
      <x:c r="V120" s="89"/>
      <x:c r="W120" s="89"/>
      <x:c r="X120" s="89"/>
      <x:c r="Y120" s="89"/>
      <x:c r="Z120" s="89"/>
    </x:row>
    <x:row r="121">
      <x:c r="A121" s="89"/>
      <x:c r="B121" s="89"/>
      <x:c r="C121" s="89"/>
      <x:c r="D121" s="89"/>
      <x:c r="E121" s="89"/>
      <x:c r="F121" s="89"/>
      <x:c r="G121" s="89"/>
      <x:c r="H121" s="89"/>
      <x:c r="I121" s="89"/>
      <x:c r="J121" s="89"/>
      <x:c r="K121" s="89"/>
      <x:c r="L121" s="89"/>
      <x:c r="M121" s="89"/>
      <x:c r="N121" s="89"/>
      <x:c r="O121" s="89"/>
      <x:c r="P121" s="89"/>
      <x:c r="Q121" s="89"/>
      <x:c r="R121" s="89"/>
      <x:c r="S121" s="89"/>
      <x:c r="T121" s="89"/>
      <x:c r="U121" s="89"/>
      <x:c r="V121" s="89"/>
      <x:c r="W121" s="89"/>
      <x:c r="X121" s="89"/>
      <x:c r="Y121" s="89"/>
      <x:c r="Z121" s="89"/>
    </x:row>
    <x:row r="122">
      <x:c r="A122" s="89"/>
      <x:c r="B122" s="89"/>
      <x:c r="C122" s="89"/>
      <x:c r="D122" s="89"/>
      <x:c r="E122" s="89"/>
      <x:c r="F122" s="89"/>
      <x:c r="G122" s="89"/>
      <x:c r="H122" s="89"/>
      <x:c r="I122" s="89"/>
      <x:c r="J122" s="89"/>
      <x:c r="K122" s="89"/>
      <x:c r="L122" s="89"/>
      <x:c r="M122" s="89"/>
      <x:c r="N122" s="89"/>
      <x:c r="O122" s="89"/>
      <x:c r="P122" s="89"/>
      <x:c r="Q122" s="89"/>
      <x:c r="R122" s="89"/>
      <x:c r="S122" s="89"/>
      <x:c r="T122" s="89"/>
      <x:c r="U122" s="89"/>
      <x:c r="V122" s="89"/>
      <x:c r="W122" s="89"/>
      <x:c r="X122" s="89"/>
      <x:c r="Y122" s="89"/>
      <x:c r="Z122" s="89"/>
    </x:row>
    <x:row r="123">
      <x:c r="A123" s="89"/>
      <x:c r="B123" s="89"/>
      <x:c r="C123" s="89"/>
      <x:c r="D123" s="89"/>
      <x:c r="E123" s="89"/>
      <x:c r="F123" s="89"/>
      <x:c r="G123" s="89"/>
      <x:c r="H123" s="89"/>
      <x:c r="I123" s="89"/>
      <x:c r="J123" s="89"/>
      <x:c r="K123" s="89"/>
      <x:c r="L123" s="89"/>
      <x:c r="M123" s="89"/>
      <x:c r="N123" s="89"/>
      <x:c r="O123" s="89"/>
      <x:c r="P123" s="89"/>
      <x:c r="Q123" s="89"/>
      <x:c r="R123" s="89"/>
      <x:c r="S123" s="89"/>
      <x:c r="T123" s="89"/>
      <x:c r="U123" s="89"/>
      <x:c r="V123" s="89"/>
      <x:c r="W123" s="89"/>
      <x:c r="X123" s="89"/>
      <x:c r="Y123" s="89"/>
      <x:c r="Z123" s="89"/>
    </x:row>
    <x:row r="124">
      <x:c r="A124" s="89"/>
      <x:c r="B124" s="89"/>
      <x:c r="C124" s="89"/>
      <x:c r="D124" s="89"/>
      <x:c r="E124" s="89"/>
      <x:c r="F124" s="89"/>
      <x:c r="G124" s="89"/>
      <x:c r="H124" s="89"/>
      <x:c r="I124" s="89"/>
      <x:c r="J124" s="89"/>
      <x:c r="K124" s="89"/>
      <x:c r="L124" s="89"/>
      <x:c r="M124" s="89"/>
      <x:c r="N124" s="89"/>
      <x:c r="O124" s="89"/>
      <x:c r="P124" s="89"/>
      <x:c r="Q124" s="89"/>
      <x:c r="R124" s="89"/>
      <x:c r="S124" s="89"/>
      <x:c r="T124" s="89"/>
      <x:c r="U124" s="89"/>
      <x:c r="V124" s="89"/>
      <x:c r="W124" s="89"/>
      <x:c r="X124" s="89"/>
      <x:c r="Y124" s="89"/>
      <x:c r="Z124" s="89"/>
    </x:row>
    <x:row r="125">
      <x:c r="A125" s="89"/>
      <x:c r="B125" s="89"/>
      <x:c r="C125" s="89"/>
      <x:c r="D125" s="89"/>
      <x:c r="E125" s="89"/>
      <x:c r="F125" s="89"/>
      <x:c r="G125" s="89"/>
      <x:c r="H125" s="89"/>
      <x:c r="I125" s="89"/>
      <x:c r="J125" s="89"/>
      <x:c r="K125" s="89"/>
      <x:c r="L125" s="89"/>
      <x:c r="M125" s="89"/>
      <x:c r="N125" s="89"/>
      <x:c r="O125" s="89"/>
      <x:c r="P125" s="89"/>
      <x:c r="Q125" s="89"/>
      <x:c r="R125" s="89"/>
      <x:c r="S125" s="89"/>
      <x:c r="T125" s="89"/>
      <x:c r="U125" s="89"/>
      <x:c r="V125" s="89"/>
      <x:c r="W125" s="89"/>
      <x:c r="X125" s="89"/>
      <x:c r="Y125" s="89"/>
      <x:c r="Z125" s="89"/>
    </x:row>
    <x:row r="126">
      <x:c r="A126" s="89"/>
      <x:c r="B126" s="89"/>
      <x:c r="C126" s="89"/>
      <x:c r="D126" s="89"/>
      <x:c r="E126" s="89"/>
      <x:c r="F126" s="89"/>
      <x:c r="G126" s="89"/>
      <x:c r="H126" s="89"/>
      <x:c r="I126" s="89"/>
      <x:c r="J126" s="89"/>
      <x:c r="K126" s="89"/>
      <x:c r="L126" s="89"/>
      <x:c r="M126" s="89"/>
      <x:c r="N126" s="89"/>
      <x:c r="O126" s="89"/>
      <x:c r="P126" s="89"/>
      <x:c r="Q126" s="89"/>
      <x:c r="R126" s="89"/>
      <x:c r="S126" s="89"/>
      <x:c r="T126" s="89"/>
      <x:c r="U126" s="89"/>
      <x:c r="V126" s="89"/>
      <x:c r="W126" s="89"/>
      <x:c r="X126" s="89"/>
      <x:c r="Y126" s="89"/>
      <x:c r="Z126" s="89"/>
    </x:row>
    <x:row r="127">
      <x:c r="A127" s="89"/>
      <x:c r="B127" s="89"/>
      <x:c r="C127" s="89"/>
      <x:c r="D127" s="89"/>
      <x:c r="E127" s="89"/>
      <x:c r="F127" s="89"/>
      <x:c r="G127" s="89"/>
      <x:c r="H127" s="89"/>
      <x:c r="I127" s="89"/>
      <x:c r="J127" s="89"/>
      <x:c r="K127" s="89"/>
      <x:c r="L127" s="89"/>
      <x:c r="M127" s="89"/>
      <x:c r="N127" s="89"/>
      <x:c r="O127" s="89"/>
      <x:c r="P127" s="89"/>
      <x:c r="Q127" s="89"/>
      <x:c r="R127" s="89"/>
      <x:c r="S127" s="89"/>
      <x:c r="T127" s="89"/>
      <x:c r="U127" s="89"/>
      <x:c r="V127" s="89"/>
      <x:c r="W127" s="89"/>
      <x:c r="X127" s="89"/>
      <x:c r="Y127" s="89"/>
      <x:c r="Z127" s="89"/>
    </x:row>
    <x:row r="128">
      <x:c r="A128" s="89"/>
      <x:c r="B128" s="89"/>
      <x:c r="C128" s="89"/>
      <x:c r="D128" s="89"/>
      <x:c r="E128" s="89"/>
      <x:c r="F128" s="89"/>
      <x:c r="G128" s="89"/>
      <x:c r="H128" s="89"/>
      <x:c r="I128" s="89"/>
      <x:c r="J128" s="89"/>
      <x:c r="K128" s="89"/>
      <x:c r="L128" s="89"/>
      <x:c r="M128" s="89"/>
      <x:c r="N128" s="89"/>
      <x:c r="O128" s="89"/>
      <x:c r="P128" s="89"/>
      <x:c r="Q128" s="89"/>
      <x:c r="R128" s="89"/>
      <x:c r="S128" s="89"/>
      <x:c r="T128" s="89"/>
      <x:c r="U128" s="89"/>
      <x:c r="V128" s="89"/>
      <x:c r="W128" s="89"/>
      <x:c r="X128" s="89"/>
      <x:c r="Y128" s="89"/>
      <x:c r="Z128" s="89"/>
    </x:row>
    <x:row r="129">
      <x:c r="A129" s="89"/>
      <x:c r="B129" s="89"/>
      <x:c r="C129" s="89"/>
      <x:c r="D129" s="89"/>
      <x:c r="E129" s="89"/>
      <x:c r="F129" s="89"/>
      <x:c r="G129" s="89"/>
      <x:c r="H129" s="89"/>
      <x:c r="I129" s="89"/>
      <x:c r="J129" s="89"/>
      <x:c r="K129" s="89"/>
      <x:c r="L129" s="89"/>
      <x:c r="M129" s="89"/>
      <x:c r="N129" s="89"/>
      <x:c r="O129" s="89"/>
      <x:c r="P129" s="89"/>
      <x:c r="Q129" s="89"/>
      <x:c r="R129" s="89"/>
      <x:c r="S129" s="89"/>
      <x:c r="T129" s="89"/>
      <x:c r="U129" s="89"/>
      <x:c r="V129" s="89"/>
      <x:c r="W129" s="89"/>
      <x:c r="X129" s="89"/>
      <x:c r="Y129" s="89"/>
      <x:c r="Z129" s="89"/>
    </x:row>
    <x:row r="130">
      <x:c r="A130" s="89"/>
      <x:c r="B130" s="89"/>
      <x:c r="C130" s="89"/>
      <x:c r="D130" s="89"/>
      <x:c r="E130" s="89"/>
      <x:c r="F130" s="89"/>
      <x:c r="G130" s="89"/>
      <x:c r="H130" s="89"/>
      <x:c r="I130" s="89"/>
      <x:c r="J130" s="89"/>
      <x:c r="K130" s="89"/>
      <x:c r="L130" s="89"/>
      <x:c r="M130" s="89"/>
      <x:c r="N130" s="89"/>
      <x:c r="O130" s="89"/>
      <x:c r="P130" s="89"/>
      <x:c r="Q130" s="89"/>
      <x:c r="R130" s="89"/>
      <x:c r="S130" s="89"/>
      <x:c r="T130" s="89"/>
      <x:c r="U130" s="89"/>
      <x:c r="V130" s="89"/>
      <x:c r="W130" s="89"/>
      <x:c r="X130" s="89"/>
      <x:c r="Y130" s="89"/>
      <x:c r="Z130" s="89"/>
    </x:row>
    <x:row r="131">
      <x:c r="A131" s="89"/>
      <x:c r="B131" s="89"/>
      <x:c r="C131" s="89"/>
      <x:c r="D131" s="89"/>
      <x:c r="E131" s="89"/>
      <x:c r="F131" s="89"/>
      <x:c r="G131" s="89"/>
      <x:c r="H131" s="89"/>
      <x:c r="I131" s="89"/>
      <x:c r="J131" s="89"/>
      <x:c r="K131" s="89"/>
      <x:c r="L131" s="89"/>
      <x:c r="M131" s="89"/>
      <x:c r="N131" s="89"/>
      <x:c r="O131" s="89"/>
      <x:c r="P131" s="89"/>
      <x:c r="Q131" s="89"/>
      <x:c r="R131" s="89"/>
      <x:c r="S131" s="89"/>
      <x:c r="T131" s="89"/>
      <x:c r="U131" s="89"/>
      <x:c r="V131" s="89"/>
      <x:c r="W131" s="89"/>
      <x:c r="X131" s="89"/>
      <x:c r="Y131" s="89"/>
      <x:c r="Z131" s="89"/>
    </x:row>
    <x:row r="132">
      <x:c r="A132" s="89"/>
      <x:c r="B132" s="89"/>
      <x:c r="C132" s="89"/>
      <x:c r="D132" s="89"/>
      <x:c r="E132" s="89"/>
      <x:c r="F132" s="89"/>
      <x:c r="G132" s="89"/>
      <x:c r="H132" s="89"/>
      <x:c r="I132" s="89"/>
      <x:c r="J132" s="89"/>
      <x:c r="K132" s="89"/>
      <x:c r="L132" s="89"/>
      <x:c r="M132" s="89"/>
      <x:c r="N132" s="89"/>
      <x:c r="O132" s="89"/>
      <x:c r="P132" s="89"/>
      <x:c r="Q132" s="89"/>
      <x:c r="R132" s="89"/>
      <x:c r="S132" s="89"/>
      <x:c r="T132" s="89"/>
      <x:c r="U132" s="89"/>
      <x:c r="V132" s="89"/>
      <x:c r="W132" s="89"/>
      <x:c r="X132" s="89"/>
      <x:c r="Y132" s="89"/>
      <x:c r="Z132" s="89"/>
    </x:row>
    <x:row r="133">
      <x:c r="A133" s="89"/>
      <x:c r="B133" s="89"/>
      <x:c r="C133" s="89"/>
      <x:c r="D133" s="89"/>
      <x:c r="E133" s="89"/>
      <x:c r="F133" s="89"/>
      <x:c r="G133" s="89"/>
      <x:c r="H133" s="89"/>
      <x:c r="I133" s="89"/>
      <x:c r="J133" s="89"/>
      <x:c r="K133" s="89"/>
      <x:c r="L133" s="89"/>
      <x:c r="M133" s="89"/>
      <x:c r="N133" s="89"/>
      <x:c r="O133" s="89"/>
      <x:c r="P133" s="89"/>
      <x:c r="Q133" s="89"/>
      <x:c r="R133" s="89"/>
      <x:c r="S133" s="89"/>
      <x:c r="T133" s="89"/>
      <x:c r="U133" s="89"/>
      <x:c r="V133" s="89"/>
      <x:c r="W133" s="89"/>
      <x:c r="X133" s="89"/>
      <x:c r="Y133" s="89"/>
      <x:c r="Z133" s="89"/>
    </x:row>
    <x:row r="134">
      <x:c r="A134" s="89"/>
      <x:c r="B134" s="89"/>
      <x:c r="C134" s="89"/>
      <x:c r="D134" s="89"/>
      <x:c r="E134" s="89"/>
      <x:c r="F134" s="89"/>
      <x:c r="G134" s="89"/>
      <x:c r="H134" s="89"/>
      <x:c r="I134" s="89"/>
      <x:c r="J134" s="89"/>
      <x:c r="K134" s="89"/>
      <x:c r="L134" s="89"/>
      <x:c r="M134" s="89"/>
      <x:c r="N134" s="89"/>
      <x:c r="O134" s="89"/>
      <x:c r="P134" s="89"/>
      <x:c r="Q134" s="89"/>
      <x:c r="R134" s="89"/>
      <x:c r="S134" s="89"/>
      <x:c r="T134" s="89"/>
      <x:c r="U134" s="89"/>
      <x:c r="V134" s="89"/>
      <x:c r="W134" s="89"/>
      <x:c r="X134" s="89"/>
      <x:c r="Y134" s="89"/>
      <x:c r="Z134" s="89"/>
    </x:row>
    <x:row r="135">
      <x:c r="A135" s="89"/>
      <x:c r="B135" s="89"/>
      <x:c r="C135" s="89"/>
      <x:c r="D135" s="89"/>
      <x:c r="E135" s="89"/>
      <x:c r="F135" s="89"/>
      <x:c r="G135" s="89"/>
      <x:c r="H135" s="89"/>
      <x:c r="I135" s="89"/>
      <x:c r="J135" s="89"/>
      <x:c r="K135" s="89"/>
      <x:c r="L135" s="89"/>
      <x:c r="M135" s="89"/>
      <x:c r="N135" s="89"/>
      <x:c r="O135" s="89"/>
      <x:c r="P135" s="89"/>
      <x:c r="Q135" s="89"/>
      <x:c r="R135" s="89"/>
      <x:c r="S135" s="89"/>
      <x:c r="T135" s="89"/>
      <x:c r="U135" s="89"/>
      <x:c r="V135" s="89"/>
      <x:c r="W135" s="89"/>
      <x:c r="X135" s="89"/>
      <x:c r="Y135" s="89"/>
      <x:c r="Z135" s="89"/>
    </x:row>
    <x:row r="136">
      <x:c r="A136" s="89"/>
      <x:c r="B136" s="89"/>
      <x:c r="C136" s="89"/>
      <x:c r="D136" s="89"/>
      <x:c r="E136" s="89"/>
      <x:c r="F136" s="89"/>
      <x:c r="G136" s="89"/>
      <x:c r="H136" s="89"/>
      <x:c r="I136" s="89"/>
      <x:c r="J136" s="89"/>
      <x:c r="K136" s="89"/>
      <x:c r="L136" s="89"/>
      <x:c r="M136" s="89"/>
      <x:c r="N136" s="89"/>
      <x:c r="O136" s="89"/>
      <x:c r="P136" s="89"/>
      <x:c r="Q136" s="89"/>
      <x:c r="R136" s="89"/>
      <x:c r="S136" s="89"/>
      <x:c r="T136" s="89"/>
      <x:c r="U136" s="89"/>
      <x:c r="V136" s="89"/>
      <x:c r="W136" s="89"/>
      <x:c r="X136" s="89"/>
      <x:c r="Y136" s="89"/>
      <x:c r="Z136" s="89"/>
    </x:row>
    <x:row r="137">
      <x:c r="A137" s="89"/>
      <x:c r="B137" s="89"/>
      <x:c r="C137" s="89"/>
      <x:c r="D137" s="89"/>
      <x:c r="E137" s="89"/>
      <x:c r="F137" s="89"/>
      <x:c r="G137" s="89"/>
      <x:c r="H137" s="89"/>
      <x:c r="I137" s="89"/>
      <x:c r="J137" s="89"/>
      <x:c r="K137" s="89"/>
      <x:c r="L137" s="89"/>
      <x:c r="M137" s="89"/>
      <x:c r="N137" s="89"/>
      <x:c r="O137" s="89"/>
      <x:c r="P137" s="89"/>
      <x:c r="Q137" s="89"/>
      <x:c r="R137" s="89"/>
      <x:c r="S137" s="89"/>
      <x:c r="T137" s="89"/>
      <x:c r="U137" s="89"/>
      <x:c r="V137" s="89"/>
      <x:c r="W137" s="89"/>
      <x:c r="X137" s="89"/>
      <x:c r="Y137" s="89"/>
      <x:c r="Z137" s="89"/>
    </x:row>
    <x:row r="138">
      <x:c r="A138" s="89"/>
      <x:c r="B138" s="89"/>
      <x:c r="C138" s="89"/>
      <x:c r="D138" s="89"/>
      <x:c r="E138" s="89"/>
      <x:c r="F138" s="89"/>
      <x:c r="G138" s="89"/>
      <x:c r="H138" s="89"/>
      <x:c r="I138" s="89"/>
      <x:c r="J138" s="89"/>
      <x:c r="K138" s="89"/>
      <x:c r="L138" s="89"/>
      <x:c r="M138" s="89"/>
      <x:c r="N138" s="89"/>
      <x:c r="O138" s="89"/>
      <x:c r="P138" s="89"/>
      <x:c r="Q138" s="89"/>
      <x:c r="R138" s="89"/>
      <x:c r="S138" s="89"/>
      <x:c r="T138" s="89"/>
      <x:c r="U138" s="89"/>
      <x:c r="V138" s="89"/>
      <x:c r="W138" s="89"/>
      <x:c r="X138" s="89"/>
      <x:c r="Y138" s="89"/>
      <x:c r="Z138" s="89"/>
    </x:row>
    <x:row r="139">
      <x:c r="A139" s="89"/>
      <x:c r="B139" s="89"/>
      <x:c r="C139" s="89"/>
      <x:c r="D139" s="89"/>
      <x:c r="E139" s="89"/>
      <x:c r="F139" s="89"/>
      <x:c r="G139" s="89"/>
      <x:c r="H139" s="89"/>
      <x:c r="I139" s="89"/>
      <x:c r="J139" s="89"/>
      <x:c r="K139" s="89"/>
      <x:c r="L139" s="89"/>
      <x:c r="M139" s="89"/>
      <x:c r="N139" s="89"/>
      <x:c r="O139" s="89"/>
      <x:c r="P139" s="89"/>
      <x:c r="Q139" s="89"/>
      <x:c r="R139" s="89"/>
      <x:c r="S139" s="89"/>
      <x:c r="T139" s="89"/>
      <x:c r="U139" s="89"/>
      <x:c r="V139" s="89"/>
      <x:c r="W139" s="89"/>
      <x:c r="X139" s="89"/>
      <x:c r="Y139" s="89"/>
      <x:c r="Z139" s="89"/>
    </x:row>
    <x:row r="140">
      <x:c r="A140" s="89"/>
      <x:c r="B140" s="89"/>
      <x:c r="C140" s="89"/>
      <x:c r="D140" s="89"/>
      <x:c r="E140" s="89"/>
      <x:c r="F140" s="89"/>
      <x:c r="G140" s="89"/>
      <x:c r="H140" s="89"/>
      <x:c r="I140" s="89"/>
      <x:c r="J140" s="89"/>
      <x:c r="K140" s="89"/>
      <x:c r="L140" s="89"/>
      <x:c r="M140" s="89"/>
      <x:c r="N140" s="89"/>
      <x:c r="O140" s="89"/>
      <x:c r="P140" s="89"/>
      <x:c r="Q140" s="89"/>
      <x:c r="R140" s="89"/>
      <x:c r="S140" s="89"/>
      <x:c r="T140" s="89"/>
      <x:c r="U140" s="89"/>
      <x:c r="V140" s="89"/>
      <x:c r="W140" s="89"/>
      <x:c r="X140" s="89"/>
      <x:c r="Y140" s="89"/>
      <x:c r="Z140" s="89"/>
    </x:row>
    <x:row r="141">
      <x:c r="A141" s="89"/>
      <x:c r="B141" s="89"/>
      <x:c r="C141" s="89"/>
      <x:c r="D141" s="89"/>
      <x:c r="E141" s="89"/>
      <x:c r="F141" s="89"/>
      <x:c r="G141" s="89"/>
      <x:c r="H141" s="89"/>
      <x:c r="I141" s="89"/>
      <x:c r="J141" s="89"/>
      <x:c r="K141" s="89"/>
      <x:c r="L141" s="89"/>
      <x:c r="M141" s="89"/>
      <x:c r="N141" s="89"/>
      <x:c r="O141" s="89"/>
      <x:c r="P141" s="89"/>
      <x:c r="Q141" s="89"/>
      <x:c r="R141" s="89"/>
      <x:c r="S141" s="89"/>
      <x:c r="T141" s="89"/>
      <x:c r="U141" s="89"/>
      <x:c r="V141" s="89"/>
      <x:c r="W141" s="89"/>
      <x:c r="X141" s="89"/>
      <x:c r="Y141" s="89"/>
      <x:c r="Z141" s="89"/>
    </x:row>
    <x:row r="142">
      <x:c r="A142" s="89"/>
      <x:c r="B142" s="89"/>
      <x:c r="C142" s="89"/>
      <x:c r="D142" s="89"/>
      <x:c r="E142" s="89"/>
      <x:c r="F142" s="89"/>
      <x:c r="G142" s="89"/>
      <x:c r="H142" s="89"/>
      <x:c r="I142" s="89"/>
      <x:c r="J142" s="89"/>
      <x:c r="K142" s="89"/>
      <x:c r="L142" s="89"/>
      <x:c r="M142" s="89"/>
      <x:c r="N142" s="89"/>
      <x:c r="O142" s="89"/>
      <x:c r="P142" s="89"/>
      <x:c r="Q142" s="89"/>
      <x:c r="R142" s="89"/>
      <x:c r="S142" s="89"/>
      <x:c r="T142" s="89"/>
      <x:c r="U142" s="89"/>
      <x:c r="V142" s="89"/>
      <x:c r="W142" s="89"/>
      <x:c r="X142" s="89"/>
      <x:c r="Y142" s="89"/>
      <x:c r="Z142" s="89"/>
    </x:row>
    <x:row r="143">
      <x:c r="A143" s="89"/>
      <x:c r="B143" s="89"/>
      <x:c r="C143" s="89"/>
      <x:c r="D143" s="89"/>
      <x:c r="E143" s="89"/>
      <x:c r="F143" s="89"/>
      <x:c r="G143" s="89"/>
      <x:c r="H143" s="89"/>
      <x:c r="I143" s="89"/>
      <x:c r="J143" s="89"/>
      <x:c r="K143" s="89"/>
      <x:c r="L143" s="89"/>
      <x:c r="M143" s="89"/>
      <x:c r="N143" s="89"/>
      <x:c r="O143" s="89"/>
      <x:c r="P143" s="89"/>
      <x:c r="Q143" s="89"/>
      <x:c r="R143" s="89"/>
      <x:c r="S143" s="89"/>
      <x:c r="T143" s="89"/>
      <x:c r="U143" s="89"/>
      <x:c r="V143" s="89"/>
      <x:c r="W143" s="89"/>
      <x:c r="X143" s="89"/>
      <x:c r="Y143" s="89"/>
      <x:c r="Z143" s="89"/>
    </x:row>
    <x:row r="144">
      <x:c r="A144" s="89"/>
      <x:c r="B144" s="89"/>
      <x:c r="C144" s="89"/>
      <x:c r="D144" s="89"/>
      <x:c r="E144" s="89"/>
      <x:c r="F144" s="89"/>
      <x:c r="G144" s="89"/>
      <x:c r="H144" s="89"/>
      <x:c r="I144" s="89"/>
      <x:c r="J144" s="89"/>
      <x:c r="K144" s="89"/>
      <x:c r="L144" s="89"/>
      <x:c r="M144" s="89"/>
      <x:c r="N144" s="89"/>
      <x:c r="O144" s="89"/>
      <x:c r="P144" s="89"/>
      <x:c r="Q144" s="89"/>
      <x:c r="R144" s="89"/>
      <x:c r="S144" s="89"/>
      <x:c r="T144" s="89"/>
      <x:c r="U144" s="89"/>
      <x:c r="V144" s="89"/>
      <x:c r="W144" s="89"/>
      <x:c r="X144" s="89"/>
      <x:c r="Y144" s="89"/>
      <x:c r="Z144" s="89"/>
    </x:row>
    <x:row r="145">
      <x:c r="A145" s="89"/>
      <x:c r="B145" s="89"/>
      <x:c r="C145" s="89"/>
      <x:c r="D145" s="89"/>
      <x:c r="E145" s="89"/>
      <x:c r="F145" s="89"/>
      <x:c r="G145" s="89"/>
      <x:c r="H145" s="89"/>
      <x:c r="I145" s="89"/>
      <x:c r="J145" s="89"/>
      <x:c r="K145" s="89"/>
      <x:c r="L145" s="89"/>
      <x:c r="M145" s="89"/>
      <x:c r="N145" s="89"/>
      <x:c r="O145" s="89"/>
      <x:c r="P145" s="89"/>
      <x:c r="Q145" s="89"/>
      <x:c r="R145" s="89"/>
      <x:c r="S145" s="89"/>
      <x:c r="T145" s="89"/>
      <x:c r="U145" s="89"/>
      <x:c r="V145" s="89"/>
      <x:c r="W145" s="89"/>
      <x:c r="X145" s="89"/>
      <x:c r="Y145" s="89"/>
      <x:c r="Z145" s="89"/>
    </x:row>
    <x:row r="146">
      <x:c r="A146" s="89"/>
      <x:c r="B146" s="89"/>
      <x:c r="C146" s="89"/>
      <x:c r="D146" s="89"/>
      <x:c r="E146" s="89"/>
      <x:c r="F146" s="89"/>
      <x:c r="G146" s="89"/>
      <x:c r="H146" s="89"/>
      <x:c r="I146" s="89"/>
      <x:c r="J146" s="89"/>
      <x:c r="K146" s="89"/>
      <x:c r="L146" s="89"/>
      <x:c r="M146" s="89"/>
      <x:c r="N146" s="89"/>
      <x:c r="O146" s="89"/>
      <x:c r="P146" s="89"/>
      <x:c r="Q146" s="89"/>
      <x:c r="R146" s="89"/>
      <x:c r="S146" s="89"/>
      <x:c r="T146" s="89"/>
      <x:c r="U146" s="89"/>
      <x:c r="V146" s="89"/>
      <x:c r="W146" s="89"/>
      <x:c r="X146" s="89"/>
      <x:c r="Y146" s="89"/>
      <x:c r="Z146" s="89"/>
    </x:row>
    <x:row r="147">
      <x:c r="A147" s="89"/>
      <x:c r="B147" s="89"/>
      <x:c r="C147" s="89"/>
      <x:c r="D147" s="89"/>
      <x:c r="E147" s="89"/>
      <x:c r="F147" s="89"/>
      <x:c r="G147" s="89"/>
      <x:c r="H147" s="89"/>
      <x:c r="I147" s="89"/>
      <x:c r="J147" s="89"/>
      <x:c r="K147" s="89"/>
      <x:c r="L147" s="89"/>
      <x:c r="M147" s="89"/>
      <x:c r="N147" s="89"/>
      <x:c r="O147" s="89"/>
      <x:c r="P147" s="89"/>
      <x:c r="Q147" s="89"/>
      <x:c r="R147" s="89"/>
      <x:c r="S147" s="89"/>
      <x:c r="T147" s="89"/>
      <x:c r="U147" s="89"/>
      <x:c r="V147" s="89"/>
      <x:c r="W147" s="89"/>
      <x:c r="X147" s="89"/>
      <x:c r="Y147" s="89"/>
      <x:c r="Z147" s="89"/>
    </x:row>
    <x:row r="148">
      <x:c r="A148" s="89"/>
      <x:c r="B148" s="89"/>
      <x:c r="C148" s="89"/>
      <x:c r="D148" s="89"/>
      <x:c r="E148" s="89"/>
      <x:c r="F148" s="89"/>
      <x:c r="G148" s="89"/>
      <x:c r="H148" s="89"/>
      <x:c r="I148" s="89"/>
      <x:c r="J148" s="89"/>
      <x:c r="K148" s="89"/>
      <x:c r="L148" s="89"/>
      <x:c r="M148" s="89"/>
      <x:c r="N148" s="89"/>
      <x:c r="O148" s="89"/>
      <x:c r="P148" s="89"/>
      <x:c r="Q148" s="89"/>
      <x:c r="R148" s="89"/>
      <x:c r="S148" s="89"/>
      <x:c r="T148" s="89"/>
      <x:c r="U148" s="89"/>
      <x:c r="V148" s="89"/>
      <x:c r="W148" s="89"/>
      <x:c r="X148" s="89"/>
      <x:c r="Y148" s="89"/>
      <x:c r="Z148" s="89"/>
    </x:row>
    <x:row r="149">
      <x:c r="A149" s="89"/>
      <x:c r="B149" s="89"/>
      <x:c r="C149" s="89"/>
      <x:c r="D149" s="89"/>
      <x:c r="E149" s="89"/>
      <x:c r="F149" s="89"/>
      <x:c r="G149" s="89"/>
      <x:c r="H149" s="89"/>
      <x:c r="I149" s="89"/>
      <x:c r="J149" s="89"/>
      <x:c r="K149" s="89"/>
      <x:c r="L149" s="89"/>
      <x:c r="M149" s="89"/>
      <x:c r="N149" s="89"/>
      <x:c r="O149" s="89"/>
      <x:c r="P149" s="89"/>
      <x:c r="Q149" s="89"/>
      <x:c r="R149" s="89"/>
      <x:c r="S149" s="89"/>
      <x:c r="T149" s="89"/>
      <x:c r="U149" s="89"/>
      <x:c r="V149" s="89"/>
      <x:c r="W149" s="89"/>
      <x:c r="X149" s="89"/>
      <x:c r="Y149" s="89"/>
      <x:c r="Z149" s="89"/>
    </x:row>
    <x:row r="150">
      <x:c r="A150" s="89"/>
      <x:c r="B150" s="89"/>
      <x:c r="C150" s="89"/>
      <x:c r="D150" s="89"/>
      <x:c r="E150" s="89"/>
      <x:c r="F150" s="89"/>
      <x:c r="G150" s="89"/>
      <x:c r="H150" s="89"/>
      <x:c r="I150" s="89"/>
      <x:c r="J150" s="89"/>
      <x:c r="K150" s="89"/>
      <x:c r="L150" s="89"/>
      <x:c r="M150" s="89"/>
      <x:c r="N150" s="89"/>
      <x:c r="O150" s="89"/>
      <x:c r="P150" s="89"/>
      <x:c r="Q150" s="89"/>
      <x:c r="R150" s="89"/>
      <x:c r="S150" s="89"/>
      <x:c r="T150" s="89"/>
      <x:c r="U150" s="89"/>
      <x:c r="V150" s="89"/>
      <x:c r="W150" s="89"/>
      <x:c r="X150" s="89"/>
      <x:c r="Y150" s="89"/>
      <x:c r="Z150" s="89"/>
    </x:row>
    <x:row r="151">
      <x:c r="A151" s="89"/>
      <x:c r="B151" s="89"/>
      <x:c r="C151" s="89"/>
      <x:c r="D151" s="89"/>
      <x:c r="E151" s="89"/>
      <x:c r="F151" s="89"/>
      <x:c r="G151" s="89"/>
      <x:c r="H151" s="89"/>
      <x:c r="I151" s="89"/>
      <x:c r="J151" s="89"/>
      <x:c r="K151" s="89"/>
      <x:c r="L151" s="89"/>
      <x:c r="M151" s="89"/>
      <x:c r="N151" s="89"/>
      <x:c r="O151" s="89"/>
      <x:c r="P151" s="89"/>
      <x:c r="Q151" s="89"/>
      <x:c r="R151" s="89"/>
      <x:c r="S151" s="89"/>
      <x:c r="T151" s="89"/>
      <x:c r="U151" s="89"/>
      <x:c r="V151" s="89"/>
      <x:c r="W151" s="89"/>
      <x:c r="X151" s="89"/>
      <x:c r="Y151" s="89"/>
      <x:c r="Z151" s="89"/>
    </x:row>
    <x:row r="152">
      <x:c r="A152" s="89"/>
      <x:c r="B152" s="89"/>
      <x:c r="C152" s="89"/>
      <x:c r="D152" s="89"/>
      <x:c r="E152" s="89"/>
      <x:c r="F152" s="89"/>
      <x:c r="G152" s="89"/>
      <x:c r="H152" s="89"/>
      <x:c r="I152" s="89"/>
      <x:c r="J152" s="89"/>
      <x:c r="K152" s="89"/>
      <x:c r="L152" s="89"/>
      <x:c r="M152" s="89"/>
      <x:c r="N152" s="89"/>
      <x:c r="O152" s="89"/>
      <x:c r="P152" s="89"/>
      <x:c r="Q152" s="89"/>
      <x:c r="R152" s="89"/>
      <x:c r="S152" s="89"/>
      <x:c r="T152" s="89"/>
      <x:c r="U152" s="89"/>
      <x:c r="V152" s="89"/>
      <x:c r="W152" s="89"/>
      <x:c r="X152" s="89"/>
      <x:c r="Y152" s="89"/>
      <x:c r="Z152" s="89"/>
    </x:row>
    <x:row r="153">
      <x:c r="A153" s="89"/>
      <x:c r="B153" s="89"/>
      <x:c r="C153" s="89"/>
      <x:c r="D153" s="89"/>
      <x:c r="E153" s="89"/>
      <x:c r="F153" s="89"/>
      <x:c r="G153" s="89"/>
      <x:c r="H153" s="89"/>
      <x:c r="I153" s="89"/>
      <x:c r="J153" s="89"/>
      <x:c r="K153" s="89"/>
      <x:c r="L153" s="89"/>
      <x:c r="M153" s="89"/>
      <x:c r="N153" s="89"/>
      <x:c r="O153" s="89"/>
      <x:c r="P153" s="89"/>
      <x:c r="Q153" s="89"/>
      <x:c r="R153" s="89"/>
      <x:c r="S153" s="89"/>
      <x:c r="T153" s="89"/>
      <x:c r="U153" s="89"/>
      <x:c r="V153" s="89"/>
      <x:c r="W153" s="89"/>
      <x:c r="X153" s="89"/>
      <x:c r="Y153" s="89"/>
      <x:c r="Z153" s="89"/>
    </x:row>
    <x:row r="154">
      <x:c r="A154" s="89"/>
      <x:c r="B154" s="89"/>
      <x:c r="C154" s="89"/>
      <x:c r="D154" s="89"/>
      <x:c r="E154" s="89"/>
      <x:c r="F154" s="89"/>
      <x:c r="G154" s="89"/>
      <x:c r="H154" s="89"/>
      <x:c r="I154" s="89"/>
      <x:c r="J154" s="89"/>
      <x:c r="K154" s="89"/>
      <x:c r="L154" s="89"/>
      <x:c r="M154" s="89"/>
      <x:c r="N154" s="89"/>
      <x:c r="O154" s="89"/>
      <x:c r="P154" s="89"/>
      <x:c r="Q154" s="89"/>
      <x:c r="R154" s="89"/>
      <x:c r="S154" s="89"/>
      <x:c r="T154" s="89"/>
      <x:c r="U154" s="89"/>
      <x:c r="V154" s="89"/>
      <x:c r="W154" s="89"/>
      <x:c r="X154" s="89"/>
      <x:c r="Y154" s="89"/>
      <x:c r="Z154" s="89"/>
    </x:row>
    <x:row r="155">
      <x:c r="A155" s="89"/>
      <x:c r="B155" s="89"/>
      <x:c r="C155" s="89"/>
      <x:c r="D155" s="89"/>
      <x:c r="E155" s="89"/>
      <x:c r="F155" s="89"/>
      <x:c r="G155" s="89"/>
      <x:c r="H155" s="89"/>
      <x:c r="I155" s="89"/>
      <x:c r="J155" s="89"/>
      <x:c r="K155" s="89"/>
      <x:c r="L155" s="89"/>
      <x:c r="M155" s="89"/>
      <x:c r="N155" s="89"/>
      <x:c r="O155" s="89"/>
      <x:c r="P155" s="89"/>
      <x:c r="Q155" s="89"/>
      <x:c r="R155" s="89"/>
      <x:c r="S155" s="89"/>
      <x:c r="T155" s="89"/>
      <x:c r="U155" s="89"/>
      <x:c r="V155" s="89"/>
      <x:c r="W155" s="89"/>
      <x:c r="X155" s="89"/>
      <x:c r="Y155" s="89"/>
      <x:c r="Z155" s="89"/>
    </x:row>
    <x:row r="156">
      <x:c r="A156" s="89"/>
      <x:c r="B156" s="89"/>
      <x:c r="C156" s="89"/>
      <x:c r="D156" s="89"/>
      <x:c r="E156" s="89"/>
      <x:c r="F156" s="89"/>
      <x:c r="G156" s="89"/>
      <x:c r="H156" s="89"/>
      <x:c r="I156" s="89"/>
      <x:c r="J156" s="89"/>
      <x:c r="K156" s="89"/>
      <x:c r="L156" s="89"/>
      <x:c r="M156" s="89"/>
      <x:c r="N156" s="89"/>
      <x:c r="O156" s="89"/>
      <x:c r="P156" s="89"/>
      <x:c r="Q156" s="89"/>
      <x:c r="R156" s="89"/>
      <x:c r="S156" s="89"/>
      <x:c r="T156" s="89"/>
      <x:c r="U156" s="89"/>
      <x:c r="V156" s="89"/>
      <x:c r="W156" s="89"/>
      <x:c r="X156" s="89"/>
      <x:c r="Y156" s="89"/>
      <x:c r="Z156" s="89"/>
    </x:row>
    <x:row r="157">
      <x:c r="A157" s="89"/>
      <x:c r="B157" s="89"/>
      <x:c r="C157" s="89"/>
      <x:c r="D157" s="89"/>
      <x:c r="E157" s="89"/>
      <x:c r="F157" s="89"/>
      <x:c r="G157" s="89"/>
      <x:c r="H157" s="89"/>
      <x:c r="I157" s="89"/>
      <x:c r="J157" s="89"/>
      <x:c r="K157" s="89"/>
      <x:c r="L157" s="89"/>
      <x:c r="M157" s="89"/>
      <x:c r="N157" s="89"/>
      <x:c r="O157" s="89"/>
      <x:c r="P157" s="89"/>
      <x:c r="Q157" s="89"/>
      <x:c r="R157" s="89"/>
      <x:c r="S157" s="89"/>
      <x:c r="T157" s="89"/>
      <x:c r="U157" s="89"/>
      <x:c r="V157" s="89"/>
      <x:c r="W157" s="89"/>
      <x:c r="X157" s="89"/>
      <x:c r="Y157" s="89"/>
      <x:c r="Z157" s="89"/>
    </x:row>
    <x:row r="158">
      <x:c r="A158" s="89"/>
      <x:c r="B158" s="89"/>
      <x:c r="C158" s="89"/>
      <x:c r="D158" s="89"/>
      <x:c r="E158" s="89"/>
      <x:c r="F158" s="89"/>
      <x:c r="G158" s="89"/>
      <x:c r="H158" s="89"/>
      <x:c r="I158" s="89"/>
      <x:c r="J158" s="89"/>
      <x:c r="K158" s="89"/>
      <x:c r="L158" s="89"/>
      <x:c r="M158" s="89"/>
      <x:c r="N158" s="89"/>
      <x:c r="O158" s="89"/>
      <x:c r="P158" s="89"/>
      <x:c r="Q158" s="89"/>
      <x:c r="R158" s="89"/>
      <x:c r="S158" s="89"/>
      <x:c r="T158" s="89"/>
      <x:c r="U158" s="89"/>
      <x:c r="V158" s="89"/>
      <x:c r="W158" s="89"/>
      <x:c r="X158" s="89"/>
      <x:c r="Y158" s="89"/>
      <x:c r="Z158" s="89"/>
    </x:row>
    <x:row r="159">
      <x:c r="A159" s="89"/>
      <x:c r="B159" s="89"/>
      <x:c r="C159" s="89"/>
      <x:c r="D159" s="89"/>
      <x:c r="E159" s="89"/>
      <x:c r="F159" s="89"/>
      <x:c r="G159" s="89"/>
      <x:c r="H159" s="89"/>
      <x:c r="I159" s="89"/>
      <x:c r="J159" s="89"/>
      <x:c r="K159" s="89"/>
      <x:c r="L159" s="89"/>
      <x:c r="M159" s="89"/>
      <x:c r="N159" s="89"/>
      <x:c r="O159" s="89"/>
      <x:c r="P159" s="89"/>
      <x:c r="Q159" s="89"/>
      <x:c r="R159" s="89"/>
      <x:c r="S159" s="89"/>
      <x:c r="T159" s="89"/>
      <x:c r="U159" s="89"/>
      <x:c r="V159" s="89"/>
      <x:c r="W159" s="89"/>
      <x:c r="X159" s="89"/>
      <x:c r="Y159" s="89"/>
      <x:c r="Z159" s="89"/>
    </x:row>
    <x:row r="160">
      <x:c r="A160" s="89"/>
      <x:c r="B160" s="89"/>
      <x:c r="C160" s="89"/>
      <x:c r="D160" s="89"/>
      <x:c r="E160" s="89"/>
      <x:c r="F160" s="89"/>
      <x:c r="G160" s="89"/>
      <x:c r="H160" s="89"/>
      <x:c r="I160" s="89"/>
      <x:c r="J160" s="89"/>
      <x:c r="K160" s="89"/>
      <x:c r="L160" s="89"/>
      <x:c r="M160" s="89"/>
      <x:c r="N160" s="89"/>
      <x:c r="O160" s="89"/>
      <x:c r="P160" s="89"/>
      <x:c r="Q160" s="89"/>
      <x:c r="R160" s="89"/>
      <x:c r="S160" s="89"/>
      <x:c r="T160" s="89"/>
      <x:c r="U160" s="89"/>
      <x:c r="V160" s="89"/>
      <x:c r="W160" s="89"/>
      <x:c r="X160" s="89"/>
      <x:c r="Y160" s="89"/>
      <x:c r="Z160" s="89"/>
    </x:row>
    <x:row r="161">
      <x:c r="A161" s="89"/>
      <x:c r="B161" s="89"/>
      <x:c r="C161" s="89"/>
      <x:c r="D161" s="89"/>
      <x:c r="E161" s="89"/>
      <x:c r="F161" s="89"/>
      <x:c r="G161" s="89"/>
      <x:c r="H161" s="89"/>
      <x:c r="I161" s="89"/>
      <x:c r="J161" s="89"/>
      <x:c r="K161" s="89"/>
      <x:c r="L161" s="89"/>
      <x:c r="M161" s="89"/>
      <x:c r="N161" s="89"/>
      <x:c r="O161" s="89"/>
      <x:c r="P161" s="89"/>
      <x:c r="Q161" s="89"/>
      <x:c r="R161" s="89"/>
      <x:c r="S161" s="89"/>
      <x:c r="T161" s="89"/>
      <x:c r="U161" s="89"/>
      <x:c r="V161" s="89"/>
      <x:c r="W161" s="89"/>
      <x:c r="X161" s="89"/>
      <x:c r="Y161" s="89"/>
      <x:c r="Z161" s="89"/>
    </x:row>
    <x:row r="162">
      <x:c r="A162" s="89"/>
      <x:c r="B162" s="89"/>
      <x:c r="C162" s="89"/>
      <x:c r="D162" s="89"/>
      <x:c r="E162" s="89"/>
      <x:c r="F162" s="89"/>
      <x:c r="G162" s="89"/>
      <x:c r="H162" s="89"/>
      <x:c r="I162" s="89"/>
      <x:c r="J162" s="89"/>
      <x:c r="K162" s="89"/>
      <x:c r="L162" s="89"/>
      <x:c r="M162" s="89"/>
      <x:c r="N162" s="89"/>
      <x:c r="O162" s="89"/>
      <x:c r="P162" s="89"/>
      <x:c r="Q162" s="89"/>
      <x:c r="R162" s="89"/>
      <x:c r="S162" s="89"/>
      <x:c r="T162" s="89"/>
      <x:c r="U162" s="89"/>
      <x:c r="V162" s="89"/>
      <x:c r="W162" s="89"/>
      <x:c r="X162" s="89"/>
      <x:c r="Y162" s="89"/>
      <x:c r="Z162" s="89"/>
    </x:row>
    <x:row r="163">
      <x:c r="A163" s="89"/>
      <x:c r="B163" s="89"/>
      <x:c r="C163" s="89"/>
      <x:c r="D163" s="89"/>
      <x:c r="E163" s="89"/>
      <x:c r="F163" s="89"/>
      <x:c r="G163" s="89"/>
      <x:c r="H163" s="89"/>
      <x:c r="I163" s="89"/>
      <x:c r="J163" s="89"/>
      <x:c r="K163" s="89"/>
      <x:c r="L163" s="89"/>
      <x:c r="M163" s="89"/>
      <x:c r="N163" s="89"/>
      <x:c r="O163" s="89"/>
      <x:c r="P163" s="89"/>
      <x:c r="Q163" s="89"/>
      <x:c r="R163" s="89"/>
      <x:c r="S163" s="89"/>
      <x:c r="T163" s="89"/>
      <x:c r="U163" s="89"/>
      <x:c r="V163" s="89"/>
      <x:c r="W163" s="89"/>
      <x:c r="X163" s="89"/>
      <x:c r="Y163" s="89"/>
      <x:c r="Z163" s="89"/>
    </x:row>
    <x:row r="164">
      <x:c r="A164" s="89"/>
      <x:c r="B164" s="89"/>
      <x:c r="C164" s="89"/>
      <x:c r="D164" s="89"/>
      <x:c r="E164" s="89"/>
      <x:c r="F164" s="89"/>
      <x:c r="G164" s="89"/>
      <x:c r="H164" s="89"/>
      <x:c r="I164" s="89"/>
      <x:c r="J164" s="89"/>
      <x:c r="K164" s="89"/>
      <x:c r="L164" s="89"/>
      <x:c r="M164" s="89"/>
      <x:c r="N164" s="89"/>
      <x:c r="O164" s="89"/>
      <x:c r="P164" s="89"/>
      <x:c r="Q164" s="89"/>
      <x:c r="R164" s="89"/>
      <x:c r="S164" s="89"/>
      <x:c r="T164" s="89"/>
      <x:c r="U164" s="89"/>
      <x:c r="V164" s="89"/>
      <x:c r="W164" s="89"/>
      <x:c r="X164" s="89"/>
      <x:c r="Y164" s="89"/>
      <x:c r="Z164" s="89"/>
    </x:row>
    <x:row r="165">
      <x:c r="A165" s="89"/>
      <x:c r="B165" s="89"/>
      <x:c r="C165" s="89"/>
      <x:c r="D165" s="89"/>
      <x:c r="E165" s="89"/>
      <x:c r="F165" s="89"/>
      <x:c r="G165" s="89"/>
      <x:c r="H165" s="89"/>
      <x:c r="I165" s="89"/>
      <x:c r="J165" s="89"/>
      <x:c r="K165" s="89"/>
      <x:c r="L165" s="89"/>
      <x:c r="M165" s="89"/>
      <x:c r="N165" s="89"/>
      <x:c r="O165" s="89"/>
      <x:c r="P165" s="89"/>
      <x:c r="Q165" s="89"/>
      <x:c r="R165" s="89"/>
      <x:c r="S165" s="89"/>
      <x:c r="T165" s="89"/>
      <x:c r="U165" s="89"/>
      <x:c r="V165" s="89"/>
      <x:c r="W165" s="89"/>
      <x:c r="X165" s="89"/>
      <x:c r="Y165" s="89"/>
      <x:c r="Z165" s="89"/>
    </x:row>
    <x:row r="166">
      <x:c r="A166" s="89"/>
      <x:c r="B166" s="89"/>
      <x:c r="C166" s="89"/>
      <x:c r="D166" s="89"/>
      <x:c r="E166" s="89"/>
      <x:c r="F166" s="89"/>
      <x:c r="G166" s="89"/>
      <x:c r="H166" s="89"/>
      <x:c r="I166" s="89"/>
      <x:c r="J166" s="89"/>
      <x:c r="K166" s="89"/>
      <x:c r="L166" s="89"/>
      <x:c r="M166" s="89"/>
      <x:c r="N166" s="89"/>
      <x:c r="O166" s="89"/>
      <x:c r="P166" s="89"/>
      <x:c r="Q166" s="89"/>
      <x:c r="R166" s="89"/>
      <x:c r="S166" s="89"/>
      <x:c r="T166" s="89"/>
      <x:c r="U166" s="89"/>
      <x:c r="V166" s="89"/>
      <x:c r="W166" s="89"/>
      <x:c r="X166" s="89"/>
      <x:c r="Y166" s="89"/>
      <x:c r="Z166" s="89"/>
    </x:row>
    <x:row r="167">
      <x:c r="A167" s="89"/>
      <x:c r="B167" s="89"/>
      <x:c r="C167" s="89"/>
      <x:c r="D167" s="89"/>
      <x:c r="E167" s="89"/>
      <x:c r="F167" s="89"/>
      <x:c r="G167" s="89"/>
      <x:c r="H167" s="89"/>
      <x:c r="I167" s="89"/>
      <x:c r="J167" s="89"/>
      <x:c r="K167" s="89"/>
      <x:c r="L167" s="89"/>
      <x:c r="M167" s="89"/>
      <x:c r="N167" s="89"/>
      <x:c r="O167" s="89"/>
      <x:c r="P167" s="89"/>
      <x:c r="Q167" s="89"/>
      <x:c r="R167" s="89"/>
      <x:c r="S167" s="89"/>
      <x:c r="T167" s="89"/>
      <x:c r="U167" s="89"/>
      <x:c r="V167" s="89"/>
      <x:c r="W167" s="89"/>
      <x:c r="X167" s="89"/>
      <x:c r="Y167" s="89"/>
      <x:c r="Z167" s="89"/>
    </x:row>
    <x:row r="168">
      <x:c r="A168" s="89"/>
      <x:c r="B168" s="89"/>
      <x:c r="C168" s="89"/>
      <x:c r="D168" s="89"/>
      <x:c r="E168" s="89"/>
      <x:c r="F168" s="89"/>
      <x:c r="G168" s="89"/>
      <x:c r="H168" s="89"/>
      <x:c r="I168" s="89"/>
      <x:c r="J168" s="89"/>
      <x:c r="K168" s="89"/>
      <x:c r="L168" s="89"/>
      <x:c r="M168" s="89"/>
      <x:c r="N168" s="89"/>
      <x:c r="O168" s="89"/>
      <x:c r="P168" s="89"/>
      <x:c r="Q168" s="89"/>
      <x:c r="R168" s="89"/>
      <x:c r="S168" s="89"/>
      <x:c r="T168" s="89"/>
      <x:c r="U168" s="89"/>
      <x:c r="V168" s="89"/>
      <x:c r="W168" s="89"/>
      <x:c r="X168" s="89"/>
      <x:c r="Y168" s="89"/>
      <x:c r="Z168" s="89"/>
    </x:row>
    <x:row r="169">
      <x:c r="A169" s="89"/>
      <x:c r="B169" s="89"/>
      <x:c r="C169" s="89"/>
      <x:c r="D169" s="89"/>
      <x:c r="E169" s="89"/>
      <x:c r="F169" s="89"/>
      <x:c r="G169" s="89"/>
      <x:c r="H169" s="89"/>
      <x:c r="I169" s="89"/>
      <x:c r="J169" s="89"/>
      <x:c r="K169" s="89"/>
      <x:c r="L169" s="89"/>
      <x:c r="M169" s="89"/>
      <x:c r="N169" s="89"/>
      <x:c r="O169" s="89"/>
      <x:c r="P169" s="89"/>
      <x:c r="Q169" s="89"/>
      <x:c r="R169" s="89"/>
      <x:c r="S169" s="89"/>
      <x:c r="T169" s="89"/>
      <x:c r="U169" s="89"/>
      <x:c r="V169" s="89"/>
      <x:c r="W169" s="89"/>
      <x:c r="X169" s="89"/>
      <x:c r="Y169" s="89"/>
      <x:c r="Z169" s="89"/>
    </x:row>
    <x:row r="170">
      <x:c r="A170" s="89"/>
      <x:c r="B170" s="89"/>
      <x:c r="C170" s="89"/>
      <x:c r="D170" s="89"/>
      <x:c r="E170" s="89"/>
      <x:c r="F170" s="89"/>
      <x:c r="G170" s="89"/>
      <x:c r="H170" s="89"/>
      <x:c r="I170" s="89"/>
      <x:c r="J170" s="89"/>
      <x:c r="K170" s="89"/>
      <x:c r="L170" s="89"/>
      <x:c r="M170" s="89"/>
      <x:c r="N170" s="89"/>
      <x:c r="O170" s="89"/>
      <x:c r="P170" s="89"/>
      <x:c r="Q170" s="89"/>
      <x:c r="R170" s="89"/>
      <x:c r="S170" s="89"/>
      <x:c r="T170" s="89"/>
      <x:c r="U170" s="89"/>
      <x:c r="V170" s="89"/>
      <x:c r="W170" s="89"/>
      <x:c r="X170" s="89"/>
      <x:c r="Y170" s="89"/>
      <x:c r="Z170" s="89"/>
    </x:row>
    <x:row r="171">
      <x:c r="A171" s="89"/>
      <x:c r="B171" s="89"/>
      <x:c r="C171" s="89"/>
      <x:c r="D171" s="89"/>
      <x:c r="E171" s="89"/>
      <x:c r="F171" s="89"/>
      <x:c r="G171" s="89"/>
      <x:c r="H171" s="89"/>
      <x:c r="I171" s="89"/>
      <x:c r="J171" s="89"/>
      <x:c r="K171" s="89"/>
      <x:c r="L171" s="89"/>
      <x:c r="M171" s="89"/>
      <x:c r="N171" s="89"/>
      <x:c r="O171" s="89"/>
      <x:c r="P171" s="89"/>
      <x:c r="Q171" s="89"/>
      <x:c r="R171" s="89"/>
      <x:c r="S171" s="89"/>
      <x:c r="T171" s="89"/>
      <x:c r="U171" s="89"/>
      <x:c r="V171" s="89"/>
      <x:c r="W171" s="89"/>
      <x:c r="X171" s="89"/>
      <x:c r="Y171" s="89"/>
      <x:c r="Z171" s="89"/>
    </x:row>
    <x:row r="172">
      <x:c r="A172" s="89"/>
      <x:c r="B172" s="89"/>
      <x:c r="C172" s="89"/>
      <x:c r="D172" s="89"/>
      <x:c r="E172" s="89"/>
      <x:c r="F172" s="89"/>
      <x:c r="G172" s="89"/>
      <x:c r="H172" s="89"/>
      <x:c r="I172" s="89"/>
      <x:c r="J172" s="89"/>
      <x:c r="K172" s="89"/>
      <x:c r="L172" s="89"/>
      <x:c r="M172" s="89"/>
      <x:c r="N172" s="89"/>
      <x:c r="O172" s="89"/>
      <x:c r="P172" s="89"/>
      <x:c r="Q172" s="89"/>
      <x:c r="R172" s="89"/>
      <x:c r="S172" s="89"/>
      <x:c r="T172" s="89"/>
      <x:c r="U172" s="89"/>
      <x:c r="V172" s="89"/>
      <x:c r="W172" s="89"/>
      <x:c r="X172" s="89"/>
      <x:c r="Y172" s="89"/>
      <x:c r="Z172" s="89"/>
    </x:row>
    <x:row r="173">
      <x:c r="A173" s="89"/>
      <x:c r="B173" s="89"/>
      <x:c r="C173" s="89"/>
      <x:c r="D173" s="89"/>
      <x:c r="E173" s="89"/>
      <x:c r="F173" s="89"/>
      <x:c r="G173" s="89"/>
      <x:c r="H173" s="89"/>
      <x:c r="I173" s="89"/>
      <x:c r="J173" s="89"/>
      <x:c r="K173" s="89"/>
      <x:c r="L173" s="89"/>
      <x:c r="M173" s="89"/>
      <x:c r="N173" s="89"/>
      <x:c r="O173" s="89"/>
      <x:c r="P173" s="89"/>
      <x:c r="Q173" s="89"/>
      <x:c r="R173" s="89"/>
      <x:c r="S173" s="89"/>
      <x:c r="T173" s="89"/>
      <x:c r="U173" s="89"/>
      <x:c r="V173" s="89"/>
      <x:c r="W173" s="89"/>
      <x:c r="X173" s="89"/>
      <x:c r="Y173" s="89"/>
      <x:c r="Z173" s="89"/>
    </x:row>
    <x:row r="174">
      <x:c r="A174" s="89"/>
      <x:c r="B174" s="89"/>
      <x:c r="C174" s="89"/>
      <x:c r="D174" s="89"/>
      <x:c r="E174" s="89"/>
      <x:c r="F174" s="89"/>
      <x:c r="G174" s="89"/>
      <x:c r="H174" s="89"/>
      <x:c r="I174" s="89"/>
      <x:c r="J174" s="89"/>
      <x:c r="K174" s="89"/>
      <x:c r="L174" s="89"/>
      <x:c r="M174" s="89"/>
      <x:c r="N174" s="89"/>
      <x:c r="O174" s="89"/>
      <x:c r="P174" s="89"/>
      <x:c r="Q174" s="89"/>
      <x:c r="R174" s="89"/>
      <x:c r="S174" s="89"/>
      <x:c r="T174" s="89"/>
      <x:c r="U174" s="89"/>
      <x:c r="V174" s="89"/>
      <x:c r="W174" s="89"/>
      <x:c r="X174" s="89"/>
      <x:c r="Y174" s="89"/>
      <x:c r="Z174" s="89"/>
    </x:row>
    <x:row r="175">
      <x:c r="A175" s="89"/>
      <x:c r="B175" s="89"/>
      <x:c r="C175" s="89"/>
      <x:c r="D175" s="89"/>
      <x:c r="E175" s="89"/>
      <x:c r="F175" s="89"/>
      <x:c r="G175" s="89"/>
      <x:c r="H175" s="89"/>
      <x:c r="I175" s="89"/>
      <x:c r="J175" s="89"/>
      <x:c r="K175" s="89"/>
      <x:c r="L175" s="89"/>
      <x:c r="M175" s="89"/>
      <x:c r="N175" s="89"/>
      <x:c r="O175" s="89"/>
      <x:c r="P175" s="89"/>
      <x:c r="Q175" s="89"/>
      <x:c r="R175" s="89"/>
      <x:c r="S175" s="89"/>
      <x:c r="T175" s="89"/>
      <x:c r="U175" s="89"/>
      <x:c r="V175" s="89"/>
      <x:c r="W175" s="89"/>
      <x:c r="X175" s="89"/>
      <x:c r="Y175" s="89"/>
      <x:c r="Z175" s="89"/>
    </x:row>
    <x:row r="176">
      <x:c r="A176" s="89"/>
      <x:c r="B176" s="89"/>
      <x:c r="C176" s="89"/>
      <x:c r="D176" s="89"/>
      <x:c r="E176" s="89"/>
      <x:c r="F176" s="89"/>
      <x:c r="G176" s="89"/>
      <x:c r="H176" s="89"/>
      <x:c r="I176" s="89"/>
      <x:c r="J176" s="89"/>
      <x:c r="K176" s="89"/>
      <x:c r="L176" s="89"/>
      <x:c r="M176" s="89"/>
      <x:c r="N176" s="89"/>
      <x:c r="O176" s="89"/>
      <x:c r="P176" s="89"/>
      <x:c r="Q176" s="89"/>
      <x:c r="R176" s="89"/>
      <x:c r="S176" s="89"/>
      <x:c r="T176" s="89"/>
      <x:c r="U176" s="89"/>
      <x:c r="V176" s="89"/>
      <x:c r="W176" s="89"/>
      <x:c r="X176" s="89"/>
      <x:c r="Y176" s="89"/>
      <x:c r="Z176" s="89"/>
    </x:row>
    <x:row r="177">
      <x:c r="A177" s="89"/>
      <x:c r="B177" s="89"/>
      <x:c r="C177" s="89"/>
      <x:c r="D177" s="89"/>
      <x:c r="E177" s="89"/>
      <x:c r="F177" s="89"/>
      <x:c r="G177" s="89"/>
      <x:c r="H177" s="89"/>
      <x:c r="I177" s="89"/>
      <x:c r="J177" s="89"/>
      <x:c r="K177" s="89"/>
      <x:c r="L177" s="89"/>
      <x:c r="M177" s="89"/>
      <x:c r="N177" s="89"/>
      <x:c r="O177" s="89"/>
      <x:c r="P177" s="89"/>
      <x:c r="Q177" s="89"/>
      <x:c r="R177" s="89"/>
      <x:c r="S177" s="89"/>
      <x:c r="T177" s="89"/>
      <x:c r="U177" s="89"/>
      <x:c r="V177" s="89"/>
      <x:c r="W177" s="89"/>
      <x:c r="X177" s="89"/>
      <x:c r="Y177" s="89"/>
      <x:c r="Z177" s="89"/>
    </x:row>
    <x:row r="178">
      <x:c r="A178" s="89"/>
      <x:c r="B178" s="89"/>
      <x:c r="C178" s="89"/>
      <x:c r="D178" s="89"/>
      <x:c r="E178" s="89"/>
      <x:c r="F178" s="89"/>
      <x:c r="G178" s="89"/>
      <x:c r="H178" s="89"/>
      <x:c r="I178" s="89"/>
      <x:c r="J178" s="89"/>
      <x:c r="K178" s="89"/>
      <x:c r="L178" s="89"/>
      <x:c r="M178" s="89"/>
      <x:c r="N178" s="89"/>
      <x:c r="O178" s="89"/>
      <x:c r="P178" s="89"/>
      <x:c r="Q178" s="89"/>
      <x:c r="R178" s="89"/>
      <x:c r="S178" s="89"/>
      <x:c r="T178" s="89"/>
      <x:c r="U178" s="89"/>
      <x:c r="V178" s="89"/>
      <x:c r="W178" s="89"/>
      <x:c r="X178" s="89"/>
      <x:c r="Y178" s="89"/>
      <x:c r="Z178" s="89"/>
    </x:row>
    <x:row r="179">
      <x:c r="A179" s="89"/>
      <x:c r="B179" s="89"/>
      <x:c r="C179" s="89"/>
      <x:c r="D179" s="89"/>
      <x:c r="E179" s="89"/>
      <x:c r="F179" s="89"/>
      <x:c r="G179" s="89"/>
      <x:c r="H179" s="89"/>
      <x:c r="I179" s="89"/>
      <x:c r="J179" s="89"/>
      <x:c r="K179" s="89"/>
      <x:c r="L179" s="89"/>
      <x:c r="M179" s="89"/>
      <x:c r="N179" s="89"/>
      <x:c r="O179" s="89"/>
      <x:c r="P179" s="89"/>
      <x:c r="Q179" s="89"/>
      <x:c r="R179" s="89"/>
      <x:c r="S179" s="89"/>
      <x:c r="T179" s="89"/>
      <x:c r="U179" s="89"/>
      <x:c r="V179" s="89"/>
      <x:c r="W179" s="89"/>
      <x:c r="X179" s="89"/>
      <x:c r="Y179" s="89"/>
      <x:c r="Z179" s="89"/>
    </x:row>
    <x:row r="180">
      <x:c r="A180" s="89"/>
      <x:c r="B180" s="89"/>
      <x:c r="C180" s="89"/>
      <x:c r="D180" s="89"/>
      <x:c r="E180" s="89"/>
      <x:c r="F180" s="89"/>
      <x:c r="G180" s="89"/>
      <x:c r="H180" s="89"/>
      <x:c r="I180" s="89"/>
      <x:c r="J180" s="89"/>
      <x:c r="K180" s="89"/>
      <x:c r="L180" s="89"/>
      <x:c r="M180" s="89"/>
      <x:c r="N180" s="89"/>
      <x:c r="O180" s="89"/>
      <x:c r="P180" s="89"/>
      <x:c r="Q180" s="89"/>
      <x:c r="R180" s="89"/>
      <x:c r="S180" s="89"/>
      <x:c r="T180" s="89"/>
      <x:c r="U180" s="89"/>
      <x:c r="V180" s="89"/>
      <x:c r="W180" s="89"/>
      <x:c r="X180" s="89"/>
      <x:c r="Y180" s="89"/>
      <x:c r="Z180" s="89"/>
    </x:row>
    <x:row r="181">
      <x:c r="A181" s="89"/>
      <x:c r="B181" s="89"/>
      <x:c r="C181" s="89"/>
      <x:c r="D181" s="89"/>
      <x:c r="E181" s="89"/>
      <x:c r="F181" s="89"/>
      <x:c r="G181" s="89"/>
      <x:c r="H181" s="89"/>
      <x:c r="I181" s="89"/>
      <x:c r="J181" s="89"/>
      <x:c r="K181" s="89"/>
      <x:c r="L181" s="89"/>
      <x:c r="M181" s="89"/>
      <x:c r="N181" s="89"/>
      <x:c r="O181" s="89"/>
      <x:c r="P181" s="89"/>
      <x:c r="Q181" s="89"/>
      <x:c r="R181" s="89"/>
      <x:c r="S181" s="89"/>
      <x:c r="T181" s="89"/>
      <x:c r="U181" s="89"/>
      <x:c r="V181" s="89"/>
      <x:c r="W181" s="89"/>
      <x:c r="X181" s="89"/>
      <x:c r="Y181" s="89"/>
      <x:c r="Z181" s="89"/>
    </x:row>
    <x:row r="182">
      <x:c r="A182" s="89"/>
      <x:c r="B182" s="89"/>
      <x:c r="C182" s="89"/>
      <x:c r="D182" s="89"/>
      <x:c r="E182" s="89"/>
      <x:c r="F182" s="89"/>
      <x:c r="G182" s="89"/>
      <x:c r="H182" s="89"/>
      <x:c r="I182" s="89"/>
      <x:c r="J182" s="89"/>
      <x:c r="K182" s="89"/>
      <x:c r="L182" s="89"/>
      <x:c r="M182" s="89"/>
      <x:c r="N182" s="89"/>
      <x:c r="O182" s="89"/>
      <x:c r="P182" s="89"/>
      <x:c r="Q182" s="89"/>
      <x:c r="R182" s="89"/>
      <x:c r="S182" s="89"/>
      <x:c r="T182" s="89"/>
      <x:c r="U182" s="89"/>
      <x:c r="V182" s="89"/>
      <x:c r="W182" s="89"/>
      <x:c r="X182" s="89"/>
      <x:c r="Y182" s="89"/>
      <x:c r="Z182" s="89"/>
    </x:row>
    <x:row r="183">
      <x:c r="A183" s="89"/>
      <x:c r="B183" s="89"/>
      <x:c r="C183" s="89"/>
      <x:c r="D183" s="89"/>
      <x:c r="E183" s="89"/>
      <x:c r="F183" s="89"/>
      <x:c r="G183" s="89"/>
      <x:c r="H183" s="89"/>
      <x:c r="I183" s="89"/>
      <x:c r="J183" s="89"/>
      <x:c r="K183" s="89"/>
      <x:c r="L183" s="89"/>
      <x:c r="M183" s="89"/>
      <x:c r="N183" s="89"/>
      <x:c r="O183" s="89"/>
      <x:c r="P183" s="89"/>
      <x:c r="Q183" s="89"/>
      <x:c r="R183" s="89"/>
      <x:c r="S183" s="89"/>
      <x:c r="T183" s="89"/>
      <x:c r="U183" s="89"/>
      <x:c r="V183" s="89"/>
      <x:c r="W183" s="89"/>
      <x:c r="X183" s="89"/>
      <x:c r="Y183" s="89"/>
      <x:c r="Z183" s="89"/>
    </x:row>
    <x:row r="184">
      <x:c r="A184" s="89"/>
      <x:c r="B184" s="89"/>
      <x:c r="C184" s="89"/>
      <x:c r="D184" s="89"/>
      <x:c r="E184" s="89"/>
      <x:c r="F184" s="89"/>
      <x:c r="G184" s="89"/>
      <x:c r="H184" s="89"/>
      <x:c r="I184" s="89"/>
      <x:c r="J184" s="89"/>
      <x:c r="K184" s="89"/>
      <x:c r="L184" s="89"/>
      <x:c r="M184" s="89"/>
      <x:c r="N184" s="89"/>
      <x:c r="O184" s="89"/>
      <x:c r="P184" s="89"/>
      <x:c r="Q184" s="89"/>
      <x:c r="R184" s="89"/>
      <x:c r="S184" s="89"/>
      <x:c r="T184" s="89"/>
      <x:c r="U184" s="89"/>
      <x:c r="V184" s="89"/>
      <x:c r="W184" s="89"/>
      <x:c r="X184" s="89"/>
      <x:c r="Y184" s="89"/>
      <x:c r="Z184" s="89"/>
    </x:row>
    <x:row r="185">
      <x:c r="A185" s="89"/>
      <x:c r="B185" s="89"/>
      <x:c r="C185" s="89"/>
      <x:c r="D185" s="89"/>
      <x:c r="E185" s="89"/>
      <x:c r="F185" s="89"/>
      <x:c r="G185" s="89"/>
      <x:c r="H185" s="89"/>
      <x:c r="I185" s="89"/>
      <x:c r="J185" s="89"/>
      <x:c r="K185" s="89"/>
      <x:c r="L185" s="89"/>
      <x:c r="M185" s="89"/>
      <x:c r="N185" s="89"/>
      <x:c r="O185" s="89"/>
      <x:c r="P185" s="89"/>
      <x:c r="Q185" s="89"/>
      <x:c r="R185" s="89"/>
      <x:c r="S185" s="89"/>
      <x:c r="T185" s="89"/>
      <x:c r="U185" s="89"/>
      <x:c r="V185" s="89"/>
      <x:c r="W185" s="89"/>
      <x:c r="X185" s="89"/>
      <x:c r="Y185" s="89"/>
      <x:c r="Z185" s="89"/>
    </x:row>
    <x:row r="186">
      <x:c r="A186" s="89"/>
      <x:c r="B186" s="89"/>
      <x:c r="C186" s="89"/>
      <x:c r="D186" s="89"/>
      <x:c r="E186" s="89"/>
      <x:c r="F186" s="89"/>
      <x:c r="G186" s="89"/>
      <x:c r="H186" s="89"/>
      <x:c r="I186" s="89"/>
      <x:c r="J186" s="89"/>
      <x:c r="K186" s="89"/>
      <x:c r="L186" s="89"/>
      <x:c r="M186" s="89"/>
      <x:c r="N186" s="89"/>
      <x:c r="O186" s="89"/>
      <x:c r="P186" s="89"/>
      <x:c r="Q186" s="89"/>
      <x:c r="R186" s="89"/>
      <x:c r="S186" s="89"/>
      <x:c r="T186" s="89"/>
      <x:c r="U186" s="89"/>
      <x:c r="V186" s="89"/>
      <x:c r="W186" s="89"/>
      <x:c r="X186" s="89"/>
      <x:c r="Y186" s="89"/>
      <x:c r="Z186" s="89"/>
    </x:row>
    <x:row r="187">
      <x:c r="A187" s="89"/>
      <x:c r="B187" s="89"/>
      <x:c r="C187" s="89"/>
      <x:c r="D187" s="89"/>
      <x:c r="E187" s="89"/>
      <x:c r="F187" s="89"/>
      <x:c r="G187" s="89"/>
      <x:c r="H187" s="89"/>
      <x:c r="I187" s="89"/>
      <x:c r="J187" s="89"/>
      <x:c r="K187" s="89"/>
      <x:c r="L187" s="89"/>
      <x:c r="M187" s="89"/>
      <x:c r="N187" s="89"/>
      <x:c r="O187" s="89"/>
      <x:c r="P187" s="89"/>
      <x:c r="Q187" s="89"/>
      <x:c r="R187" s="89"/>
      <x:c r="S187" s="89"/>
      <x:c r="T187" s="89"/>
      <x:c r="U187" s="89"/>
      <x:c r="V187" s="89"/>
      <x:c r="W187" s="89"/>
      <x:c r="X187" s="89"/>
      <x:c r="Y187" s="89"/>
      <x:c r="Z187" s="89"/>
    </x:row>
    <x:row r="188">
      <x:c r="A188" s="89"/>
      <x:c r="B188" s="89"/>
      <x:c r="C188" s="89"/>
      <x:c r="D188" s="89"/>
      <x:c r="E188" s="89"/>
      <x:c r="F188" s="89"/>
      <x:c r="G188" s="89"/>
      <x:c r="H188" s="89"/>
      <x:c r="I188" s="89"/>
      <x:c r="J188" s="89"/>
      <x:c r="K188" s="89"/>
      <x:c r="L188" s="89"/>
      <x:c r="M188" s="89"/>
      <x:c r="N188" s="89"/>
      <x:c r="O188" s="89"/>
      <x:c r="P188" s="89"/>
      <x:c r="Q188" s="89"/>
      <x:c r="R188" s="89"/>
      <x:c r="S188" s="89"/>
      <x:c r="T188" s="89"/>
      <x:c r="U188" s="89"/>
      <x:c r="V188" s="89"/>
      <x:c r="W188" s="89"/>
      <x:c r="X188" s="89"/>
      <x:c r="Y188" s="89"/>
      <x:c r="Z188" s="89"/>
    </x:row>
    <x:row r="189">
      <x:c r="A189" s="89"/>
      <x:c r="B189" s="89"/>
      <x:c r="C189" s="89"/>
      <x:c r="D189" s="89"/>
      <x:c r="E189" s="89"/>
      <x:c r="F189" s="89"/>
      <x:c r="G189" s="89"/>
      <x:c r="H189" s="89"/>
      <x:c r="I189" s="89"/>
      <x:c r="J189" s="89"/>
      <x:c r="K189" s="89"/>
      <x:c r="L189" s="89"/>
      <x:c r="M189" s="89"/>
      <x:c r="N189" s="89"/>
      <x:c r="O189" s="89"/>
      <x:c r="P189" s="89"/>
      <x:c r="Q189" s="89"/>
      <x:c r="R189" s="89"/>
      <x:c r="S189" s="89"/>
      <x:c r="T189" s="89"/>
      <x:c r="U189" s="89"/>
      <x:c r="V189" s="89"/>
      <x:c r="W189" s="89"/>
      <x:c r="X189" s="89"/>
      <x:c r="Y189" s="89"/>
      <x:c r="Z189" s="89"/>
    </x:row>
    <x:row r="190">
      <x:c r="A190" s="89"/>
      <x:c r="B190" s="89"/>
      <x:c r="C190" s="89"/>
      <x:c r="D190" s="89"/>
      <x:c r="E190" s="89"/>
      <x:c r="F190" s="89"/>
      <x:c r="G190" s="89"/>
      <x:c r="H190" s="89"/>
      <x:c r="I190" s="89"/>
      <x:c r="J190" s="89"/>
      <x:c r="K190" s="89"/>
      <x:c r="L190" s="89"/>
      <x:c r="M190" s="89"/>
      <x:c r="N190" s="89"/>
      <x:c r="O190" s="89"/>
      <x:c r="P190" s="89"/>
      <x:c r="Q190" s="89"/>
      <x:c r="R190" s="89"/>
      <x:c r="S190" s="89"/>
      <x:c r="T190" s="89"/>
      <x:c r="U190" s="89"/>
      <x:c r="V190" s="89"/>
      <x:c r="W190" s="89"/>
      <x:c r="X190" s="89"/>
      <x:c r="Y190" s="89"/>
      <x:c r="Z190" s="89"/>
    </x:row>
    <x:row r="191">
      <x:c r="A191" s="89"/>
      <x:c r="B191" s="89"/>
      <x:c r="C191" s="89"/>
      <x:c r="D191" s="89"/>
      <x:c r="E191" s="89"/>
      <x:c r="F191" s="89"/>
      <x:c r="G191" s="89"/>
      <x:c r="H191" s="89"/>
      <x:c r="I191" s="89"/>
      <x:c r="J191" s="89"/>
      <x:c r="K191" s="89"/>
      <x:c r="L191" s="89"/>
      <x:c r="M191" s="89"/>
      <x:c r="N191" s="89"/>
      <x:c r="O191" s="89"/>
      <x:c r="P191" s="89"/>
      <x:c r="Q191" s="89"/>
      <x:c r="R191" s="89"/>
      <x:c r="S191" s="89"/>
      <x:c r="T191" s="89"/>
      <x:c r="U191" s="89"/>
      <x:c r="V191" s="89"/>
      <x:c r="W191" s="89"/>
      <x:c r="X191" s="89"/>
      <x:c r="Y191" s="89"/>
      <x:c r="Z191" s="89"/>
    </x:row>
    <x:row r="192">
      <x:c r="A192" s="89"/>
      <x:c r="B192" s="89"/>
      <x:c r="C192" s="89"/>
      <x:c r="D192" s="89"/>
      <x:c r="E192" s="89"/>
      <x:c r="F192" s="89"/>
      <x:c r="G192" s="89"/>
      <x:c r="H192" s="89"/>
      <x:c r="I192" s="89"/>
      <x:c r="J192" s="89"/>
      <x:c r="K192" s="89"/>
      <x:c r="L192" s="89"/>
      <x:c r="M192" s="89"/>
      <x:c r="N192" s="89"/>
      <x:c r="O192" s="89"/>
      <x:c r="P192" s="89"/>
      <x:c r="Q192" s="89"/>
      <x:c r="R192" s="89"/>
      <x:c r="S192" s="89"/>
      <x:c r="T192" s="89"/>
      <x:c r="U192" s="89"/>
      <x:c r="V192" s="89"/>
      <x:c r="W192" s="89"/>
      <x:c r="X192" s="89"/>
      <x:c r="Y192" s="89"/>
      <x:c r="Z192" s="89"/>
    </x:row>
    <x:row r="193">
      <x:c r="A193" s="89"/>
      <x:c r="B193" s="89"/>
      <x:c r="C193" s="89"/>
      <x:c r="D193" s="89"/>
      <x:c r="E193" s="89"/>
      <x:c r="F193" s="89"/>
      <x:c r="G193" s="89"/>
      <x:c r="H193" s="89"/>
      <x:c r="I193" s="89"/>
      <x:c r="J193" s="89"/>
      <x:c r="K193" s="89"/>
      <x:c r="L193" s="89"/>
      <x:c r="M193" s="89"/>
      <x:c r="N193" s="89"/>
      <x:c r="O193" s="89"/>
      <x:c r="P193" s="89"/>
      <x:c r="Q193" s="89"/>
      <x:c r="R193" s="89"/>
      <x:c r="S193" s="89"/>
      <x:c r="T193" s="89"/>
      <x:c r="U193" s="89"/>
      <x:c r="V193" s="89"/>
      <x:c r="W193" s="89"/>
      <x:c r="X193" s="89"/>
      <x:c r="Y193" s="89"/>
      <x:c r="Z193" s="89"/>
    </x:row>
    <x:row r="194">
      <x:c r="A194" s="89"/>
      <x:c r="B194" s="89"/>
      <x:c r="C194" s="89"/>
      <x:c r="D194" s="89"/>
      <x:c r="E194" s="89"/>
      <x:c r="F194" s="89"/>
      <x:c r="G194" s="89"/>
      <x:c r="H194" s="89"/>
      <x:c r="I194" s="89"/>
      <x:c r="J194" s="89"/>
      <x:c r="K194" s="89"/>
      <x:c r="L194" s="89"/>
      <x:c r="M194" s="89"/>
      <x:c r="N194" s="89"/>
      <x:c r="O194" s="89"/>
      <x:c r="P194" s="89"/>
      <x:c r="Q194" s="89"/>
      <x:c r="R194" s="89"/>
      <x:c r="S194" s="89"/>
      <x:c r="T194" s="89"/>
      <x:c r="U194" s="89"/>
      <x:c r="V194" s="89"/>
      <x:c r="W194" s="89"/>
      <x:c r="X194" s="89"/>
      <x:c r="Y194" s="89"/>
      <x:c r="Z194" s="89"/>
    </x:row>
    <x:row r="195">
      <x:c r="A195" s="89"/>
      <x:c r="B195" s="89"/>
      <x:c r="C195" s="89"/>
      <x:c r="D195" s="89"/>
      <x:c r="E195" s="89"/>
      <x:c r="F195" s="89"/>
      <x:c r="G195" s="89"/>
      <x:c r="H195" s="89"/>
      <x:c r="I195" s="89"/>
      <x:c r="J195" s="89"/>
      <x:c r="K195" s="89"/>
      <x:c r="L195" s="89"/>
      <x:c r="M195" s="89"/>
      <x:c r="N195" s="89"/>
      <x:c r="O195" s="89"/>
      <x:c r="P195" s="89"/>
      <x:c r="Q195" s="89"/>
      <x:c r="R195" s="89"/>
      <x:c r="S195" s="89"/>
      <x:c r="T195" s="89"/>
      <x:c r="U195" s="89"/>
      <x:c r="V195" s="89"/>
      <x:c r="W195" s="89"/>
      <x:c r="X195" s="89"/>
      <x:c r="Y195" s="89"/>
      <x:c r="Z195" s="89"/>
    </x:row>
    <x:row r="196">
      <x:c r="A196" s="89"/>
      <x:c r="B196" s="89"/>
      <x:c r="C196" s="89"/>
      <x:c r="D196" s="89"/>
      <x:c r="E196" s="89"/>
      <x:c r="F196" s="89"/>
      <x:c r="G196" s="89"/>
      <x:c r="H196" s="89"/>
      <x:c r="I196" s="89"/>
      <x:c r="J196" s="89"/>
      <x:c r="K196" s="89"/>
      <x:c r="L196" s="89"/>
      <x:c r="M196" s="89"/>
      <x:c r="N196" s="89"/>
      <x:c r="O196" s="89"/>
      <x:c r="P196" s="89"/>
      <x:c r="Q196" s="89"/>
      <x:c r="R196" s="89"/>
      <x:c r="S196" s="89"/>
      <x:c r="T196" s="89"/>
      <x:c r="U196" s="89"/>
      <x:c r="V196" s="89"/>
      <x:c r="W196" s="89"/>
      <x:c r="X196" s="89"/>
      <x:c r="Y196" s="89"/>
      <x:c r="Z196" s="89"/>
    </x:row>
    <x:row r="197">
      <x:c r="A197" s="89"/>
      <x:c r="B197" s="89"/>
      <x:c r="C197" s="89"/>
      <x:c r="D197" s="89"/>
      <x:c r="E197" s="89"/>
      <x:c r="F197" s="89"/>
      <x:c r="G197" s="89"/>
      <x:c r="H197" s="89"/>
      <x:c r="I197" s="89"/>
      <x:c r="J197" s="89"/>
      <x:c r="K197" s="89"/>
      <x:c r="L197" s="89"/>
      <x:c r="M197" s="89"/>
      <x:c r="N197" s="89"/>
      <x:c r="O197" s="89"/>
      <x:c r="P197" s="89"/>
      <x:c r="Q197" s="89"/>
      <x:c r="R197" s="89"/>
      <x:c r="S197" s="89"/>
      <x:c r="T197" s="89"/>
      <x:c r="U197" s="89"/>
      <x:c r="V197" s="89"/>
      <x:c r="W197" s="89"/>
      <x:c r="X197" s="89"/>
      <x:c r="Y197" s="89"/>
      <x:c r="Z197" s="89"/>
    </x:row>
    <x:row r="198">
      <x:c r="A198" s="89"/>
      <x:c r="B198" s="89"/>
      <x:c r="C198" s="89"/>
      <x:c r="D198" s="89"/>
      <x:c r="E198" s="89"/>
      <x:c r="F198" s="89"/>
      <x:c r="G198" s="89"/>
      <x:c r="H198" s="89"/>
      <x:c r="I198" s="89"/>
      <x:c r="J198" s="89"/>
      <x:c r="K198" s="89"/>
      <x:c r="L198" s="89"/>
      <x:c r="M198" s="89"/>
      <x:c r="N198" s="89"/>
      <x:c r="O198" s="89"/>
      <x:c r="P198" s="89"/>
      <x:c r="Q198" s="89"/>
      <x:c r="R198" s="89"/>
      <x:c r="S198" s="89"/>
      <x:c r="T198" s="89"/>
      <x:c r="U198" s="89"/>
      <x:c r="V198" s="89"/>
      <x:c r="W198" s="89"/>
      <x:c r="X198" s="89"/>
      <x:c r="Y198" s="89"/>
      <x:c r="Z198" s="89"/>
    </x:row>
    <x:row r="199">
      <x:c r="A199" s="89"/>
      <x:c r="B199" s="89"/>
      <x:c r="C199" s="89"/>
      <x:c r="D199" s="89"/>
      <x:c r="E199" s="89"/>
      <x:c r="F199" s="89"/>
      <x:c r="G199" s="89"/>
      <x:c r="H199" s="89"/>
      <x:c r="I199" s="89"/>
      <x:c r="J199" s="89"/>
      <x:c r="K199" s="89"/>
      <x:c r="L199" s="89"/>
      <x:c r="M199" s="89"/>
      <x:c r="N199" s="89"/>
      <x:c r="O199" s="89"/>
      <x:c r="P199" s="89"/>
      <x:c r="Q199" s="89"/>
      <x:c r="R199" s="89"/>
      <x:c r="S199" s="89"/>
      <x:c r="T199" s="89"/>
      <x:c r="U199" s="89"/>
      <x:c r="V199" s="89"/>
      <x:c r="W199" s="89"/>
      <x:c r="X199" s="89"/>
      <x:c r="Y199" s="89"/>
      <x:c r="Z199" s="89"/>
    </x:row>
    <x:row r="200">
      <x:c r="A200" s="89"/>
      <x:c r="B200" s="89"/>
      <x:c r="C200" s="89"/>
      <x:c r="D200" s="89"/>
      <x:c r="E200" s="89"/>
      <x:c r="F200" s="89"/>
      <x:c r="G200" s="89"/>
      <x:c r="H200" s="89"/>
      <x:c r="I200" s="89"/>
      <x:c r="J200" s="89"/>
      <x:c r="K200" s="89"/>
      <x:c r="L200" s="89"/>
      <x:c r="M200" s="89"/>
      <x:c r="N200" s="89"/>
      <x:c r="O200" s="89"/>
      <x:c r="P200" s="89"/>
      <x:c r="Q200" s="89"/>
      <x:c r="R200" s="89"/>
      <x:c r="S200" s="89"/>
      <x:c r="T200" s="89"/>
      <x:c r="U200" s="89"/>
      <x:c r="V200" s="89"/>
      <x:c r="W200" s="89"/>
      <x:c r="X200" s="89"/>
      <x:c r="Y200" s="89"/>
      <x:c r="Z200" s="89"/>
    </x:row>
  </x:sheetData>
  <x:mergeCells>
    <x:mergeCell ref="A1:F1"/>
  </x:mergeCells>
  <x:pageMargins left="0.7" right="0.7" top="0.75" bottom="0.75" header="0.3" footer="0.3"/>
  <x:tableParts count="1">
    <x:tablePart xmlns:r="http://schemas.openxmlformats.org/officeDocument/2006/relationships" r:id="R8a20b069b3764810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12" hidden="0" customWidth="1"/>
    <x:col min="3" max="3" width="20" hidden="0" customWidth="1"/>
    <x:col min="4" max="4" width="24" hidden="0" customWidth="1"/>
    <x:col min="5" max="5" width="16" hidden="0" customWidth="1"/>
    <x:col min="6" max="6" width="12" hidden="0" customWidth="1"/>
    <x:col min="7" max="7" width="12" hidden="0" customWidth="1"/>
    <x:col min="8" max="8" width="18" hidden="0" customWidth="1"/>
    <x:col min="9" max="9" width="18" hidden="0" customWidth="1"/>
    <x:col min="10" max="10" width="12" hidden="0" customWidth="1"/>
    <x:col min="11" max="11" width="16" hidden="0" customWidth="1"/>
    <x:col min="12" max="12" width="12" hidden="0" customWidth="1"/>
    <x:col min="13" max="13" width="12" hidden="0" customWidth="1"/>
    <x:col min="14" max="14" width="28" hidden="0" customWidth="1"/>
    <x:col min="15" max="15" width="28" hidden="0" customWidth="1"/>
    <x:col min="16" max="16" width="14" hidden="0" customWidth="1"/>
    <x:col min="17" max="17" width="34" hidden="0" customWidth="1"/>
  </x:cols>
  <x:sheetData>
    <x:row r="1">
      <x:c r="A1" s="126" t="str">
        <x:v>BunuDaBastık3D - Üretim Takip Panosu</x:v>
      </x:c>
      <x:c r="B1" s="126"/>
      <x:c r="C1" s="126"/>
      <x:c r="D1" s="126"/>
      <x:c r="E1" s="126"/>
      <x:c r="F1" s="126"/>
      <x:c r="G1" s="126"/>
      <x:c r="H1" s="126"/>
      <x:c r="I1" s="126"/>
      <x:c r="J1" s="126"/>
      <x:c r="K1" s="126"/>
      <x:c r="L1" s="126"/>
      <x:c r="M1" s="126"/>
      <x:c r="N1" s="126"/>
      <x:c r="O1" s="126"/>
      <x:c r="P1" s="126"/>
      <x:c r="Q1" s="126"/>
      <x:c r="R1" s="89"/>
      <x:c r="S1" s="89"/>
      <x:c r="T1" s="89"/>
      <x:c r="U1" s="89"/>
      <x:c r="V1" s="89"/>
      <x:c r="W1" s="89"/>
      <x:c r="X1" s="89"/>
      <x:c r="Y1" s="89"/>
      <x:c r="Z1" s="89"/>
    </x:row>
    <x:row r="2">
      <x:c r="A2" s="91" t="str">
        <x:v>İş No</x:v>
      </x:c>
      <x:c r="B2" s="91" t="str">
        <x:v>Teklif No</x:v>
      </x:c>
      <x:c r="C2" s="91" t="str">
        <x:v>Müşteri</x:v>
      </x:c>
      <x:c r="D2" s="91" t="str">
        <x:v>Parça</x:v>
      </x:c>
      <x:c r="E2" s="91" t="str">
        <x:v>Yazıcı</x:v>
      </x:c>
      <x:c r="F2" s="91" t="str">
        <x:v>Malzeme</x:v>
      </x:c>
      <x:c r="G2" s="91" t="str">
        <x:v>Renk</x:v>
      </x:c>
      <x:c r="H2" s="91" t="str">
        <x:v>Başlangıç</x:v>
      </x:c>
      <x:c r="I2" s="91" t="str">
        <x:v>Bitiş</x:v>
      </x:c>
      <x:c r="J2" s="91" t="str">
        <x:v>Baskı Süresi</x:v>
      </x:c>
      <x:c r="K2" s="91" t="str">
        <x:v>Durum</x:v>
      </x:c>
      <x:c r="L2" s="91" t="str">
        <x:v>Öncelik</x:v>
      </x:c>
      <x:c r="M2" s="91" t="str">
        <x:v>Sorumlu</x:v>
      </x:c>
      <x:c r="N2" s="91" t="str">
        <x:v>STL/3MF Linki</x:v>
      </x:c>
      <x:c r="O2" s="91" t="str">
        <x:v>Fotoğraf Linki</x:v>
      </x:c>
      <x:c r="P2" s="91" t="str">
        <x:v>Teslim Tarihi</x:v>
      </x:c>
      <x:c r="Q2" s="91" t="str">
        <x:v>Not</x:v>
      </x:c>
      <x:c r="R2" s="89"/>
      <x:c r="S2" s="89"/>
      <x:c r="T2" s="89"/>
      <x:c r="U2" s="89"/>
      <x:c r="V2" s="89"/>
      <x:c r="W2" s="89"/>
      <x:c r="X2" s="89"/>
      <x:c r="Y2" s="89"/>
      <x:c r="Z2" s="89"/>
    </x:row>
    <x:row r="3">
      <x:c r="A3" s="95" t="str">
        <x:v>I-0001</x:v>
      </x:c>
      <x:c r="B3" s="95" t="str">
        <x:v>T-0002</x:v>
      </x:c>
      <x:c r="C3" s="95" t="str">
        <x:f>IF($B3="","",IFERROR(VLOOKUP($B3,'Fiyat Hesaplama'!$A$3:$Z$102,3,FALSE),""))</x:f>
        <x:v>Prototip Atölyesi</x:v>
      </x:c>
      <x:c r="D3" s="95" t="str">
        <x:f>IF($B3="","",IFERROR(VLOOKUP($B3,'Fiyat Hesaplama'!$A$3:$Z$102,4,FALSE),""))</x:f>
        <x:v>Drone GPS tutucu</x:v>
      </x:c>
      <x:c r="E3" s="95" t="str">
        <x:v>Bambu X2D</x:v>
      </x:c>
      <x:c r="F3" s="95" t="str">
        <x:f>IF($B3="","",IFERROR(VLOOKUP($B3,'Fiyat Hesaplama'!$A$3:$Z$102,5,FALSE),""))</x:f>
        <x:v>PETG</x:v>
      </x:c>
      <x:c r="G3" s="95" t="str">
        <x:f>IF($B3="","",IFERROR(VLOOKUP($B3,'Fiyat Hesaplama'!$A$3:$Z$102,6,FALSE),""))</x:f>
        <x:v>Beyaz</x:v>
      </x:c>
      <x:c r="H3" s="120" t="n">
        <x:v>46182</x:v>
      </x:c>
      <x:c r="I3" s="120" t="n">
        <x:v>46183</x:v>
      </x:c>
      <x:c r="J3" s="121" t="n">
        <x:f>IF($B3="","",IFERROR(VLOOKUP($B3,'Fiyat Hesaplama'!$A$3:$Z$102,9,FALSE),""))</x:f>
        <x:v>5.75</x:v>
      </x:c>
      <x:c r="K3" s="95" t="str">
        <x:v>Baskıya Hazır</x:v>
      </x:c>
      <x:c r="L3" s="95" t="str">
        <x:v>Yüksek</x:v>
      </x:c>
      <x:c r="M3" s="95" t="str">
        <x:v>Selim</x:v>
      </x:c>
      <x:c r="N3" s="95" t="str"/>
      <x:c r="O3" s="95" t="str"/>
      <x:c r="P3" s="114" t="n">
        <x:v>46184</x:v>
      </x:c>
      <x:c r="Q3" s="95" t="str">
        <x:v>İlk teknik parça örneği.</x:v>
      </x:c>
      <x:c r="R3" s="89"/>
      <x:c r="S3" s="89"/>
      <x:c r="T3" s="89"/>
      <x:c r="U3" s="89"/>
      <x:c r="V3" s="89"/>
      <x:c r="W3" s="89"/>
      <x:c r="X3" s="89"/>
      <x:c r="Y3" s="89"/>
      <x:c r="Z3" s="89"/>
    </x:row>
    <x:row r="4">
      <x:c r="A4" s="95" t="str">
        <x:v>I-0002</x:v>
      </x:c>
      <x:c r="B4" s="95" t="str">
        <x:v>T-0003</x:v>
      </x:c>
      <x:c r="C4" s="95" t="str">
        <x:f>IF($B4="","",IFERROR(VLOOKUP($B4,'Fiyat Hesaplama'!$A$3:$Z$102,3,FALSE),""))</x:f>
        <x:v>Araç Aksesuar</x:v>
      </x:c>
      <x:c r="D4" s="95" t="str">
        <x:f>IF($B4="","",IFERROR(VLOOKUP($B4,'Fiyat Hesaplama'!$A$3:$Z$102,4,FALSE),""))</x:f>
        <x:v>Kablo klipsi</x:v>
      </x:c>
      <x:c r="E4" s="95" t="str">
        <x:v>Bambu X2D</x:v>
      </x:c>
      <x:c r="F4" s="95" t="str">
        <x:f>IF($B4="","",IFERROR(VLOOKUP($B4,'Fiyat Hesaplama'!$A$3:$Z$102,5,FALSE),""))</x:f>
        <x:v>ASA</x:v>
      </x:c>
      <x:c r="G4" s="95" t="str">
        <x:f>IF($B4="","",IFERROR(VLOOKUP($B4,'Fiyat Hesaplama'!$A$3:$Z$102,6,FALSE),""))</x:f>
        <x:v>Siyah</x:v>
      </x:c>
      <x:c r="H4" s="120" t="n">
        <x:v>46182</x:v>
      </x:c>
      <x:c r="I4" s="120" t="n">
        <x:v>46183</x:v>
      </x:c>
      <x:c r="J4" s="121" t="n">
        <x:f>IF($B4="","",IFERROR(VLOOKUP($B4,'Fiyat Hesaplama'!$A$3:$Z$102,9,FALSE),""))</x:f>
        <x:v>1.2</x:v>
      </x:c>
      <x:c r="K4" s="95" t="str">
        <x:v>Dosya Kontrol</x:v>
      </x:c>
      <x:c r="L4" s="95" t="str">
        <x:v>Normal</x:v>
      </x:c>
      <x:c r="M4" s="95" t="str">
        <x:v>Selim</x:v>
      </x:c>
      <x:c r="N4" s="95" t="str"/>
      <x:c r="O4" s="95" t="str"/>
      <x:c r="P4" s="114" t="n">
        <x:v>46185</x:v>
      </x:c>
      <x:c r="Q4" s="95" t="str">
        <x:v>Araç aksesuarı.</x:v>
      </x:c>
      <x:c r="R4" s="89"/>
      <x:c r="S4" s="89"/>
      <x:c r="T4" s="89"/>
      <x:c r="U4" s="89"/>
      <x:c r="V4" s="89"/>
      <x:c r="W4" s="89"/>
      <x:c r="X4" s="89"/>
      <x:c r="Y4" s="89"/>
      <x:c r="Z4" s="89"/>
    </x:row>
    <x:row r="5">
      <x:c r="A5" s="95"/>
      <x:c r="B5" s="95"/>
      <x:c r="C5" s="95" t="str">
        <x:f>IF($B5="","",IFERROR(VLOOKUP($B5,'Fiyat Hesaplama'!$A$3:$Z$102,3,FALSE),""))</x:f>
      </x:c>
      <x:c r="D5" s="95" t="str">
        <x:f>IF($B5="","",IFERROR(VLOOKUP($B5,'Fiyat Hesaplama'!$A$3:$Z$102,4,FALSE),""))</x:f>
      </x:c>
      <x:c r="E5" s="95"/>
      <x:c r="F5" s="95" t="str">
        <x:f>IF($B5="","",IFERROR(VLOOKUP($B5,'Fiyat Hesaplama'!$A$3:$Z$102,5,FALSE),""))</x:f>
      </x:c>
      <x:c r="G5" s="95" t="str">
        <x:f>IF($B5="","",IFERROR(VLOOKUP($B5,'Fiyat Hesaplama'!$A$3:$Z$102,6,FALSE),""))</x:f>
      </x:c>
      <x:c r="H5" s="120"/>
      <x:c r="I5" s="120"/>
      <x:c r="J5" s="121" t="str">
        <x:f>IF($B5="","",IFERROR(VLOOKUP($B5,'Fiyat Hesaplama'!$A$3:$Z$102,9,FALSE),""))</x:f>
      </x:c>
      <x:c r="K5" s="95"/>
      <x:c r="L5" s="95"/>
      <x:c r="M5" s="95"/>
      <x:c r="N5" s="95"/>
      <x:c r="O5" s="95"/>
      <x:c r="P5" s="114"/>
      <x:c r="Q5" s="95"/>
      <x:c r="R5" s="89"/>
      <x:c r="S5" s="89"/>
      <x:c r="T5" s="89"/>
      <x:c r="U5" s="89"/>
      <x:c r="V5" s="89"/>
      <x:c r="W5" s="89"/>
      <x:c r="X5" s="89"/>
      <x:c r="Y5" s="89"/>
      <x:c r="Z5" s="89"/>
    </x:row>
    <x:row r="6">
      <x:c r="A6" s="95"/>
      <x:c r="B6" s="95"/>
      <x:c r="C6" s="95" t="str">
        <x:f>IF($B6="","",IFERROR(VLOOKUP($B6,'Fiyat Hesaplama'!$A$3:$Z$102,3,FALSE),""))</x:f>
      </x:c>
      <x:c r="D6" s="95" t="str">
        <x:f>IF($B6="","",IFERROR(VLOOKUP($B6,'Fiyat Hesaplama'!$A$3:$Z$102,4,FALSE),""))</x:f>
      </x:c>
      <x:c r="E6" s="95"/>
      <x:c r="F6" s="95" t="str">
        <x:f>IF($B6="","",IFERROR(VLOOKUP($B6,'Fiyat Hesaplama'!$A$3:$Z$102,5,FALSE),""))</x:f>
      </x:c>
      <x:c r="G6" s="95" t="str">
        <x:f>IF($B6="","",IFERROR(VLOOKUP($B6,'Fiyat Hesaplama'!$A$3:$Z$102,6,FALSE),""))</x:f>
      </x:c>
      <x:c r="H6" s="120"/>
      <x:c r="I6" s="120"/>
      <x:c r="J6" s="121" t="str">
        <x:f>IF($B6="","",IFERROR(VLOOKUP($B6,'Fiyat Hesaplama'!$A$3:$Z$102,9,FALSE),""))</x:f>
      </x:c>
      <x:c r="K6" s="95"/>
      <x:c r="L6" s="95"/>
      <x:c r="M6" s="95"/>
      <x:c r="N6" s="95"/>
      <x:c r="O6" s="95"/>
      <x:c r="P6" s="114"/>
      <x:c r="Q6" s="95"/>
      <x:c r="R6" s="89"/>
      <x:c r="S6" s="89"/>
      <x:c r="T6" s="89"/>
      <x:c r="U6" s="89"/>
      <x:c r="V6" s="89"/>
      <x:c r="W6" s="89"/>
      <x:c r="X6" s="89"/>
      <x:c r="Y6" s="89"/>
      <x:c r="Z6" s="89"/>
    </x:row>
    <x:row r="7">
      <x:c r="A7" s="95"/>
      <x:c r="B7" s="95"/>
      <x:c r="C7" s="95" t="str">
        <x:f>IF($B7="","",IFERROR(VLOOKUP($B7,'Fiyat Hesaplama'!$A$3:$Z$102,3,FALSE),""))</x:f>
      </x:c>
      <x:c r="D7" s="95" t="str">
        <x:f>IF($B7="","",IFERROR(VLOOKUP($B7,'Fiyat Hesaplama'!$A$3:$Z$102,4,FALSE),""))</x:f>
      </x:c>
      <x:c r="E7" s="95"/>
      <x:c r="F7" s="95" t="str">
        <x:f>IF($B7="","",IFERROR(VLOOKUP($B7,'Fiyat Hesaplama'!$A$3:$Z$102,5,FALSE),""))</x:f>
      </x:c>
      <x:c r="G7" s="95" t="str">
        <x:f>IF($B7="","",IFERROR(VLOOKUP($B7,'Fiyat Hesaplama'!$A$3:$Z$102,6,FALSE),""))</x:f>
      </x:c>
      <x:c r="H7" s="120"/>
      <x:c r="I7" s="120"/>
      <x:c r="J7" s="121" t="str">
        <x:f>IF($B7="","",IFERROR(VLOOKUP($B7,'Fiyat Hesaplama'!$A$3:$Z$102,9,FALSE),""))</x:f>
      </x:c>
      <x:c r="K7" s="95"/>
      <x:c r="L7" s="95"/>
      <x:c r="M7" s="95"/>
      <x:c r="N7" s="95"/>
      <x:c r="O7" s="95"/>
      <x:c r="P7" s="114"/>
      <x:c r="Q7" s="95"/>
      <x:c r="R7" s="89"/>
      <x:c r="S7" s="89"/>
      <x:c r="T7" s="89"/>
      <x:c r="U7" s="89"/>
      <x:c r="V7" s="89"/>
      <x:c r="W7" s="89"/>
      <x:c r="X7" s="89"/>
      <x:c r="Y7" s="89"/>
      <x:c r="Z7" s="89"/>
    </x:row>
    <x:row r="8">
      <x:c r="A8" s="95"/>
      <x:c r="B8" s="95"/>
      <x:c r="C8" s="95" t="str">
        <x:f>IF($B8="","",IFERROR(VLOOKUP($B8,'Fiyat Hesaplama'!$A$3:$Z$102,3,FALSE),""))</x:f>
      </x:c>
      <x:c r="D8" s="95" t="str">
        <x:f>IF($B8="","",IFERROR(VLOOKUP($B8,'Fiyat Hesaplama'!$A$3:$Z$102,4,FALSE),""))</x:f>
      </x:c>
      <x:c r="E8" s="95"/>
      <x:c r="F8" s="95" t="str">
        <x:f>IF($B8="","",IFERROR(VLOOKUP($B8,'Fiyat Hesaplama'!$A$3:$Z$102,5,FALSE),""))</x:f>
      </x:c>
      <x:c r="G8" s="95" t="str">
        <x:f>IF($B8="","",IFERROR(VLOOKUP($B8,'Fiyat Hesaplama'!$A$3:$Z$102,6,FALSE),""))</x:f>
      </x:c>
      <x:c r="H8" s="120"/>
      <x:c r="I8" s="120"/>
      <x:c r="J8" s="121" t="str">
        <x:f>IF($B8="","",IFERROR(VLOOKUP($B8,'Fiyat Hesaplama'!$A$3:$Z$102,9,FALSE),""))</x:f>
      </x:c>
      <x:c r="K8" s="95"/>
      <x:c r="L8" s="95"/>
      <x:c r="M8" s="95"/>
      <x:c r="N8" s="95"/>
      <x:c r="O8" s="95"/>
      <x:c r="P8" s="114"/>
      <x:c r="Q8" s="95"/>
      <x:c r="R8" s="89"/>
      <x:c r="S8" s="89"/>
      <x:c r="T8" s="89"/>
      <x:c r="U8" s="89"/>
      <x:c r="V8" s="89"/>
      <x:c r="W8" s="89"/>
      <x:c r="X8" s="89"/>
      <x:c r="Y8" s="89"/>
      <x:c r="Z8" s="89"/>
    </x:row>
    <x:row r="9">
      <x:c r="A9" s="95"/>
      <x:c r="B9" s="95"/>
      <x:c r="C9" s="95" t="str">
        <x:f>IF($B9="","",IFERROR(VLOOKUP($B9,'Fiyat Hesaplama'!$A$3:$Z$102,3,FALSE),""))</x:f>
      </x:c>
      <x:c r="D9" s="95" t="str">
        <x:f>IF($B9="","",IFERROR(VLOOKUP($B9,'Fiyat Hesaplama'!$A$3:$Z$102,4,FALSE),""))</x:f>
      </x:c>
      <x:c r="E9" s="95"/>
      <x:c r="F9" s="95" t="str">
        <x:f>IF($B9="","",IFERROR(VLOOKUP($B9,'Fiyat Hesaplama'!$A$3:$Z$102,5,FALSE),""))</x:f>
      </x:c>
      <x:c r="G9" s="95" t="str">
        <x:f>IF($B9="","",IFERROR(VLOOKUP($B9,'Fiyat Hesaplama'!$A$3:$Z$102,6,FALSE),""))</x:f>
      </x:c>
      <x:c r="H9" s="120"/>
      <x:c r="I9" s="120"/>
      <x:c r="J9" s="121" t="str">
        <x:f>IF($B9="","",IFERROR(VLOOKUP($B9,'Fiyat Hesaplama'!$A$3:$Z$102,9,FALSE),""))</x:f>
      </x:c>
      <x:c r="K9" s="95"/>
      <x:c r="L9" s="95"/>
      <x:c r="M9" s="95"/>
      <x:c r="N9" s="95"/>
      <x:c r="O9" s="95"/>
      <x:c r="P9" s="114"/>
      <x:c r="Q9" s="95"/>
      <x:c r="R9" s="89"/>
      <x:c r="S9" s="89"/>
      <x:c r="T9" s="89"/>
      <x:c r="U9" s="89"/>
      <x:c r="V9" s="89"/>
      <x:c r="W9" s="89"/>
      <x:c r="X9" s="89"/>
      <x:c r="Y9" s="89"/>
      <x:c r="Z9" s="89"/>
    </x:row>
    <x:row r="10">
      <x:c r="A10" s="95"/>
      <x:c r="B10" s="95"/>
      <x:c r="C10" s="95" t="str">
        <x:f>IF($B10="","",IFERROR(VLOOKUP($B10,'Fiyat Hesaplama'!$A$3:$Z$102,3,FALSE),""))</x:f>
      </x:c>
      <x:c r="D10" s="95" t="str">
        <x:f>IF($B10="","",IFERROR(VLOOKUP($B10,'Fiyat Hesaplama'!$A$3:$Z$102,4,FALSE),""))</x:f>
      </x:c>
      <x:c r="E10" s="95"/>
      <x:c r="F10" s="95" t="str">
        <x:f>IF($B10="","",IFERROR(VLOOKUP($B10,'Fiyat Hesaplama'!$A$3:$Z$102,5,FALSE),""))</x:f>
      </x:c>
      <x:c r="G10" s="95" t="str">
        <x:f>IF($B10="","",IFERROR(VLOOKUP($B10,'Fiyat Hesaplama'!$A$3:$Z$102,6,FALSE),""))</x:f>
      </x:c>
      <x:c r="H10" s="120"/>
      <x:c r="I10" s="120"/>
      <x:c r="J10" s="121" t="str">
        <x:f>IF($B10="","",IFERROR(VLOOKUP($B10,'Fiyat Hesaplama'!$A$3:$Z$102,9,FALSE),""))</x:f>
      </x:c>
      <x:c r="K10" s="95"/>
      <x:c r="L10" s="95"/>
      <x:c r="M10" s="95"/>
      <x:c r="N10" s="95"/>
      <x:c r="O10" s="95"/>
      <x:c r="P10" s="114"/>
      <x:c r="Q10" s="95"/>
      <x:c r="R10" s="89"/>
      <x:c r="S10" s="89"/>
      <x:c r="T10" s="89"/>
      <x:c r="U10" s="89"/>
      <x:c r="V10" s="89"/>
      <x:c r="W10" s="89"/>
      <x:c r="X10" s="89"/>
      <x:c r="Y10" s="89"/>
      <x:c r="Z10" s="89"/>
    </x:row>
    <x:row r="11">
      <x:c r="A11" s="95"/>
      <x:c r="B11" s="95"/>
      <x:c r="C11" s="95" t="str">
        <x:f>IF($B11="","",IFERROR(VLOOKUP($B11,'Fiyat Hesaplama'!$A$3:$Z$102,3,FALSE),""))</x:f>
      </x:c>
      <x:c r="D11" s="95" t="str">
        <x:f>IF($B11="","",IFERROR(VLOOKUP($B11,'Fiyat Hesaplama'!$A$3:$Z$102,4,FALSE),""))</x:f>
      </x:c>
      <x:c r="E11" s="95"/>
      <x:c r="F11" s="95" t="str">
        <x:f>IF($B11="","",IFERROR(VLOOKUP($B11,'Fiyat Hesaplama'!$A$3:$Z$102,5,FALSE),""))</x:f>
      </x:c>
      <x:c r="G11" s="95" t="str">
        <x:f>IF($B11="","",IFERROR(VLOOKUP($B11,'Fiyat Hesaplama'!$A$3:$Z$102,6,FALSE),""))</x:f>
      </x:c>
      <x:c r="H11" s="120"/>
      <x:c r="I11" s="120"/>
      <x:c r="J11" s="121" t="str">
        <x:f>IF($B11="","",IFERROR(VLOOKUP($B11,'Fiyat Hesaplama'!$A$3:$Z$102,9,FALSE),""))</x:f>
      </x:c>
      <x:c r="K11" s="95"/>
      <x:c r="L11" s="95"/>
      <x:c r="M11" s="95"/>
      <x:c r="N11" s="95"/>
      <x:c r="O11" s="95"/>
      <x:c r="P11" s="114"/>
      <x:c r="Q11" s="95"/>
      <x:c r="R11" s="89"/>
      <x:c r="S11" s="89"/>
      <x:c r="T11" s="89"/>
      <x:c r="U11" s="89"/>
      <x:c r="V11" s="89"/>
      <x:c r="W11" s="89"/>
      <x:c r="X11" s="89"/>
      <x:c r="Y11" s="89"/>
      <x:c r="Z11" s="89"/>
    </x:row>
    <x:row r="12">
      <x:c r="A12" s="95"/>
      <x:c r="B12" s="95"/>
      <x:c r="C12" s="95" t="str">
        <x:f>IF($B12="","",IFERROR(VLOOKUP($B12,'Fiyat Hesaplama'!$A$3:$Z$102,3,FALSE),""))</x:f>
      </x:c>
      <x:c r="D12" s="95" t="str">
        <x:f>IF($B12="","",IFERROR(VLOOKUP($B12,'Fiyat Hesaplama'!$A$3:$Z$102,4,FALSE),""))</x:f>
      </x:c>
      <x:c r="E12" s="95"/>
      <x:c r="F12" s="95" t="str">
        <x:f>IF($B12="","",IFERROR(VLOOKUP($B12,'Fiyat Hesaplama'!$A$3:$Z$102,5,FALSE),""))</x:f>
      </x:c>
      <x:c r="G12" s="95" t="str">
        <x:f>IF($B12="","",IFERROR(VLOOKUP($B12,'Fiyat Hesaplama'!$A$3:$Z$102,6,FALSE),""))</x:f>
      </x:c>
      <x:c r="H12" s="120"/>
      <x:c r="I12" s="120"/>
      <x:c r="J12" s="121" t="str">
        <x:f>IF($B12="","",IFERROR(VLOOKUP($B12,'Fiyat Hesaplama'!$A$3:$Z$102,9,FALSE),""))</x:f>
      </x:c>
      <x:c r="K12" s="95"/>
      <x:c r="L12" s="95"/>
      <x:c r="M12" s="95"/>
      <x:c r="N12" s="95"/>
      <x:c r="O12" s="95"/>
      <x:c r="P12" s="114"/>
      <x:c r="Q12" s="95"/>
      <x:c r="R12" s="89"/>
      <x:c r="S12" s="89"/>
      <x:c r="T12" s="89"/>
      <x:c r="U12" s="89"/>
      <x:c r="V12" s="89"/>
      <x:c r="W12" s="89"/>
      <x:c r="X12" s="89"/>
      <x:c r="Y12" s="89"/>
      <x:c r="Z12" s="89"/>
    </x:row>
    <x:row r="13">
      <x:c r="A13" s="95"/>
      <x:c r="B13" s="95"/>
      <x:c r="C13" s="95" t="str">
        <x:f>IF($B13="","",IFERROR(VLOOKUP($B13,'Fiyat Hesaplama'!$A$3:$Z$102,3,FALSE),""))</x:f>
      </x:c>
      <x:c r="D13" s="95" t="str">
        <x:f>IF($B13="","",IFERROR(VLOOKUP($B13,'Fiyat Hesaplama'!$A$3:$Z$102,4,FALSE),""))</x:f>
      </x:c>
      <x:c r="E13" s="95"/>
      <x:c r="F13" s="95" t="str">
        <x:f>IF($B13="","",IFERROR(VLOOKUP($B13,'Fiyat Hesaplama'!$A$3:$Z$102,5,FALSE),""))</x:f>
      </x:c>
      <x:c r="G13" s="95" t="str">
        <x:f>IF($B13="","",IFERROR(VLOOKUP($B13,'Fiyat Hesaplama'!$A$3:$Z$102,6,FALSE),""))</x:f>
      </x:c>
      <x:c r="H13" s="120"/>
      <x:c r="I13" s="120"/>
      <x:c r="J13" s="121" t="str">
        <x:f>IF($B13="","",IFERROR(VLOOKUP($B13,'Fiyat Hesaplama'!$A$3:$Z$102,9,FALSE),""))</x:f>
      </x:c>
      <x:c r="K13" s="95"/>
      <x:c r="L13" s="95"/>
      <x:c r="M13" s="95"/>
      <x:c r="N13" s="95"/>
      <x:c r="O13" s="95"/>
      <x:c r="P13" s="114"/>
      <x:c r="Q13" s="95"/>
      <x:c r="R13" s="89"/>
      <x:c r="S13" s="89"/>
      <x:c r="T13" s="89"/>
      <x:c r="U13" s="89"/>
      <x:c r="V13" s="89"/>
      <x:c r="W13" s="89"/>
      <x:c r="X13" s="89"/>
      <x:c r="Y13" s="89"/>
      <x:c r="Z13" s="89"/>
    </x:row>
    <x:row r="14">
      <x:c r="A14" s="95"/>
      <x:c r="B14" s="95"/>
      <x:c r="C14" s="95" t="str">
        <x:f>IF($B14="","",IFERROR(VLOOKUP($B14,'Fiyat Hesaplama'!$A$3:$Z$102,3,FALSE),""))</x:f>
      </x:c>
      <x:c r="D14" s="95" t="str">
        <x:f>IF($B14="","",IFERROR(VLOOKUP($B14,'Fiyat Hesaplama'!$A$3:$Z$102,4,FALSE),""))</x:f>
      </x:c>
      <x:c r="E14" s="95"/>
      <x:c r="F14" s="95" t="str">
        <x:f>IF($B14="","",IFERROR(VLOOKUP($B14,'Fiyat Hesaplama'!$A$3:$Z$102,5,FALSE),""))</x:f>
      </x:c>
      <x:c r="G14" s="95" t="str">
        <x:f>IF($B14="","",IFERROR(VLOOKUP($B14,'Fiyat Hesaplama'!$A$3:$Z$102,6,FALSE),""))</x:f>
      </x:c>
      <x:c r="H14" s="120"/>
      <x:c r="I14" s="120"/>
      <x:c r="J14" s="121" t="str">
        <x:f>IF($B14="","",IFERROR(VLOOKUP($B14,'Fiyat Hesaplama'!$A$3:$Z$102,9,FALSE),""))</x:f>
      </x:c>
      <x:c r="K14" s="95"/>
      <x:c r="L14" s="95"/>
      <x:c r="M14" s="95"/>
      <x:c r="N14" s="95"/>
      <x:c r="O14" s="95"/>
      <x:c r="P14" s="114"/>
      <x:c r="Q14" s="95"/>
      <x:c r="R14" s="89"/>
      <x:c r="S14" s="89"/>
      <x:c r="T14" s="89"/>
      <x:c r="U14" s="89"/>
      <x:c r="V14" s="89"/>
      <x:c r="W14" s="89"/>
      <x:c r="X14" s="89"/>
      <x:c r="Y14" s="89"/>
      <x:c r="Z14" s="89"/>
    </x:row>
    <x:row r="15">
      <x:c r="A15" s="95"/>
      <x:c r="B15" s="95"/>
      <x:c r="C15" s="95" t="str">
        <x:f>IF($B15="","",IFERROR(VLOOKUP($B15,'Fiyat Hesaplama'!$A$3:$Z$102,3,FALSE),""))</x:f>
      </x:c>
      <x:c r="D15" s="95" t="str">
        <x:f>IF($B15="","",IFERROR(VLOOKUP($B15,'Fiyat Hesaplama'!$A$3:$Z$102,4,FALSE),""))</x:f>
      </x:c>
      <x:c r="E15" s="95"/>
      <x:c r="F15" s="95" t="str">
        <x:f>IF($B15="","",IFERROR(VLOOKUP($B15,'Fiyat Hesaplama'!$A$3:$Z$102,5,FALSE),""))</x:f>
      </x:c>
      <x:c r="G15" s="95" t="str">
        <x:f>IF($B15="","",IFERROR(VLOOKUP($B15,'Fiyat Hesaplama'!$A$3:$Z$102,6,FALSE),""))</x:f>
      </x:c>
      <x:c r="H15" s="120"/>
      <x:c r="I15" s="120"/>
      <x:c r="J15" s="121" t="str">
        <x:f>IF($B15="","",IFERROR(VLOOKUP($B15,'Fiyat Hesaplama'!$A$3:$Z$102,9,FALSE),""))</x:f>
      </x:c>
      <x:c r="K15" s="95"/>
      <x:c r="L15" s="95"/>
      <x:c r="M15" s="95"/>
      <x:c r="N15" s="95"/>
      <x:c r="O15" s="95"/>
      <x:c r="P15" s="114"/>
      <x:c r="Q15" s="95"/>
      <x:c r="R15" s="89"/>
      <x:c r="S15" s="89"/>
      <x:c r="T15" s="89"/>
      <x:c r="U15" s="89"/>
      <x:c r="V15" s="89"/>
      <x:c r="W15" s="89"/>
      <x:c r="X15" s="89"/>
      <x:c r="Y15" s="89"/>
      <x:c r="Z15" s="89"/>
    </x:row>
    <x:row r="16">
      <x:c r="A16" s="95"/>
      <x:c r="B16" s="95"/>
      <x:c r="C16" s="95" t="str">
        <x:f>IF($B16="","",IFERROR(VLOOKUP($B16,'Fiyat Hesaplama'!$A$3:$Z$102,3,FALSE),""))</x:f>
      </x:c>
      <x:c r="D16" s="95" t="str">
        <x:f>IF($B16="","",IFERROR(VLOOKUP($B16,'Fiyat Hesaplama'!$A$3:$Z$102,4,FALSE),""))</x:f>
      </x:c>
      <x:c r="E16" s="95"/>
      <x:c r="F16" s="95" t="str">
        <x:f>IF($B16="","",IFERROR(VLOOKUP($B16,'Fiyat Hesaplama'!$A$3:$Z$102,5,FALSE),""))</x:f>
      </x:c>
      <x:c r="G16" s="95" t="str">
        <x:f>IF($B16="","",IFERROR(VLOOKUP($B16,'Fiyat Hesaplama'!$A$3:$Z$102,6,FALSE),""))</x:f>
      </x:c>
      <x:c r="H16" s="120"/>
      <x:c r="I16" s="120"/>
      <x:c r="J16" s="121" t="str">
        <x:f>IF($B16="","",IFERROR(VLOOKUP($B16,'Fiyat Hesaplama'!$A$3:$Z$102,9,FALSE),""))</x:f>
      </x:c>
      <x:c r="K16" s="95"/>
      <x:c r="L16" s="95"/>
      <x:c r="M16" s="95"/>
      <x:c r="N16" s="95"/>
      <x:c r="O16" s="95"/>
      <x:c r="P16" s="114"/>
      <x:c r="Q16" s="95"/>
      <x:c r="R16" s="89"/>
      <x:c r="S16" s="89"/>
      <x:c r="T16" s="89"/>
      <x:c r="U16" s="89"/>
      <x:c r="V16" s="89"/>
      <x:c r="W16" s="89"/>
      <x:c r="X16" s="89"/>
      <x:c r="Y16" s="89"/>
      <x:c r="Z16" s="89"/>
    </x:row>
    <x:row r="17">
      <x:c r="A17" s="95"/>
      <x:c r="B17" s="95"/>
      <x:c r="C17" s="95" t="str">
        <x:f>IF($B17="","",IFERROR(VLOOKUP($B17,'Fiyat Hesaplama'!$A$3:$Z$102,3,FALSE),""))</x:f>
      </x:c>
      <x:c r="D17" s="95" t="str">
        <x:f>IF($B17="","",IFERROR(VLOOKUP($B17,'Fiyat Hesaplama'!$A$3:$Z$102,4,FALSE),""))</x:f>
      </x:c>
      <x:c r="E17" s="95"/>
      <x:c r="F17" s="95" t="str">
        <x:f>IF($B17="","",IFERROR(VLOOKUP($B17,'Fiyat Hesaplama'!$A$3:$Z$102,5,FALSE),""))</x:f>
      </x:c>
      <x:c r="G17" s="95" t="str">
        <x:f>IF($B17="","",IFERROR(VLOOKUP($B17,'Fiyat Hesaplama'!$A$3:$Z$102,6,FALSE),""))</x:f>
      </x:c>
      <x:c r="H17" s="120"/>
      <x:c r="I17" s="120"/>
      <x:c r="J17" s="121" t="str">
        <x:f>IF($B17="","",IFERROR(VLOOKUP($B17,'Fiyat Hesaplama'!$A$3:$Z$102,9,FALSE),""))</x:f>
      </x:c>
      <x:c r="K17" s="95"/>
      <x:c r="L17" s="95"/>
      <x:c r="M17" s="95"/>
      <x:c r="N17" s="95"/>
      <x:c r="O17" s="95"/>
      <x:c r="P17" s="114"/>
      <x:c r="Q17" s="95"/>
      <x:c r="R17" s="89"/>
      <x:c r="S17" s="89"/>
      <x:c r="T17" s="89"/>
      <x:c r="U17" s="89"/>
      <x:c r="V17" s="89"/>
      <x:c r="W17" s="89"/>
      <x:c r="X17" s="89"/>
      <x:c r="Y17" s="89"/>
      <x:c r="Z17" s="89"/>
    </x:row>
    <x:row r="18">
      <x:c r="A18" s="95"/>
      <x:c r="B18" s="95"/>
      <x:c r="C18" s="95" t="str">
        <x:f>IF($B18="","",IFERROR(VLOOKUP($B18,'Fiyat Hesaplama'!$A$3:$Z$102,3,FALSE),""))</x:f>
      </x:c>
      <x:c r="D18" s="95" t="str">
        <x:f>IF($B18="","",IFERROR(VLOOKUP($B18,'Fiyat Hesaplama'!$A$3:$Z$102,4,FALSE),""))</x:f>
      </x:c>
      <x:c r="E18" s="95"/>
      <x:c r="F18" s="95" t="str">
        <x:f>IF($B18="","",IFERROR(VLOOKUP($B18,'Fiyat Hesaplama'!$A$3:$Z$102,5,FALSE),""))</x:f>
      </x:c>
      <x:c r="G18" s="95" t="str">
        <x:f>IF($B18="","",IFERROR(VLOOKUP($B18,'Fiyat Hesaplama'!$A$3:$Z$102,6,FALSE),""))</x:f>
      </x:c>
      <x:c r="H18" s="120"/>
      <x:c r="I18" s="120"/>
      <x:c r="J18" s="121" t="str">
        <x:f>IF($B18="","",IFERROR(VLOOKUP($B18,'Fiyat Hesaplama'!$A$3:$Z$102,9,FALSE),""))</x:f>
      </x:c>
      <x:c r="K18" s="95"/>
      <x:c r="L18" s="95"/>
      <x:c r="M18" s="95"/>
      <x:c r="N18" s="95"/>
      <x:c r="O18" s="95"/>
      <x:c r="P18" s="114"/>
      <x:c r="Q18" s="95"/>
      <x:c r="R18" s="89"/>
      <x:c r="S18" s="89"/>
      <x:c r="T18" s="89"/>
      <x:c r="U18" s="89"/>
      <x:c r="V18" s="89"/>
      <x:c r="W18" s="89"/>
      <x:c r="X18" s="89"/>
      <x:c r="Y18" s="89"/>
      <x:c r="Z18" s="89"/>
    </x:row>
    <x:row r="19">
      <x:c r="A19" s="95"/>
      <x:c r="B19" s="95"/>
      <x:c r="C19" s="95" t="str">
        <x:f>IF($B19="","",IFERROR(VLOOKUP($B19,'Fiyat Hesaplama'!$A$3:$Z$102,3,FALSE),""))</x:f>
      </x:c>
      <x:c r="D19" s="95" t="str">
        <x:f>IF($B19="","",IFERROR(VLOOKUP($B19,'Fiyat Hesaplama'!$A$3:$Z$102,4,FALSE),""))</x:f>
      </x:c>
      <x:c r="E19" s="95"/>
      <x:c r="F19" s="95" t="str">
        <x:f>IF($B19="","",IFERROR(VLOOKUP($B19,'Fiyat Hesaplama'!$A$3:$Z$102,5,FALSE),""))</x:f>
      </x:c>
      <x:c r="G19" s="95" t="str">
        <x:f>IF($B19="","",IFERROR(VLOOKUP($B19,'Fiyat Hesaplama'!$A$3:$Z$102,6,FALSE),""))</x:f>
      </x:c>
      <x:c r="H19" s="120"/>
      <x:c r="I19" s="120"/>
      <x:c r="J19" s="121" t="str">
        <x:f>IF($B19="","",IFERROR(VLOOKUP($B19,'Fiyat Hesaplama'!$A$3:$Z$102,9,FALSE),""))</x:f>
      </x:c>
      <x:c r="K19" s="95"/>
      <x:c r="L19" s="95"/>
      <x:c r="M19" s="95"/>
      <x:c r="N19" s="95"/>
      <x:c r="O19" s="95"/>
      <x:c r="P19" s="114"/>
      <x:c r="Q19" s="95"/>
      <x:c r="R19" s="89"/>
      <x:c r="S19" s="89"/>
      <x:c r="T19" s="89"/>
      <x:c r="U19" s="89"/>
      <x:c r="V19" s="89"/>
      <x:c r="W19" s="89"/>
      <x:c r="X19" s="89"/>
      <x:c r="Y19" s="89"/>
      <x:c r="Z19" s="89"/>
    </x:row>
    <x:row r="20">
      <x:c r="A20" s="95"/>
      <x:c r="B20" s="95"/>
      <x:c r="C20" s="95" t="str">
        <x:f>IF($B20="","",IFERROR(VLOOKUP($B20,'Fiyat Hesaplama'!$A$3:$Z$102,3,FALSE),""))</x:f>
      </x:c>
      <x:c r="D20" s="95" t="str">
        <x:f>IF($B20="","",IFERROR(VLOOKUP($B20,'Fiyat Hesaplama'!$A$3:$Z$102,4,FALSE),""))</x:f>
      </x:c>
      <x:c r="E20" s="95"/>
      <x:c r="F20" s="95" t="str">
        <x:f>IF($B20="","",IFERROR(VLOOKUP($B20,'Fiyat Hesaplama'!$A$3:$Z$102,5,FALSE),""))</x:f>
      </x:c>
      <x:c r="G20" s="95" t="str">
        <x:f>IF($B20="","",IFERROR(VLOOKUP($B20,'Fiyat Hesaplama'!$A$3:$Z$102,6,FALSE),""))</x:f>
      </x:c>
      <x:c r="H20" s="120"/>
      <x:c r="I20" s="120"/>
      <x:c r="J20" s="121" t="str">
        <x:f>IF($B20="","",IFERROR(VLOOKUP($B20,'Fiyat Hesaplama'!$A$3:$Z$102,9,FALSE),""))</x:f>
      </x:c>
      <x:c r="K20" s="95"/>
      <x:c r="L20" s="95"/>
      <x:c r="M20" s="95"/>
      <x:c r="N20" s="95"/>
      <x:c r="O20" s="95"/>
      <x:c r="P20" s="114"/>
      <x:c r="Q20" s="95"/>
      <x:c r="R20" s="89"/>
      <x:c r="S20" s="89"/>
      <x:c r="T20" s="89"/>
      <x:c r="U20" s="89"/>
      <x:c r="V20" s="89"/>
      <x:c r="W20" s="89"/>
      <x:c r="X20" s="89"/>
      <x:c r="Y20" s="89"/>
      <x:c r="Z20" s="89"/>
    </x:row>
    <x:row r="21">
      <x:c r="A21" s="95"/>
      <x:c r="B21" s="95"/>
      <x:c r="C21" s="95" t="str">
        <x:f>IF($B21="","",IFERROR(VLOOKUP($B21,'Fiyat Hesaplama'!$A$3:$Z$102,3,FALSE),""))</x:f>
      </x:c>
      <x:c r="D21" s="95" t="str">
        <x:f>IF($B21="","",IFERROR(VLOOKUP($B21,'Fiyat Hesaplama'!$A$3:$Z$102,4,FALSE),""))</x:f>
      </x:c>
      <x:c r="E21" s="95"/>
      <x:c r="F21" s="95" t="str">
        <x:f>IF($B21="","",IFERROR(VLOOKUP($B21,'Fiyat Hesaplama'!$A$3:$Z$102,5,FALSE),""))</x:f>
      </x:c>
      <x:c r="G21" s="95" t="str">
        <x:f>IF($B21="","",IFERROR(VLOOKUP($B21,'Fiyat Hesaplama'!$A$3:$Z$102,6,FALSE),""))</x:f>
      </x:c>
      <x:c r="H21" s="120"/>
      <x:c r="I21" s="120"/>
      <x:c r="J21" s="121" t="str">
        <x:f>IF($B21="","",IFERROR(VLOOKUP($B21,'Fiyat Hesaplama'!$A$3:$Z$102,9,FALSE),""))</x:f>
      </x:c>
      <x:c r="K21" s="95"/>
      <x:c r="L21" s="95"/>
      <x:c r="M21" s="95"/>
      <x:c r="N21" s="95"/>
      <x:c r="O21" s="95"/>
      <x:c r="P21" s="114"/>
      <x:c r="Q21" s="95"/>
      <x:c r="R21" s="89"/>
      <x:c r="S21" s="89"/>
      <x:c r="T21" s="89"/>
      <x:c r="U21" s="89"/>
      <x:c r="V21" s="89"/>
      <x:c r="W21" s="89"/>
      <x:c r="X21" s="89"/>
      <x:c r="Y21" s="89"/>
      <x:c r="Z21" s="89"/>
    </x:row>
    <x:row r="22">
      <x:c r="A22" s="95"/>
      <x:c r="B22" s="95"/>
      <x:c r="C22" s="95" t="str">
        <x:f>IF($B22="","",IFERROR(VLOOKUP($B22,'Fiyat Hesaplama'!$A$3:$Z$102,3,FALSE),""))</x:f>
      </x:c>
      <x:c r="D22" s="95" t="str">
        <x:f>IF($B22="","",IFERROR(VLOOKUP($B22,'Fiyat Hesaplama'!$A$3:$Z$102,4,FALSE),""))</x:f>
      </x:c>
      <x:c r="E22" s="95"/>
      <x:c r="F22" s="95" t="str">
        <x:f>IF($B22="","",IFERROR(VLOOKUP($B22,'Fiyat Hesaplama'!$A$3:$Z$102,5,FALSE),""))</x:f>
      </x:c>
      <x:c r="G22" s="95" t="str">
        <x:f>IF($B22="","",IFERROR(VLOOKUP($B22,'Fiyat Hesaplama'!$A$3:$Z$102,6,FALSE),""))</x:f>
      </x:c>
      <x:c r="H22" s="120"/>
      <x:c r="I22" s="120"/>
      <x:c r="J22" s="121" t="str">
        <x:f>IF($B22="","",IFERROR(VLOOKUP($B22,'Fiyat Hesaplama'!$A$3:$Z$102,9,FALSE),""))</x:f>
      </x:c>
      <x:c r="K22" s="95"/>
      <x:c r="L22" s="95"/>
      <x:c r="M22" s="95"/>
      <x:c r="N22" s="95"/>
      <x:c r="O22" s="95"/>
      <x:c r="P22" s="114"/>
      <x:c r="Q22" s="95"/>
      <x:c r="R22" s="89"/>
      <x:c r="S22" s="89"/>
      <x:c r="T22" s="89"/>
      <x:c r="U22" s="89"/>
      <x:c r="V22" s="89"/>
      <x:c r="W22" s="89"/>
      <x:c r="X22" s="89"/>
      <x:c r="Y22" s="89"/>
      <x:c r="Z22" s="89"/>
    </x:row>
    <x:row r="23">
      <x:c r="A23" s="95"/>
      <x:c r="B23" s="95"/>
      <x:c r="C23" s="95" t="str">
        <x:f>IF($B23="","",IFERROR(VLOOKUP($B23,'Fiyat Hesaplama'!$A$3:$Z$102,3,FALSE),""))</x:f>
      </x:c>
      <x:c r="D23" s="95" t="str">
        <x:f>IF($B23="","",IFERROR(VLOOKUP($B23,'Fiyat Hesaplama'!$A$3:$Z$102,4,FALSE),""))</x:f>
      </x:c>
      <x:c r="E23" s="95"/>
      <x:c r="F23" s="95" t="str">
        <x:f>IF($B23="","",IFERROR(VLOOKUP($B23,'Fiyat Hesaplama'!$A$3:$Z$102,5,FALSE),""))</x:f>
      </x:c>
      <x:c r="G23" s="95" t="str">
        <x:f>IF($B23="","",IFERROR(VLOOKUP($B23,'Fiyat Hesaplama'!$A$3:$Z$102,6,FALSE),""))</x:f>
      </x:c>
      <x:c r="H23" s="120"/>
      <x:c r="I23" s="120"/>
      <x:c r="J23" s="121" t="str">
        <x:f>IF($B23="","",IFERROR(VLOOKUP($B23,'Fiyat Hesaplama'!$A$3:$Z$102,9,FALSE),""))</x:f>
      </x:c>
      <x:c r="K23" s="95"/>
      <x:c r="L23" s="95"/>
      <x:c r="M23" s="95"/>
      <x:c r="N23" s="95"/>
      <x:c r="O23" s="95"/>
      <x:c r="P23" s="114"/>
      <x:c r="Q23" s="95"/>
      <x:c r="R23" s="89"/>
      <x:c r="S23" s="89"/>
      <x:c r="T23" s="89"/>
      <x:c r="U23" s="89"/>
      <x:c r="V23" s="89"/>
      <x:c r="W23" s="89"/>
      <x:c r="X23" s="89"/>
      <x:c r="Y23" s="89"/>
      <x:c r="Z23" s="89"/>
    </x:row>
    <x:row r="24">
      <x:c r="A24" s="95"/>
      <x:c r="B24" s="95"/>
      <x:c r="C24" s="95" t="str">
        <x:f>IF($B24="","",IFERROR(VLOOKUP($B24,'Fiyat Hesaplama'!$A$3:$Z$102,3,FALSE),""))</x:f>
      </x:c>
      <x:c r="D24" s="95" t="str">
        <x:f>IF($B24="","",IFERROR(VLOOKUP($B24,'Fiyat Hesaplama'!$A$3:$Z$102,4,FALSE),""))</x:f>
      </x:c>
      <x:c r="E24" s="95"/>
      <x:c r="F24" s="95" t="str">
        <x:f>IF($B24="","",IFERROR(VLOOKUP($B24,'Fiyat Hesaplama'!$A$3:$Z$102,5,FALSE),""))</x:f>
      </x:c>
      <x:c r="G24" s="95" t="str">
        <x:f>IF($B24="","",IFERROR(VLOOKUP($B24,'Fiyat Hesaplama'!$A$3:$Z$102,6,FALSE),""))</x:f>
      </x:c>
      <x:c r="H24" s="120"/>
      <x:c r="I24" s="120"/>
      <x:c r="J24" s="121" t="str">
        <x:f>IF($B24="","",IFERROR(VLOOKUP($B24,'Fiyat Hesaplama'!$A$3:$Z$102,9,FALSE),""))</x:f>
      </x:c>
      <x:c r="K24" s="95"/>
      <x:c r="L24" s="95"/>
      <x:c r="M24" s="95"/>
      <x:c r="N24" s="95"/>
      <x:c r="O24" s="95"/>
      <x:c r="P24" s="114"/>
      <x:c r="Q24" s="95"/>
      <x:c r="R24" s="89"/>
      <x:c r="S24" s="89"/>
      <x:c r="T24" s="89"/>
      <x:c r="U24" s="89"/>
      <x:c r="V24" s="89"/>
      <x:c r="W24" s="89"/>
      <x:c r="X24" s="89"/>
      <x:c r="Y24" s="89"/>
      <x:c r="Z24" s="89"/>
    </x:row>
    <x:row r="25">
      <x:c r="A25" s="95"/>
      <x:c r="B25" s="95"/>
      <x:c r="C25" s="95" t="str">
        <x:f>IF($B25="","",IFERROR(VLOOKUP($B25,'Fiyat Hesaplama'!$A$3:$Z$102,3,FALSE),""))</x:f>
      </x:c>
      <x:c r="D25" s="95" t="str">
        <x:f>IF($B25="","",IFERROR(VLOOKUP($B25,'Fiyat Hesaplama'!$A$3:$Z$102,4,FALSE),""))</x:f>
      </x:c>
      <x:c r="E25" s="95"/>
      <x:c r="F25" s="95" t="str">
        <x:f>IF($B25="","",IFERROR(VLOOKUP($B25,'Fiyat Hesaplama'!$A$3:$Z$102,5,FALSE),""))</x:f>
      </x:c>
      <x:c r="G25" s="95" t="str">
        <x:f>IF($B25="","",IFERROR(VLOOKUP($B25,'Fiyat Hesaplama'!$A$3:$Z$102,6,FALSE),""))</x:f>
      </x:c>
      <x:c r="H25" s="120"/>
      <x:c r="I25" s="120"/>
      <x:c r="J25" s="121" t="str">
        <x:f>IF($B25="","",IFERROR(VLOOKUP($B25,'Fiyat Hesaplama'!$A$3:$Z$102,9,FALSE),""))</x:f>
      </x:c>
      <x:c r="K25" s="95"/>
      <x:c r="L25" s="95"/>
      <x:c r="M25" s="95"/>
      <x:c r="N25" s="95"/>
      <x:c r="O25" s="95"/>
      <x:c r="P25" s="114"/>
      <x:c r="Q25" s="95"/>
      <x:c r="R25" s="89"/>
      <x:c r="S25" s="89"/>
      <x:c r="T25" s="89"/>
      <x:c r="U25" s="89"/>
      <x:c r="V25" s="89"/>
      <x:c r="W25" s="89"/>
      <x:c r="X25" s="89"/>
      <x:c r="Y25" s="89"/>
      <x:c r="Z25" s="89"/>
    </x:row>
    <x:row r="26">
      <x:c r="A26" s="95"/>
      <x:c r="B26" s="95"/>
      <x:c r="C26" s="95" t="str">
        <x:f>IF($B26="","",IFERROR(VLOOKUP($B26,'Fiyat Hesaplama'!$A$3:$Z$102,3,FALSE),""))</x:f>
      </x:c>
      <x:c r="D26" s="95" t="str">
        <x:f>IF($B26="","",IFERROR(VLOOKUP($B26,'Fiyat Hesaplama'!$A$3:$Z$102,4,FALSE),""))</x:f>
      </x:c>
      <x:c r="E26" s="95"/>
      <x:c r="F26" s="95" t="str">
        <x:f>IF($B26="","",IFERROR(VLOOKUP($B26,'Fiyat Hesaplama'!$A$3:$Z$102,5,FALSE),""))</x:f>
      </x:c>
      <x:c r="G26" s="95" t="str">
        <x:f>IF($B26="","",IFERROR(VLOOKUP($B26,'Fiyat Hesaplama'!$A$3:$Z$102,6,FALSE),""))</x:f>
      </x:c>
      <x:c r="H26" s="120"/>
      <x:c r="I26" s="120"/>
      <x:c r="J26" s="121" t="str">
        <x:f>IF($B26="","",IFERROR(VLOOKUP($B26,'Fiyat Hesaplama'!$A$3:$Z$102,9,FALSE),""))</x:f>
      </x:c>
      <x:c r="K26" s="95"/>
      <x:c r="L26" s="95"/>
      <x:c r="M26" s="95"/>
      <x:c r="N26" s="95"/>
      <x:c r="O26" s="95"/>
      <x:c r="P26" s="114"/>
      <x:c r="Q26" s="95"/>
      <x:c r="R26" s="89"/>
      <x:c r="S26" s="89"/>
      <x:c r="T26" s="89"/>
      <x:c r="U26" s="89"/>
      <x:c r="V26" s="89"/>
      <x:c r="W26" s="89"/>
      <x:c r="X26" s="89"/>
      <x:c r="Y26" s="89"/>
      <x:c r="Z26" s="89"/>
    </x:row>
    <x:row r="27">
      <x:c r="A27" s="95"/>
      <x:c r="B27" s="95"/>
      <x:c r="C27" s="95" t="str">
        <x:f>IF($B27="","",IFERROR(VLOOKUP($B27,'Fiyat Hesaplama'!$A$3:$Z$102,3,FALSE),""))</x:f>
      </x:c>
      <x:c r="D27" s="95" t="str">
        <x:f>IF($B27="","",IFERROR(VLOOKUP($B27,'Fiyat Hesaplama'!$A$3:$Z$102,4,FALSE),""))</x:f>
      </x:c>
      <x:c r="E27" s="95"/>
      <x:c r="F27" s="95" t="str">
        <x:f>IF($B27="","",IFERROR(VLOOKUP($B27,'Fiyat Hesaplama'!$A$3:$Z$102,5,FALSE),""))</x:f>
      </x:c>
      <x:c r="G27" s="95" t="str">
        <x:f>IF($B27="","",IFERROR(VLOOKUP($B27,'Fiyat Hesaplama'!$A$3:$Z$102,6,FALSE),""))</x:f>
      </x:c>
      <x:c r="H27" s="120"/>
      <x:c r="I27" s="120"/>
      <x:c r="J27" s="121" t="str">
        <x:f>IF($B27="","",IFERROR(VLOOKUP($B27,'Fiyat Hesaplama'!$A$3:$Z$102,9,FALSE),""))</x:f>
      </x:c>
      <x:c r="K27" s="95"/>
      <x:c r="L27" s="95"/>
      <x:c r="M27" s="95"/>
      <x:c r="N27" s="95"/>
      <x:c r="O27" s="95"/>
      <x:c r="P27" s="114"/>
      <x:c r="Q27" s="95"/>
      <x:c r="R27" s="89"/>
      <x:c r="S27" s="89"/>
      <x:c r="T27" s="89"/>
      <x:c r="U27" s="89"/>
      <x:c r="V27" s="89"/>
      <x:c r="W27" s="89"/>
      <x:c r="X27" s="89"/>
      <x:c r="Y27" s="89"/>
      <x:c r="Z27" s="89"/>
    </x:row>
    <x:row r="28">
      <x:c r="A28" s="95"/>
      <x:c r="B28" s="95"/>
      <x:c r="C28" s="95" t="str">
        <x:f>IF($B28="","",IFERROR(VLOOKUP($B28,'Fiyat Hesaplama'!$A$3:$Z$102,3,FALSE),""))</x:f>
      </x:c>
      <x:c r="D28" s="95" t="str">
        <x:f>IF($B28="","",IFERROR(VLOOKUP($B28,'Fiyat Hesaplama'!$A$3:$Z$102,4,FALSE),""))</x:f>
      </x:c>
      <x:c r="E28" s="95"/>
      <x:c r="F28" s="95" t="str">
        <x:f>IF($B28="","",IFERROR(VLOOKUP($B28,'Fiyat Hesaplama'!$A$3:$Z$102,5,FALSE),""))</x:f>
      </x:c>
      <x:c r="G28" s="95" t="str">
        <x:f>IF($B28="","",IFERROR(VLOOKUP($B28,'Fiyat Hesaplama'!$A$3:$Z$102,6,FALSE),""))</x:f>
      </x:c>
      <x:c r="H28" s="120"/>
      <x:c r="I28" s="120"/>
      <x:c r="J28" s="121" t="str">
        <x:f>IF($B28="","",IFERROR(VLOOKUP($B28,'Fiyat Hesaplama'!$A$3:$Z$102,9,FALSE),""))</x:f>
      </x:c>
      <x:c r="K28" s="95"/>
      <x:c r="L28" s="95"/>
      <x:c r="M28" s="95"/>
      <x:c r="N28" s="95"/>
      <x:c r="O28" s="95"/>
      <x:c r="P28" s="114"/>
      <x:c r="Q28" s="95"/>
      <x:c r="R28" s="89"/>
      <x:c r="S28" s="89"/>
      <x:c r="T28" s="89"/>
      <x:c r="U28" s="89"/>
      <x:c r="V28" s="89"/>
      <x:c r="W28" s="89"/>
      <x:c r="X28" s="89"/>
      <x:c r="Y28" s="89"/>
      <x:c r="Z28" s="89"/>
    </x:row>
    <x:row r="29">
      <x:c r="A29" s="95"/>
      <x:c r="B29" s="95"/>
      <x:c r="C29" s="95" t="str">
        <x:f>IF($B29="","",IFERROR(VLOOKUP($B29,'Fiyat Hesaplama'!$A$3:$Z$102,3,FALSE),""))</x:f>
      </x:c>
      <x:c r="D29" s="95" t="str">
        <x:f>IF($B29="","",IFERROR(VLOOKUP($B29,'Fiyat Hesaplama'!$A$3:$Z$102,4,FALSE),""))</x:f>
      </x:c>
      <x:c r="E29" s="95"/>
      <x:c r="F29" s="95" t="str">
        <x:f>IF($B29="","",IFERROR(VLOOKUP($B29,'Fiyat Hesaplama'!$A$3:$Z$102,5,FALSE),""))</x:f>
      </x:c>
      <x:c r="G29" s="95" t="str">
        <x:f>IF($B29="","",IFERROR(VLOOKUP($B29,'Fiyat Hesaplama'!$A$3:$Z$102,6,FALSE),""))</x:f>
      </x:c>
      <x:c r="H29" s="120"/>
      <x:c r="I29" s="120"/>
      <x:c r="J29" s="121" t="str">
        <x:f>IF($B29="","",IFERROR(VLOOKUP($B29,'Fiyat Hesaplama'!$A$3:$Z$102,9,FALSE),""))</x:f>
      </x:c>
      <x:c r="K29" s="95"/>
      <x:c r="L29" s="95"/>
      <x:c r="M29" s="95"/>
      <x:c r="N29" s="95"/>
      <x:c r="O29" s="95"/>
      <x:c r="P29" s="114"/>
      <x:c r="Q29" s="95"/>
      <x:c r="R29" s="89"/>
      <x:c r="S29" s="89"/>
      <x:c r="T29" s="89"/>
      <x:c r="U29" s="89"/>
      <x:c r="V29" s="89"/>
      <x:c r="W29" s="89"/>
      <x:c r="X29" s="89"/>
      <x:c r="Y29" s="89"/>
      <x:c r="Z29" s="89"/>
    </x:row>
    <x:row r="30">
      <x:c r="A30" s="95"/>
      <x:c r="B30" s="95"/>
      <x:c r="C30" s="95" t="str">
        <x:f>IF($B30="","",IFERROR(VLOOKUP($B30,'Fiyat Hesaplama'!$A$3:$Z$102,3,FALSE),""))</x:f>
      </x:c>
      <x:c r="D30" s="95" t="str">
        <x:f>IF($B30="","",IFERROR(VLOOKUP($B30,'Fiyat Hesaplama'!$A$3:$Z$102,4,FALSE),""))</x:f>
      </x:c>
      <x:c r="E30" s="95"/>
      <x:c r="F30" s="95" t="str">
        <x:f>IF($B30="","",IFERROR(VLOOKUP($B30,'Fiyat Hesaplama'!$A$3:$Z$102,5,FALSE),""))</x:f>
      </x:c>
      <x:c r="G30" s="95" t="str">
        <x:f>IF($B30="","",IFERROR(VLOOKUP($B30,'Fiyat Hesaplama'!$A$3:$Z$102,6,FALSE),""))</x:f>
      </x:c>
      <x:c r="H30" s="120"/>
      <x:c r="I30" s="120"/>
      <x:c r="J30" s="121" t="str">
        <x:f>IF($B30="","",IFERROR(VLOOKUP($B30,'Fiyat Hesaplama'!$A$3:$Z$102,9,FALSE),""))</x:f>
      </x:c>
      <x:c r="K30" s="95"/>
      <x:c r="L30" s="95"/>
      <x:c r="M30" s="95"/>
      <x:c r="N30" s="95"/>
      <x:c r="O30" s="95"/>
      <x:c r="P30" s="114"/>
      <x:c r="Q30" s="95"/>
      <x:c r="R30" s="89"/>
      <x:c r="S30" s="89"/>
      <x:c r="T30" s="89"/>
      <x:c r="U30" s="89"/>
      <x:c r="V30" s="89"/>
      <x:c r="W30" s="89"/>
      <x:c r="X30" s="89"/>
      <x:c r="Y30" s="89"/>
      <x:c r="Z30" s="89"/>
    </x:row>
    <x:row r="31">
      <x:c r="A31" s="95"/>
      <x:c r="B31" s="95"/>
      <x:c r="C31" s="95" t="str">
        <x:f>IF($B31="","",IFERROR(VLOOKUP($B31,'Fiyat Hesaplama'!$A$3:$Z$102,3,FALSE),""))</x:f>
      </x:c>
      <x:c r="D31" s="95" t="str">
        <x:f>IF($B31="","",IFERROR(VLOOKUP($B31,'Fiyat Hesaplama'!$A$3:$Z$102,4,FALSE),""))</x:f>
      </x:c>
      <x:c r="E31" s="95"/>
      <x:c r="F31" s="95" t="str">
        <x:f>IF($B31="","",IFERROR(VLOOKUP($B31,'Fiyat Hesaplama'!$A$3:$Z$102,5,FALSE),""))</x:f>
      </x:c>
      <x:c r="G31" s="95" t="str">
        <x:f>IF($B31="","",IFERROR(VLOOKUP($B31,'Fiyat Hesaplama'!$A$3:$Z$102,6,FALSE),""))</x:f>
      </x:c>
      <x:c r="H31" s="120"/>
      <x:c r="I31" s="120"/>
      <x:c r="J31" s="121" t="str">
        <x:f>IF($B31="","",IFERROR(VLOOKUP($B31,'Fiyat Hesaplama'!$A$3:$Z$102,9,FALSE),""))</x:f>
      </x:c>
      <x:c r="K31" s="95"/>
      <x:c r="L31" s="95"/>
      <x:c r="M31" s="95"/>
      <x:c r="N31" s="95"/>
      <x:c r="O31" s="95"/>
      <x:c r="P31" s="114"/>
      <x:c r="Q31" s="95"/>
      <x:c r="R31" s="89"/>
      <x:c r="S31" s="89"/>
      <x:c r="T31" s="89"/>
      <x:c r="U31" s="89"/>
      <x:c r="V31" s="89"/>
      <x:c r="W31" s="89"/>
      <x:c r="X31" s="89"/>
      <x:c r="Y31" s="89"/>
      <x:c r="Z31" s="89"/>
    </x:row>
    <x:row r="32">
      <x:c r="A32" s="95"/>
      <x:c r="B32" s="95"/>
      <x:c r="C32" s="95" t="str">
        <x:f>IF($B32="","",IFERROR(VLOOKUP($B32,'Fiyat Hesaplama'!$A$3:$Z$102,3,FALSE),""))</x:f>
      </x:c>
      <x:c r="D32" s="95" t="str">
        <x:f>IF($B32="","",IFERROR(VLOOKUP($B32,'Fiyat Hesaplama'!$A$3:$Z$102,4,FALSE),""))</x:f>
      </x:c>
      <x:c r="E32" s="95"/>
      <x:c r="F32" s="95" t="str">
        <x:f>IF($B32="","",IFERROR(VLOOKUP($B32,'Fiyat Hesaplama'!$A$3:$Z$102,5,FALSE),""))</x:f>
      </x:c>
      <x:c r="G32" s="95" t="str">
        <x:f>IF($B32="","",IFERROR(VLOOKUP($B32,'Fiyat Hesaplama'!$A$3:$Z$102,6,FALSE),""))</x:f>
      </x:c>
      <x:c r="H32" s="120"/>
      <x:c r="I32" s="120"/>
      <x:c r="J32" s="121" t="str">
        <x:f>IF($B32="","",IFERROR(VLOOKUP($B32,'Fiyat Hesaplama'!$A$3:$Z$102,9,FALSE),""))</x:f>
      </x:c>
      <x:c r="K32" s="95"/>
      <x:c r="L32" s="95"/>
      <x:c r="M32" s="95"/>
      <x:c r="N32" s="95"/>
      <x:c r="O32" s="95"/>
      <x:c r="P32" s="114"/>
      <x:c r="Q32" s="95"/>
      <x:c r="R32" s="89"/>
      <x:c r="S32" s="89"/>
      <x:c r="T32" s="89"/>
      <x:c r="U32" s="89"/>
      <x:c r="V32" s="89"/>
      <x:c r="W32" s="89"/>
      <x:c r="X32" s="89"/>
      <x:c r="Y32" s="89"/>
      <x:c r="Z32" s="89"/>
    </x:row>
    <x:row r="33">
      <x:c r="A33" s="95"/>
      <x:c r="B33" s="95"/>
      <x:c r="C33" s="95" t="str">
        <x:f>IF($B33="","",IFERROR(VLOOKUP($B33,'Fiyat Hesaplama'!$A$3:$Z$102,3,FALSE),""))</x:f>
      </x:c>
      <x:c r="D33" s="95" t="str">
        <x:f>IF($B33="","",IFERROR(VLOOKUP($B33,'Fiyat Hesaplama'!$A$3:$Z$102,4,FALSE),""))</x:f>
      </x:c>
      <x:c r="E33" s="95"/>
      <x:c r="F33" s="95" t="str">
        <x:f>IF($B33="","",IFERROR(VLOOKUP($B33,'Fiyat Hesaplama'!$A$3:$Z$102,5,FALSE),""))</x:f>
      </x:c>
      <x:c r="G33" s="95" t="str">
        <x:f>IF($B33="","",IFERROR(VLOOKUP($B33,'Fiyat Hesaplama'!$A$3:$Z$102,6,FALSE),""))</x:f>
      </x:c>
      <x:c r="H33" s="120"/>
      <x:c r="I33" s="120"/>
      <x:c r="J33" s="121" t="str">
        <x:f>IF($B33="","",IFERROR(VLOOKUP($B33,'Fiyat Hesaplama'!$A$3:$Z$102,9,FALSE),""))</x:f>
      </x:c>
      <x:c r="K33" s="95"/>
      <x:c r="L33" s="95"/>
      <x:c r="M33" s="95"/>
      <x:c r="N33" s="95"/>
      <x:c r="O33" s="95"/>
      <x:c r="P33" s="114"/>
      <x:c r="Q33" s="95"/>
      <x:c r="R33" s="89"/>
      <x:c r="S33" s="89"/>
      <x:c r="T33" s="89"/>
      <x:c r="U33" s="89"/>
      <x:c r="V33" s="89"/>
      <x:c r="W33" s="89"/>
      <x:c r="X33" s="89"/>
      <x:c r="Y33" s="89"/>
      <x:c r="Z33" s="89"/>
    </x:row>
    <x:row r="34">
      <x:c r="A34" s="95"/>
      <x:c r="B34" s="95"/>
      <x:c r="C34" s="95" t="str">
        <x:f>IF($B34="","",IFERROR(VLOOKUP($B34,'Fiyat Hesaplama'!$A$3:$Z$102,3,FALSE),""))</x:f>
      </x:c>
      <x:c r="D34" s="95" t="str">
        <x:f>IF($B34="","",IFERROR(VLOOKUP($B34,'Fiyat Hesaplama'!$A$3:$Z$102,4,FALSE),""))</x:f>
      </x:c>
      <x:c r="E34" s="95"/>
      <x:c r="F34" s="95" t="str">
        <x:f>IF($B34="","",IFERROR(VLOOKUP($B34,'Fiyat Hesaplama'!$A$3:$Z$102,5,FALSE),""))</x:f>
      </x:c>
      <x:c r="G34" s="95" t="str">
        <x:f>IF($B34="","",IFERROR(VLOOKUP($B34,'Fiyat Hesaplama'!$A$3:$Z$102,6,FALSE),""))</x:f>
      </x:c>
      <x:c r="H34" s="120"/>
      <x:c r="I34" s="120"/>
      <x:c r="J34" s="121" t="str">
        <x:f>IF($B34="","",IFERROR(VLOOKUP($B34,'Fiyat Hesaplama'!$A$3:$Z$102,9,FALSE),""))</x:f>
      </x:c>
      <x:c r="K34" s="95"/>
      <x:c r="L34" s="95"/>
      <x:c r="M34" s="95"/>
      <x:c r="N34" s="95"/>
      <x:c r="O34" s="95"/>
      <x:c r="P34" s="114"/>
      <x:c r="Q34" s="95"/>
      <x:c r="R34" s="89"/>
      <x:c r="S34" s="89"/>
      <x:c r="T34" s="89"/>
      <x:c r="U34" s="89"/>
      <x:c r="V34" s="89"/>
      <x:c r="W34" s="89"/>
      <x:c r="X34" s="89"/>
      <x:c r="Y34" s="89"/>
      <x:c r="Z34" s="89"/>
    </x:row>
    <x:row r="35">
      <x:c r="A35" s="95"/>
      <x:c r="B35" s="95"/>
      <x:c r="C35" s="95" t="str">
        <x:f>IF($B35="","",IFERROR(VLOOKUP($B35,'Fiyat Hesaplama'!$A$3:$Z$102,3,FALSE),""))</x:f>
      </x:c>
      <x:c r="D35" s="95" t="str">
        <x:f>IF($B35="","",IFERROR(VLOOKUP($B35,'Fiyat Hesaplama'!$A$3:$Z$102,4,FALSE),""))</x:f>
      </x:c>
      <x:c r="E35" s="95"/>
      <x:c r="F35" s="95" t="str">
        <x:f>IF($B35="","",IFERROR(VLOOKUP($B35,'Fiyat Hesaplama'!$A$3:$Z$102,5,FALSE),""))</x:f>
      </x:c>
      <x:c r="G35" s="95" t="str">
        <x:f>IF($B35="","",IFERROR(VLOOKUP($B35,'Fiyat Hesaplama'!$A$3:$Z$102,6,FALSE),""))</x:f>
      </x:c>
      <x:c r="H35" s="120"/>
      <x:c r="I35" s="120"/>
      <x:c r="J35" s="121" t="str">
        <x:f>IF($B35="","",IFERROR(VLOOKUP($B35,'Fiyat Hesaplama'!$A$3:$Z$102,9,FALSE),""))</x:f>
      </x:c>
      <x:c r="K35" s="95"/>
      <x:c r="L35" s="95"/>
      <x:c r="M35" s="95"/>
      <x:c r="N35" s="95"/>
      <x:c r="O35" s="95"/>
      <x:c r="P35" s="114"/>
      <x:c r="Q35" s="95"/>
      <x:c r="R35" s="89"/>
      <x:c r="S35" s="89"/>
      <x:c r="T35" s="89"/>
      <x:c r="U35" s="89"/>
      <x:c r="V35" s="89"/>
      <x:c r="W35" s="89"/>
      <x:c r="X35" s="89"/>
      <x:c r="Y35" s="89"/>
      <x:c r="Z35" s="89"/>
    </x:row>
    <x:row r="36">
      <x:c r="A36" s="95"/>
      <x:c r="B36" s="95"/>
      <x:c r="C36" s="95" t="str">
        <x:f>IF($B36="","",IFERROR(VLOOKUP($B36,'Fiyat Hesaplama'!$A$3:$Z$102,3,FALSE),""))</x:f>
      </x:c>
      <x:c r="D36" s="95" t="str">
        <x:f>IF($B36="","",IFERROR(VLOOKUP($B36,'Fiyat Hesaplama'!$A$3:$Z$102,4,FALSE),""))</x:f>
      </x:c>
      <x:c r="E36" s="95"/>
      <x:c r="F36" s="95" t="str">
        <x:f>IF($B36="","",IFERROR(VLOOKUP($B36,'Fiyat Hesaplama'!$A$3:$Z$102,5,FALSE),""))</x:f>
      </x:c>
      <x:c r="G36" s="95" t="str">
        <x:f>IF($B36="","",IFERROR(VLOOKUP($B36,'Fiyat Hesaplama'!$A$3:$Z$102,6,FALSE),""))</x:f>
      </x:c>
      <x:c r="H36" s="120"/>
      <x:c r="I36" s="120"/>
      <x:c r="J36" s="121" t="str">
        <x:f>IF($B36="","",IFERROR(VLOOKUP($B36,'Fiyat Hesaplama'!$A$3:$Z$102,9,FALSE),""))</x:f>
      </x:c>
      <x:c r="K36" s="95"/>
      <x:c r="L36" s="95"/>
      <x:c r="M36" s="95"/>
      <x:c r="N36" s="95"/>
      <x:c r="O36" s="95"/>
      <x:c r="P36" s="114"/>
      <x:c r="Q36" s="95"/>
      <x:c r="R36" s="89"/>
      <x:c r="S36" s="89"/>
      <x:c r="T36" s="89"/>
      <x:c r="U36" s="89"/>
      <x:c r="V36" s="89"/>
      <x:c r="W36" s="89"/>
      <x:c r="X36" s="89"/>
      <x:c r="Y36" s="89"/>
      <x:c r="Z36" s="89"/>
    </x:row>
    <x:row r="37">
      <x:c r="A37" s="95"/>
      <x:c r="B37" s="95"/>
      <x:c r="C37" s="95" t="str">
        <x:f>IF($B37="","",IFERROR(VLOOKUP($B37,'Fiyat Hesaplama'!$A$3:$Z$102,3,FALSE),""))</x:f>
      </x:c>
      <x:c r="D37" s="95" t="str">
        <x:f>IF($B37="","",IFERROR(VLOOKUP($B37,'Fiyat Hesaplama'!$A$3:$Z$102,4,FALSE),""))</x:f>
      </x:c>
      <x:c r="E37" s="95"/>
      <x:c r="F37" s="95" t="str">
        <x:f>IF($B37="","",IFERROR(VLOOKUP($B37,'Fiyat Hesaplama'!$A$3:$Z$102,5,FALSE),""))</x:f>
      </x:c>
      <x:c r="G37" s="95" t="str">
        <x:f>IF($B37="","",IFERROR(VLOOKUP($B37,'Fiyat Hesaplama'!$A$3:$Z$102,6,FALSE),""))</x:f>
      </x:c>
      <x:c r="H37" s="120"/>
      <x:c r="I37" s="120"/>
      <x:c r="J37" s="121" t="str">
        <x:f>IF($B37="","",IFERROR(VLOOKUP($B37,'Fiyat Hesaplama'!$A$3:$Z$102,9,FALSE),""))</x:f>
      </x:c>
      <x:c r="K37" s="95"/>
      <x:c r="L37" s="95"/>
      <x:c r="M37" s="95"/>
      <x:c r="N37" s="95"/>
      <x:c r="O37" s="95"/>
      <x:c r="P37" s="114"/>
      <x:c r="Q37" s="95"/>
      <x:c r="R37" s="89"/>
      <x:c r="S37" s="89"/>
      <x:c r="T37" s="89"/>
      <x:c r="U37" s="89"/>
      <x:c r="V37" s="89"/>
      <x:c r="W37" s="89"/>
      <x:c r="X37" s="89"/>
      <x:c r="Y37" s="89"/>
      <x:c r="Z37" s="89"/>
    </x:row>
    <x:row r="38">
      <x:c r="A38" s="95"/>
      <x:c r="B38" s="95"/>
      <x:c r="C38" s="95" t="str">
        <x:f>IF($B38="","",IFERROR(VLOOKUP($B38,'Fiyat Hesaplama'!$A$3:$Z$102,3,FALSE),""))</x:f>
      </x:c>
      <x:c r="D38" s="95" t="str">
        <x:f>IF($B38="","",IFERROR(VLOOKUP($B38,'Fiyat Hesaplama'!$A$3:$Z$102,4,FALSE),""))</x:f>
      </x:c>
      <x:c r="E38" s="95"/>
      <x:c r="F38" s="95" t="str">
        <x:f>IF($B38="","",IFERROR(VLOOKUP($B38,'Fiyat Hesaplama'!$A$3:$Z$102,5,FALSE),""))</x:f>
      </x:c>
      <x:c r="G38" s="95" t="str">
        <x:f>IF($B38="","",IFERROR(VLOOKUP($B38,'Fiyat Hesaplama'!$A$3:$Z$102,6,FALSE),""))</x:f>
      </x:c>
      <x:c r="H38" s="120"/>
      <x:c r="I38" s="120"/>
      <x:c r="J38" s="121" t="str">
        <x:f>IF($B38="","",IFERROR(VLOOKUP($B38,'Fiyat Hesaplama'!$A$3:$Z$102,9,FALSE),""))</x:f>
      </x:c>
      <x:c r="K38" s="95"/>
      <x:c r="L38" s="95"/>
      <x:c r="M38" s="95"/>
      <x:c r="N38" s="95"/>
      <x:c r="O38" s="95"/>
      <x:c r="P38" s="114"/>
      <x:c r="Q38" s="95"/>
      <x:c r="R38" s="89"/>
      <x:c r="S38" s="89"/>
      <x:c r="T38" s="89"/>
      <x:c r="U38" s="89"/>
      <x:c r="V38" s="89"/>
      <x:c r="W38" s="89"/>
      <x:c r="X38" s="89"/>
      <x:c r="Y38" s="89"/>
      <x:c r="Z38" s="89"/>
    </x:row>
    <x:row r="39">
      <x:c r="A39" s="95"/>
      <x:c r="B39" s="95"/>
      <x:c r="C39" s="95" t="str">
        <x:f>IF($B39="","",IFERROR(VLOOKUP($B39,'Fiyat Hesaplama'!$A$3:$Z$102,3,FALSE),""))</x:f>
      </x:c>
      <x:c r="D39" s="95" t="str">
        <x:f>IF($B39="","",IFERROR(VLOOKUP($B39,'Fiyat Hesaplama'!$A$3:$Z$102,4,FALSE),""))</x:f>
      </x:c>
      <x:c r="E39" s="95"/>
      <x:c r="F39" s="95" t="str">
        <x:f>IF($B39="","",IFERROR(VLOOKUP($B39,'Fiyat Hesaplama'!$A$3:$Z$102,5,FALSE),""))</x:f>
      </x:c>
      <x:c r="G39" s="95" t="str">
        <x:f>IF($B39="","",IFERROR(VLOOKUP($B39,'Fiyat Hesaplama'!$A$3:$Z$102,6,FALSE),""))</x:f>
      </x:c>
      <x:c r="H39" s="120"/>
      <x:c r="I39" s="120"/>
      <x:c r="J39" s="121" t="str">
        <x:f>IF($B39="","",IFERROR(VLOOKUP($B39,'Fiyat Hesaplama'!$A$3:$Z$102,9,FALSE),""))</x:f>
      </x:c>
      <x:c r="K39" s="95"/>
      <x:c r="L39" s="95"/>
      <x:c r="M39" s="95"/>
      <x:c r="N39" s="95"/>
      <x:c r="O39" s="95"/>
      <x:c r="P39" s="114"/>
      <x:c r="Q39" s="95"/>
      <x:c r="R39" s="89"/>
      <x:c r="S39" s="89"/>
      <x:c r="T39" s="89"/>
      <x:c r="U39" s="89"/>
      <x:c r="V39" s="89"/>
      <x:c r="W39" s="89"/>
      <x:c r="X39" s="89"/>
      <x:c r="Y39" s="89"/>
      <x:c r="Z39" s="89"/>
    </x:row>
    <x:row r="40">
      <x:c r="A40" s="95"/>
      <x:c r="B40" s="95"/>
      <x:c r="C40" s="95" t="str">
        <x:f>IF($B40="","",IFERROR(VLOOKUP($B40,'Fiyat Hesaplama'!$A$3:$Z$102,3,FALSE),""))</x:f>
      </x:c>
      <x:c r="D40" s="95" t="str">
        <x:f>IF($B40="","",IFERROR(VLOOKUP($B40,'Fiyat Hesaplama'!$A$3:$Z$102,4,FALSE),""))</x:f>
      </x:c>
      <x:c r="E40" s="95"/>
      <x:c r="F40" s="95" t="str">
        <x:f>IF($B40="","",IFERROR(VLOOKUP($B40,'Fiyat Hesaplama'!$A$3:$Z$102,5,FALSE),""))</x:f>
      </x:c>
      <x:c r="G40" s="95" t="str">
        <x:f>IF($B40="","",IFERROR(VLOOKUP($B40,'Fiyat Hesaplama'!$A$3:$Z$102,6,FALSE),""))</x:f>
      </x:c>
      <x:c r="H40" s="120"/>
      <x:c r="I40" s="120"/>
      <x:c r="J40" s="121" t="str">
        <x:f>IF($B40="","",IFERROR(VLOOKUP($B40,'Fiyat Hesaplama'!$A$3:$Z$102,9,FALSE),""))</x:f>
      </x:c>
      <x:c r="K40" s="95"/>
      <x:c r="L40" s="95"/>
      <x:c r="M40" s="95"/>
      <x:c r="N40" s="95"/>
      <x:c r="O40" s="95"/>
      <x:c r="P40" s="114"/>
      <x:c r="Q40" s="95"/>
      <x:c r="R40" s="89"/>
      <x:c r="S40" s="89"/>
      <x:c r="T40" s="89"/>
      <x:c r="U40" s="89"/>
      <x:c r="V40" s="89"/>
      <x:c r="W40" s="89"/>
      <x:c r="X40" s="89"/>
      <x:c r="Y40" s="89"/>
      <x:c r="Z40" s="89"/>
    </x:row>
    <x:row r="41">
      <x:c r="A41" s="95"/>
      <x:c r="B41" s="95"/>
      <x:c r="C41" s="95" t="str">
        <x:f>IF($B41="","",IFERROR(VLOOKUP($B41,'Fiyat Hesaplama'!$A$3:$Z$102,3,FALSE),""))</x:f>
      </x:c>
      <x:c r="D41" s="95" t="str">
        <x:f>IF($B41="","",IFERROR(VLOOKUP($B41,'Fiyat Hesaplama'!$A$3:$Z$102,4,FALSE),""))</x:f>
      </x:c>
      <x:c r="E41" s="95"/>
      <x:c r="F41" s="95" t="str">
        <x:f>IF($B41="","",IFERROR(VLOOKUP($B41,'Fiyat Hesaplama'!$A$3:$Z$102,5,FALSE),""))</x:f>
      </x:c>
      <x:c r="G41" s="95" t="str">
        <x:f>IF($B41="","",IFERROR(VLOOKUP($B41,'Fiyat Hesaplama'!$A$3:$Z$102,6,FALSE),""))</x:f>
      </x:c>
      <x:c r="H41" s="120"/>
      <x:c r="I41" s="120"/>
      <x:c r="J41" s="121" t="str">
        <x:f>IF($B41="","",IFERROR(VLOOKUP($B41,'Fiyat Hesaplama'!$A$3:$Z$102,9,FALSE),""))</x:f>
      </x:c>
      <x:c r="K41" s="95"/>
      <x:c r="L41" s="95"/>
      <x:c r="M41" s="95"/>
      <x:c r="N41" s="95"/>
      <x:c r="O41" s="95"/>
      <x:c r="P41" s="114"/>
      <x:c r="Q41" s="95"/>
      <x:c r="R41" s="89"/>
      <x:c r="S41" s="89"/>
      <x:c r="T41" s="89"/>
      <x:c r="U41" s="89"/>
      <x:c r="V41" s="89"/>
      <x:c r="W41" s="89"/>
      <x:c r="X41" s="89"/>
      <x:c r="Y41" s="89"/>
      <x:c r="Z41" s="89"/>
    </x:row>
    <x:row r="42">
      <x:c r="A42" s="95"/>
      <x:c r="B42" s="95"/>
      <x:c r="C42" s="95" t="str">
        <x:f>IF($B42="","",IFERROR(VLOOKUP($B42,'Fiyat Hesaplama'!$A$3:$Z$102,3,FALSE),""))</x:f>
      </x:c>
      <x:c r="D42" s="95" t="str">
        <x:f>IF($B42="","",IFERROR(VLOOKUP($B42,'Fiyat Hesaplama'!$A$3:$Z$102,4,FALSE),""))</x:f>
      </x:c>
      <x:c r="E42" s="95"/>
      <x:c r="F42" s="95" t="str">
        <x:f>IF($B42="","",IFERROR(VLOOKUP($B42,'Fiyat Hesaplama'!$A$3:$Z$102,5,FALSE),""))</x:f>
      </x:c>
      <x:c r="G42" s="95" t="str">
        <x:f>IF($B42="","",IFERROR(VLOOKUP($B42,'Fiyat Hesaplama'!$A$3:$Z$102,6,FALSE),""))</x:f>
      </x:c>
      <x:c r="H42" s="120"/>
      <x:c r="I42" s="120"/>
      <x:c r="J42" s="121" t="str">
        <x:f>IF($B42="","",IFERROR(VLOOKUP($B42,'Fiyat Hesaplama'!$A$3:$Z$102,9,FALSE),""))</x:f>
      </x:c>
      <x:c r="K42" s="95"/>
      <x:c r="L42" s="95"/>
      <x:c r="M42" s="95"/>
      <x:c r="N42" s="95"/>
      <x:c r="O42" s="95"/>
      <x:c r="P42" s="114"/>
      <x:c r="Q42" s="95"/>
      <x:c r="R42" s="89"/>
      <x:c r="S42" s="89"/>
      <x:c r="T42" s="89"/>
      <x:c r="U42" s="89"/>
      <x:c r="V42" s="89"/>
      <x:c r="W42" s="89"/>
      <x:c r="X42" s="89"/>
      <x:c r="Y42" s="89"/>
      <x:c r="Z42" s="89"/>
    </x:row>
    <x:row r="43">
      <x:c r="A43" s="95"/>
      <x:c r="B43" s="95"/>
      <x:c r="C43" s="95" t="str">
        <x:f>IF($B43="","",IFERROR(VLOOKUP($B43,'Fiyat Hesaplama'!$A$3:$Z$102,3,FALSE),""))</x:f>
      </x:c>
      <x:c r="D43" s="95" t="str">
        <x:f>IF($B43="","",IFERROR(VLOOKUP($B43,'Fiyat Hesaplama'!$A$3:$Z$102,4,FALSE),""))</x:f>
      </x:c>
      <x:c r="E43" s="95"/>
      <x:c r="F43" s="95" t="str">
        <x:f>IF($B43="","",IFERROR(VLOOKUP($B43,'Fiyat Hesaplama'!$A$3:$Z$102,5,FALSE),""))</x:f>
      </x:c>
      <x:c r="G43" s="95" t="str">
        <x:f>IF($B43="","",IFERROR(VLOOKUP($B43,'Fiyat Hesaplama'!$A$3:$Z$102,6,FALSE),""))</x:f>
      </x:c>
      <x:c r="H43" s="120"/>
      <x:c r="I43" s="120"/>
      <x:c r="J43" s="121" t="str">
        <x:f>IF($B43="","",IFERROR(VLOOKUP($B43,'Fiyat Hesaplama'!$A$3:$Z$102,9,FALSE),""))</x:f>
      </x:c>
      <x:c r="K43" s="95"/>
      <x:c r="L43" s="95"/>
      <x:c r="M43" s="95"/>
      <x:c r="N43" s="95"/>
      <x:c r="O43" s="95"/>
      <x:c r="P43" s="114"/>
      <x:c r="Q43" s="95"/>
      <x:c r="R43" s="89"/>
      <x:c r="S43" s="89"/>
      <x:c r="T43" s="89"/>
      <x:c r="U43" s="89"/>
      <x:c r="V43" s="89"/>
      <x:c r="W43" s="89"/>
      <x:c r="X43" s="89"/>
      <x:c r="Y43" s="89"/>
      <x:c r="Z43" s="89"/>
    </x:row>
    <x:row r="44">
      <x:c r="A44" s="95"/>
      <x:c r="B44" s="95"/>
      <x:c r="C44" s="95" t="str">
        <x:f>IF($B44="","",IFERROR(VLOOKUP($B44,'Fiyat Hesaplama'!$A$3:$Z$102,3,FALSE),""))</x:f>
      </x:c>
      <x:c r="D44" s="95" t="str">
        <x:f>IF($B44="","",IFERROR(VLOOKUP($B44,'Fiyat Hesaplama'!$A$3:$Z$102,4,FALSE),""))</x:f>
      </x:c>
      <x:c r="E44" s="95"/>
      <x:c r="F44" s="95" t="str">
        <x:f>IF($B44="","",IFERROR(VLOOKUP($B44,'Fiyat Hesaplama'!$A$3:$Z$102,5,FALSE),""))</x:f>
      </x:c>
      <x:c r="G44" s="95" t="str">
        <x:f>IF($B44="","",IFERROR(VLOOKUP($B44,'Fiyat Hesaplama'!$A$3:$Z$102,6,FALSE),""))</x:f>
      </x:c>
      <x:c r="H44" s="120"/>
      <x:c r="I44" s="120"/>
      <x:c r="J44" s="121" t="str">
        <x:f>IF($B44="","",IFERROR(VLOOKUP($B44,'Fiyat Hesaplama'!$A$3:$Z$102,9,FALSE),""))</x:f>
      </x:c>
      <x:c r="K44" s="95"/>
      <x:c r="L44" s="95"/>
      <x:c r="M44" s="95"/>
      <x:c r="N44" s="95"/>
      <x:c r="O44" s="95"/>
      <x:c r="P44" s="114"/>
      <x:c r="Q44" s="95"/>
      <x:c r="R44" s="89"/>
      <x:c r="S44" s="89"/>
      <x:c r="T44" s="89"/>
      <x:c r="U44" s="89"/>
      <x:c r="V44" s="89"/>
      <x:c r="W44" s="89"/>
      <x:c r="X44" s="89"/>
      <x:c r="Y44" s="89"/>
      <x:c r="Z44" s="89"/>
    </x:row>
    <x:row r="45">
      <x:c r="A45" s="95"/>
      <x:c r="B45" s="95"/>
      <x:c r="C45" s="95" t="str">
        <x:f>IF($B45="","",IFERROR(VLOOKUP($B45,'Fiyat Hesaplama'!$A$3:$Z$102,3,FALSE),""))</x:f>
      </x:c>
      <x:c r="D45" s="95" t="str">
        <x:f>IF($B45="","",IFERROR(VLOOKUP($B45,'Fiyat Hesaplama'!$A$3:$Z$102,4,FALSE),""))</x:f>
      </x:c>
      <x:c r="E45" s="95"/>
      <x:c r="F45" s="95" t="str">
        <x:f>IF($B45="","",IFERROR(VLOOKUP($B45,'Fiyat Hesaplama'!$A$3:$Z$102,5,FALSE),""))</x:f>
      </x:c>
      <x:c r="G45" s="95" t="str">
        <x:f>IF($B45="","",IFERROR(VLOOKUP($B45,'Fiyat Hesaplama'!$A$3:$Z$102,6,FALSE),""))</x:f>
      </x:c>
      <x:c r="H45" s="120"/>
      <x:c r="I45" s="120"/>
      <x:c r="J45" s="121" t="str">
        <x:f>IF($B45="","",IFERROR(VLOOKUP($B45,'Fiyat Hesaplama'!$A$3:$Z$102,9,FALSE),""))</x:f>
      </x:c>
      <x:c r="K45" s="95"/>
      <x:c r="L45" s="95"/>
      <x:c r="M45" s="95"/>
      <x:c r="N45" s="95"/>
      <x:c r="O45" s="95"/>
      <x:c r="P45" s="114"/>
      <x:c r="Q45" s="95"/>
      <x:c r="R45" s="89"/>
      <x:c r="S45" s="89"/>
      <x:c r="T45" s="89"/>
      <x:c r="U45" s="89"/>
      <x:c r="V45" s="89"/>
      <x:c r="W45" s="89"/>
      <x:c r="X45" s="89"/>
      <x:c r="Y45" s="89"/>
      <x:c r="Z45" s="89"/>
    </x:row>
    <x:row r="46">
      <x:c r="A46" s="95"/>
      <x:c r="B46" s="95"/>
      <x:c r="C46" s="95" t="str">
        <x:f>IF($B46="","",IFERROR(VLOOKUP($B46,'Fiyat Hesaplama'!$A$3:$Z$102,3,FALSE),""))</x:f>
      </x:c>
      <x:c r="D46" s="95" t="str">
        <x:f>IF($B46="","",IFERROR(VLOOKUP($B46,'Fiyat Hesaplama'!$A$3:$Z$102,4,FALSE),""))</x:f>
      </x:c>
      <x:c r="E46" s="95"/>
      <x:c r="F46" s="95" t="str">
        <x:f>IF($B46="","",IFERROR(VLOOKUP($B46,'Fiyat Hesaplama'!$A$3:$Z$102,5,FALSE),""))</x:f>
      </x:c>
      <x:c r="G46" s="95" t="str">
        <x:f>IF($B46="","",IFERROR(VLOOKUP($B46,'Fiyat Hesaplama'!$A$3:$Z$102,6,FALSE),""))</x:f>
      </x:c>
      <x:c r="H46" s="120"/>
      <x:c r="I46" s="120"/>
      <x:c r="J46" s="121" t="str">
        <x:f>IF($B46="","",IFERROR(VLOOKUP($B46,'Fiyat Hesaplama'!$A$3:$Z$102,9,FALSE),""))</x:f>
      </x:c>
      <x:c r="K46" s="95"/>
      <x:c r="L46" s="95"/>
      <x:c r="M46" s="95"/>
      <x:c r="N46" s="95"/>
      <x:c r="O46" s="95"/>
      <x:c r="P46" s="114"/>
      <x:c r="Q46" s="95"/>
      <x:c r="R46" s="89"/>
      <x:c r="S46" s="89"/>
      <x:c r="T46" s="89"/>
      <x:c r="U46" s="89"/>
      <x:c r="V46" s="89"/>
      <x:c r="W46" s="89"/>
      <x:c r="X46" s="89"/>
      <x:c r="Y46" s="89"/>
      <x:c r="Z46" s="89"/>
    </x:row>
    <x:row r="47">
      <x:c r="A47" s="95"/>
      <x:c r="B47" s="95"/>
      <x:c r="C47" s="95" t="str">
        <x:f>IF($B47="","",IFERROR(VLOOKUP($B47,'Fiyat Hesaplama'!$A$3:$Z$102,3,FALSE),""))</x:f>
      </x:c>
      <x:c r="D47" s="95" t="str">
        <x:f>IF($B47="","",IFERROR(VLOOKUP($B47,'Fiyat Hesaplama'!$A$3:$Z$102,4,FALSE),""))</x:f>
      </x:c>
      <x:c r="E47" s="95"/>
      <x:c r="F47" s="95" t="str">
        <x:f>IF($B47="","",IFERROR(VLOOKUP($B47,'Fiyat Hesaplama'!$A$3:$Z$102,5,FALSE),""))</x:f>
      </x:c>
      <x:c r="G47" s="95" t="str">
        <x:f>IF($B47="","",IFERROR(VLOOKUP($B47,'Fiyat Hesaplama'!$A$3:$Z$102,6,FALSE),""))</x:f>
      </x:c>
      <x:c r="H47" s="120"/>
      <x:c r="I47" s="120"/>
      <x:c r="J47" s="121" t="str">
        <x:f>IF($B47="","",IFERROR(VLOOKUP($B47,'Fiyat Hesaplama'!$A$3:$Z$102,9,FALSE),""))</x:f>
      </x:c>
      <x:c r="K47" s="95"/>
      <x:c r="L47" s="95"/>
      <x:c r="M47" s="95"/>
      <x:c r="N47" s="95"/>
      <x:c r="O47" s="95"/>
      <x:c r="P47" s="114"/>
      <x:c r="Q47" s="95"/>
      <x:c r="R47" s="89"/>
      <x:c r="S47" s="89"/>
      <x:c r="T47" s="89"/>
      <x:c r="U47" s="89"/>
      <x:c r="V47" s="89"/>
      <x:c r="W47" s="89"/>
      <x:c r="X47" s="89"/>
      <x:c r="Y47" s="89"/>
      <x:c r="Z47" s="89"/>
    </x:row>
    <x:row r="48">
      <x:c r="A48" s="95"/>
      <x:c r="B48" s="95"/>
      <x:c r="C48" s="95" t="str">
        <x:f>IF($B48="","",IFERROR(VLOOKUP($B48,'Fiyat Hesaplama'!$A$3:$Z$102,3,FALSE),""))</x:f>
      </x:c>
      <x:c r="D48" s="95" t="str">
        <x:f>IF($B48="","",IFERROR(VLOOKUP($B48,'Fiyat Hesaplama'!$A$3:$Z$102,4,FALSE),""))</x:f>
      </x:c>
      <x:c r="E48" s="95"/>
      <x:c r="F48" s="95" t="str">
        <x:f>IF($B48="","",IFERROR(VLOOKUP($B48,'Fiyat Hesaplama'!$A$3:$Z$102,5,FALSE),""))</x:f>
      </x:c>
      <x:c r="G48" s="95" t="str">
        <x:f>IF($B48="","",IFERROR(VLOOKUP($B48,'Fiyat Hesaplama'!$A$3:$Z$102,6,FALSE),""))</x:f>
      </x:c>
      <x:c r="H48" s="120"/>
      <x:c r="I48" s="120"/>
      <x:c r="J48" s="121" t="str">
        <x:f>IF($B48="","",IFERROR(VLOOKUP($B48,'Fiyat Hesaplama'!$A$3:$Z$102,9,FALSE),""))</x:f>
      </x:c>
      <x:c r="K48" s="95"/>
      <x:c r="L48" s="95"/>
      <x:c r="M48" s="95"/>
      <x:c r="N48" s="95"/>
      <x:c r="O48" s="95"/>
      <x:c r="P48" s="114"/>
      <x:c r="Q48" s="95"/>
      <x:c r="R48" s="89"/>
      <x:c r="S48" s="89"/>
      <x:c r="T48" s="89"/>
      <x:c r="U48" s="89"/>
      <x:c r="V48" s="89"/>
      <x:c r="W48" s="89"/>
      <x:c r="X48" s="89"/>
      <x:c r="Y48" s="89"/>
      <x:c r="Z48" s="89"/>
    </x:row>
    <x:row r="49">
      <x:c r="A49" s="95"/>
      <x:c r="B49" s="95"/>
      <x:c r="C49" s="95" t="str">
        <x:f>IF($B49="","",IFERROR(VLOOKUP($B49,'Fiyat Hesaplama'!$A$3:$Z$102,3,FALSE),""))</x:f>
      </x:c>
      <x:c r="D49" s="95" t="str">
        <x:f>IF($B49="","",IFERROR(VLOOKUP($B49,'Fiyat Hesaplama'!$A$3:$Z$102,4,FALSE),""))</x:f>
      </x:c>
      <x:c r="E49" s="95"/>
      <x:c r="F49" s="95" t="str">
        <x:f>IF($B49="","",IFERROR(VLOOKUP($B49,'Fiyat Hesaplama'!$A$3:$Z$102,5,FALSE),""))</x:f>
      </x:c>
      <x:c r="G49" s="95" t="str">
        <x:f>IF($B49="","",IFERROR(VLOOKUP($B49,'Fiyat Hesaplama'!$A$3:$Z$102,6,FALSE),""))</x:f>
      </x:c>
      <x:c r="H49" s="120"/>
      <x:c r="I49" s="120"/>
      <x:c r="J49" s="121" t="str">
        <x:f>IF($B49="","",IFERROR(VLOOKUP($B49,'Fiyat Hesaplama'!$A$3:$Z$102,9,FALSE),""))</x:f>
      </x:c>
      <x:c r="K49" s="95"/>
      <x:c r="L49" s="95"/>
      <x:c r="M49" s="95"/>
      <x:c r="N49" s="95"/>
      <x:c r="O49" s="95"/>
      <x:c r="P49" s="114"/>
      <x:c r="Q49" s="95"/>
      <x:c r="R49" s="89"/>
      <x:c r="S49" s="89"/>
      <x:c r="T49" s="89"/>
      <x:c r="U49" s="89"/>
      <x:c r="V49" s="89"/>
      <x:c r="W49" s="89"/>
      <x:c r="X49" s="89"/>
      <x:c r="Y49" s="89"/>
      <x:c r="Z49" s="89"/>
    </x:row>
    <x:row r="50">
      <x:c r="A50" s="95"/>
      <x:c r="B50" s="95"/>
      <x:c r="C50" s="95" t="str">
        <x:f>IF($B50="","",IFERROR(VLOOKUP($B50,'Fiyat Hesaplama'!$A$3:$Z$102,3,FALSE),""))</x:f>
      </x:c>
      <x:c r="D50" s="95" t="str">
        <x:f>IF($B50="","",IFERROR(VLOOKUP($B50,'Fiyat Hesaplama'!$A$3:$Z$102,4,FALSE),""))</x:f>
      </x:c>
      <x:c r="E50" s="95"/>
      <x:c r="F50" s="95" t="str">
        <x:f>IF($B50="","",IFERROR(VLOOKUP($B50,'Fiyat Hesaplama'!$A$3:$Z$102,5,FALSE),""))</x:f>
      </x:c>
      <x:c r="G50" s="95" t="str">
        <x:f>IF($B50="","",IFERROR(VLOOKUP($B50,'Fiyat Hesaplama'!$A$3:$Z$102,6,FALSE),""))</x:f>
      </x:c>
      <x:c r="H50" s="120"/>
      <x:c r="I50" s="120"/>
      <x:c r="J50" s="121" t="str">
        <x:f>IF($B50="","",IFERROR(VLOOKUP($B50,'Fiyat Hesaplama'!$A$3:$Z$102,9,FALSE),""))</x:f>
      </x:c>
      <x:c r="K50" s="95"/>
      <x:c r="L50" s="95"/>
      <x:c r="M50" s="95"/>
      <x:c r="N50" s="95"/>
      <x:c r="O50" s="95"/>
      <x:c r="P50" s="114"/>
      <x:c r="Q50" s="95"/>
      <x:c r="R50" s="89"/>
      <x:c r="S50" s="89"/>
      <x:c r="T50" s="89"/>
      <x:c r="U50" s="89"/>
      <x:c r="V50" s="89"/>
      <x:c r="W50" s="89"/>
      <x:c r="X50" s="89"/>
      <x:c r="Y50" s="89"/>
      <x:c r="Z50" s="89"/>
    </x:row>
    <x:row r="51">
      <x:c r="A51" s="95"/>
      <x:c r="B51" s="95"/>
      <x:c r="C51" s="95" t="str">
        <x:f>IF($B51="","",IFERROR(VLOOKUP($B51,'Fiyat Hesaplama'!$A$3:$Z$102,3,FALSE),""))</x:f>
      </x:c>
      <x:c r="D51" s="95" t="str">
        <x:f>IF($B51="","",IFERROR(VLOOKUP($B51,'Fiyat Hesaplama'!$A$3:$Z$102,4,FALSE),""))</x:f>
      </x:c>
      <x:c r="E51" s="95"/>
      <x:c r="F51" s="95" t="str">
        <x:f>IF($B51="","",IFERROR(VLOOKUP($B51,'Fiyat Hesaplama'!$A$3:$Z$102,5,FALSE),""))</x:f>
      </x:c>
      <x:c r="G51" s="95" t="str">
        <x:f>IF($B51="","",IFERROR(VLOOKUP($B51,'Fiyat Hesaplama'!$A$3:$Z$102,6,FALSE),""))</x:f>
      </x:c>
      <x:c r="H51" s="120"/>
      <x:c r="I51" s="120"/>
      <x:c r="J51" s="121" t="str">
        <x:f>IF($B51="","",IFERROR(VLOOKUP($B51,'Fiyat Hesaplama'!$A$3:$Z$102,9,FALSE),""))</x:f>
      </x:c>
      <x:c r="K51" s="95"/>
      <x:c r="L51" s="95"/>
      <x:c r="M51" s="95"/>
      <x:c r="N51" s="95"/>
      <x:c r="O51" s="95"/>
      <x:c r="P51" s="114"/>
      <x:c r="Q51" s="95"/>
      <x:c r="R51" s="89"/>
      <x:c r="S51" s="89"/>
      <x:c r="T51" s="89"/>
      <x:c r="U51" s="89"/>
      <x:c r="V51" s="89"/>
      <x:c r="W51" s="89"/>
      <x:c r="X51" s="89"/>
      <x:c r="Y51" s="89"/>
      <x:c r="Z51" s="89"/>
    </x:row>
    <x:row r="52">
      <x:c r="A52" s="95"/>
      <x:c r="B52" s="95"/>
      <x:c r="C52" s="95" t="str">
        <x:f>IF($B52="","",IFERROR(VLOOKUP($B52,'Fiyat Hesaplama'!$A$3:$Z$102,3,FALSE),""))</x:f>
      </x:c>
      <x:c r="D52" s="95" t="str">
        <x:f>IF($B52="","",IFERROR(VLOOKUP($B52,'Fiyat Hesaplama'!$A$3:$Z$102,4,FALSE),""))</x:f>
      </x:c>
      <x:c r="E52" s="95"/>
      <x:c r="F52" s="95" t="str">
        <x:f>IF($B52="","",IFERROR(VLOOKUP($B52,'Fiyat Hesaplama'!$A$3:$Z$102,5,FALSE),""))</x:f>
      </x:c>
      <x:c r="G52" s="95" t="str">
        <x:f>IF($B52="","",IFERROR(VLOOKUP($B52,'Fiyat Hesaplama'!$A$3:$Z$102,6,FALSE),""))</x:f>
      </x:c>
      <x:c r="H52" s="120"/>
      <x:c r="I52" s="120"/>
      <x:c r="J52" s="121" t="str">
        <x:f>IF($B52="","",IFERROR(VLOOKUP($B52,'Fiyat Hesaplama'!$A$3:$Z$102,9,FALSE),""))</x:f>
      </x:c>
      <x:c r="K52" s="95"/>
      <x:c r="L52" s="95"/>
      <x:c r="M52" s="95"/>
      <x:c r="N52" s="95"/>
      <x:c r="O52" s="95"/>
      <x:c r="P52" s="114"/>
      <x:c r="Q52" s="95"/>
      <x:c r="R52" s="89"/>
      <x:c r="S52" s="89"/>
      <x:c r="T52" s="89"/>
      <x:c r="U52" s="89"/>
      <x:c r="V52" s="89"/>
      <x:c r="W52" s="89"/>
      <x:c r="X52" s="89"/>
      <x:c r="Y52" s="89"/>
      <x:c r="Z52" s="89"/>
    </x:row>
    <x:row r="53">
      <x:c r="A53" s="95"/>
      <x:c r="B53" s="95"/>
      <x:c r="C53" s="95" t="str">
        <x:f>IF($B53="","",IFERROR(VLOOKUP($B53,'Fiyat Hesaplama'!$A$3:$Z$102,3,FALSE),""))</x:f>
      </x:c>
      <x:c r="D53" s="95" t="str">
        <x:f>IF($B53="","",IFERROR(VLOOKUP($B53,'Fiyat Hesaplama'!$A$3:$Z$102,4,FALSE),""))</x:f>
      </x:c>
      <x:c r="E53" s="95"/>
      <x:c r="F53" s="95" t="str">
        <x:f>IF($B53="","",IFERROR(VLOOKUP($B53,'Fiyat Hesaplama'!$A$3:$Z$102,5,FALSE),""))</x:f>
      </x:c>
      <x:c r="G53" s="95" t="str">
        <x:f>IF($B53="","",IFERROR(VLOOKUP($B53,'Fiyat Hesaplama'!$A$3:$Z$102,6,FALSE),""))</x:f>
      </x:c>
      <x:c r="H53" s="120"/>
      <x:c r="I53" s="120"/>
      <x:c r="J53" s="121" t="str">
        <x:f>IF($B53="","",IFERROR(VLOOKUP($B53,'Fiyat Hesaplama'!$A$3:$Z$102,9,FALSE),""))</x:f>
      </x:c>
      <x:c r="K53" s="95"/>
      <x:c r="L53" s="95"/>
      <x:c r="M53" s="95"/>
      <x:c r="N53" s="95"/>
      <x:c r="O53" s="95"/>
      <x:c r="P53" s="114"/>
      <x:c r="Q53" s="95"/>
      <x:c r="R53" s="89"/>
      <x:c r="S53" s="89"/>
      <x:c r="T53" s="89"/>
      <x:c r="U53" s="89"/>
      <x:c r="V53" s="89"/>
      <x:c r="W53" s="89"/>
      <x:c r="X53" s="89"/>
      <x:c r="Y53" s="89"/>
      <x:c r="Z53" s="89"/>
    </x:row>
    <x:row r="54">
      <x:c r="A54" s="95"/>
      <x:c r="B54" s="95"/>
      <x:c r="C54" s="95" t="str">
        <x:f>IF($B54="","",IFERROR(VLOOKUP($B54,'Fiyat Hesaplama'!$A$3:$Z$102,3,FALSE),""))</x:f>
      </x:c>
      <x:c r="D54" s="95" t="str">
        <x:f>IF($B54="","",IFERROR(VLOOKUP($B54,'Fiyat Hesaplama'!$A$3:$Z$102,4,FALSE),""))</x:f>
      </x:c>
      <x:c r="E54" s="95"/>
      <x:c r="F54" s="95" t="str">
        <x:f>IF($B54="","",IFERROR(VLOOKUP($B54,'Fiyat Hesaplama'!$A$3:$Z$102,5,FALSE),""))</x:f>
      </x:c>
      <x:c r="G54" s="95" t="str">
        <x:f>IF($B54="","",IFERROR(VLOOKUP($B54,'Fiyat Hesaplama'!$A$3:$Z$102,6,FALSE),""))</x:f>
      </x:c>
      <x:c r="H54" s="120"/>
      <x:c r="I54" s="120"/>
      <x:c r="J54" s="121" t="str">
        <x:f>IF($B54="","",IFERROR(VLOOKUP($B54,'Fiyat Hesaplama'!$A$3:$Z$102,9,FALSE),""))</x:f>
      </x:c>
      <x:c r="K54" s="95"/>
      <x:c r="L54" s="95"/>
      <x:c r="M54" s="95"/>
      <x:c r="N54" s="95"/>
      <x:c r="O54" s="95"/>
      <x:c r="P54" s="114"/>
      <x:c r="Q54" s="95"/>
      <x:c r="R54" s="89"/>
      <x:c r="S54" s="89"/>
      <x:c r="T54" s="89"/>
      <x:c r="U54" s="89"/>
      <x:c r="V54" s="89"/>
      <x:c r="W54" s="89"/>
      <x:c r="X54" s="89"/>
      <x:c r="Y54" s="89"/>
      <x:c r="Z54" s="89"/>
    </x:row>
    <x:row r="55">
      <x:c r="A55" s="95"/>
      <x:c r="B55" s="95"/>
      <x:c r="C55" s="95" t="str">
        <x:f>IF($B55="","",IFERROR(VLOOKUP($B55,'Fiyat Hesaplama'!$A$3:$Z$102,3,FALSE),""))</x:f>
      </x:c>
      <x:c r="D55" s="95" t="str">
        <x:f>IF($B55="","",IFERROR(VLOOKUP($B55,'Fiyat Hesaplama'!$A$3:$Z$102,4,FALSE),""))</x:f>
      </x:c>
      <x:c r="E55" s="95"/>
      <x:c r="F55" s="95" t="str">
        <x:f>IF($B55="","",IFERROR(VLOOKUP($B55,'Fiyat Hesaplama'!$A$3:$Z$102,5,FALSE),""))</x:f>
      </x:c>
      <x:c r="G55" s="95" t="str">
        <x:f>IF($B55="","",IFERROR(VLOOKUP($B55,'Fiyat Hesaplama'!$A$3:$Z$102,6,FALSE),""))</x:f>
      </x:c>
      <x:c r="H55" s="120"/>
      <x:c r="I55" s="120"/>
      <x:c r="J55" s="121" t="str">
        <x:f>IF($B55="","",IFERROR(VLOOKUP($B55,'Fiyat Hesaplama'!$A$3:$Z$102,9,FALSE),""))</x:f>
      </x:c>
      <x:c r="K55" s="95"/>
      <x:c r="L55" s="95"/>
      <x:c r="M55" s="95"/>
      <x:c r="N55" s="95"/>
      <x:c r="O55" s="95"/>
      <x:c r="P55" s="114"/>
      <x:c r="Q55" s="95"/>
      <x:c r="R55" s="89"/>
      <x:c r="S55" s="89"/>
      <x:c r="T55" s="89"/>
      <x:c r="U55" s="89"/>
      <x:c r="V55" s="89"/>
      <x:c r="W55" s="89"/>
      <x:c r="X55" s="89"/>
      <x:c r="Y55" s="89"/>
      <x:c r="Z55" s="89"/>
    </x:row>
    <x:row r="56">
      <x:c r="A56" s="95"/>
      <x:c r="B56" s="95"/>
      <x:c r="C56" s="95" t="str">
        <x:f>IF($B56="","",IFERROR(VLOOKUP($B56,'Fiyat Hesaplama'!$A$3:$Z$102,3,FALSE),""))</x:f>
      </x:c>
      <x:c r="D56" s="95" t="str">
        <x:f>IF($B56="","",IFERROR(VLOOKUP($B56,'Fiyat Hesaplama'!$A$3:$Z$102,4,FALSE),""))</x:f>
      </x:c>
      <x:c r="E56" s="95"/>
      <x:c r="F56" s="95" t="str">
        <x:f>IF($B56="","",IFERROR(VLOOKUP($B56,'Fiyat Hesaplama'!$A$3:$Z$102,5,FALSE),""))</x:f>
      </x:c>
      <x:c r="G56" s="95" t="str">
        <x:f>IF($B56="","",IFERROR(VLOOKUP($B56,'Fiyat Hesaplama'!$A$3:$Z$102,6,FALSE),""))</x:f>
      </x:c>
      <x:c r="H56" s="120"/>
      <x:c r="I56" s="120"/>
      <x:c r="J56" s="121" t="str">
        <x:f>IF($B56="","",IFERROR(VLOOKUP($B56,'Fiyat Hesaplama'!$A$3:$Z$102,9,FALSE),""))</x:f>
      </x:c>
      <x:c r="K56" s="95"/>
      <x:c r="L56" s="95"/>
      <x:c r="M56" s="95"/>
      <x:c r="N56" s="95"/>
      <x:c r="O56" s="95"/>
      <x:c r="P56" s="114"/>
      <x:c r="Q56" s="95"/>
      <x:c r="R56" s="89"/>
      <x:c r="S56" s="89"/>
      <x:c r="T56" s="89"/>
      <x:c r="U56" s="89"/>
      <x:c r="V56" s="89"/>
      <x:c r="W56" s="89"/>
      <x:c r="X56" s="89"/>
      <x:c r="Y56" s="89"/>
      <x:c r="Z56" s="89"/>
    </x:row>
    <x:row r="57">
      <x:c r="A57" s="95"/>
      <x:c r="B57" s="95"/>
      <x:c r="C57" s="95" t="str">
        <x:f>IF($B57="","",IFERROR(VLOOKUP($B57,'Fiyat Hesaplama'!$A$3:$Z$102,3,FALSE),""))</x:f>
      </x:c>
      <x:c r="D57" s="95" t="str">
        <x:f>IF($B57="","",IFERROR(VLOOKUP($B57,'Fiyat Hesaplama'!$A$3:$Z$102,4,FALSE),""))</x:f>
      </x:c>
      <x:c r="E57" s="95"/>
      <x:c r="F57" s="95" t="str">
        <x:f>IF($B57="","",IFERROR(VLOOKUP($B57,'Fiyat Hesaplama'!$A$3:$Z$102,5,FALSE),""))</x:f>
      </x:c>
      <x:c r="G57" s="95" t="str">
        <x:f>IF($B57="","",IFERROR(VLOOKUP($B57,'Fiyat Hesaplama'!$A$3:$Z$102,6,FALSE),""))</x:f>
      </x:c>
      <x:c r="H57" s="120"/>
      <x:c r="I57" s="120"/>
      <x:c r="J57" s="121" t="str">
        <x:f>IF($B57="","",IFERROR(VLOOKUP($B57,'Fiyat Hesaplama'!$A$3:$Z$102,9,FALSE),""))</x:f>
      </x:c>
      <x:c r="K57" s="95"/>
      <x:c r="L57" s="95"/>
      <x:c r="M57" s="95"/>
      <x:c r="N57" s="95"/>
      <x:c r="O57" s="95"/>
      <x:c r="P57" s="114"/>
      <x:c r="Q57" s="95"/>
      <x:c r="R57" s="89"/>
      <x:c r="S57" s="89"/>
      <x:c r="T57" s="89"/>
      <x:c r="U57" s="89"/>
      <x:c r="V57" s="89"/>
      <x:c r="W57" s="89"/>
      <x:c r="X57" s="89"/>
      <x:c r="Y57" s="89"/>
      <x:c r="Z57" s="89"/>
    </x:row>
    <x:row r="58">
      <x:c r="A58" s="95"/>
      <x:c r="B58" s="95"/>
      <x:c r="C58" s="95" t="str">
        <x:f>IF($B58="","",IFERROR(VLOOKUP($B58,'Fiyat Hesaplama'!$A$3:$Z$102,3,FALSE),""))</x:f>
      </x:c>
      <x:c r="D58" s="95" t="str">
        <x:f>IF($B58="","",IFERROR(VLOOKUP($B58,'Fiyat Hesaplama'!$A$3:$Z$102,4,FALSE),""))</x:f>
      </x:c>
      <x:c r="E58" s="95"/>
      <x:c r="F58" s="95" t="str">
        <x:f>IF($B58="","",IFERROR(VLOOKUP($B58,'Fiyat Hesaplama'!$A$3:$Z$102,5,FALSE),""))</x:f>
      </x:c>
      <x:c r="G58" s="95" t="str">
        <x:f>IF($B58="","",IFERROR(VLOOKUP($B58,'Fiyat Hesaplama'!$A$3:$Z$102,6,FALSE),""))</x:f>
      </x:c>
      <x:c r="H58" s="120"/>
      <x:c r="I58" s="120"/>
      <x:c r="J58" s="121" t="str">
        <x:f>IF($B58="","",IFERROR(VLOOKUP($B58,'Fiyat Hesaplama'!$A$3:$Z$102,9,FALSE),""))</x:f>
      </x:c>
      <x:c r="K58" s="95"/>
      <x:c r="L58" s="95"/>
      <x:c r="M58" s="95"/>
      <x:c r="N58" s="95"/>
      <x:c r="O58" s="95"/>
      <x:c r="P58" s="114"/>
      <x:c r="Q58" s="95"/>
      <x:c r="R58" s="89"/>
      <x:c r="S58" s="89"/>
      <x:c r="T58" s="89"/>
      <x:c r="U58" s="89"/>
      <x:c r="V58" s="89"/>
      <x:c r="W58" s="89"/>
      <x:c r="X58" s="89"/>
      <x:c r="Y58" s="89"/>
      <x:c r="Z58" s="89"/>
    </x:row>
    <x:row r="59">
      <x:c r="A59" s="95"/>
      <x:c r="B59" s="95"/>
      <x:c r="C59" s="95" t="str">
        <x:f>IF($B59="","",IFERROR(VLOOKUP($B59,'Fiyat Hesaplama'!$A$3:$Z$102,3,FALSE),""))</x:f>
      </x:c>
      <x:c r="D59" s="95" t="str">
        <x:f>IF($B59="","",IFERROR(VLOOKUP($B59,'Fiyat Hesaplama'!$A$3:$Z$102,4,FALSE),""))</x:f>
      </x:c>
      <x:c r="E59" s="95"/>
      <x:c r="F59" s="95" t="str">
        <x:f>IF($B59="","",IFERROR(VLOOKUP($B59,'Fiyat Hesaplama'!$A$3:$Z$102,5,FALSE),""))</x:f>
      </x:c>
      <x:c r="G59" s="95" t="str">
        <x:f>IF($B59="","",IFERROR(VLOOKUP($B59,'Fiyat Hesaplama'!$A$3:$Z$102,6,FALSE),""))</x:f>
      </x:c>
      <x:c r="H59" s="120"/>
      <x:c r="I59" s="120"/>
      <x:c r="J59" s="121" t="str">
        <x:f>IF($B59="","",IFERROR(VLOOKUP($B59,'Fiyat Hesaplama'!$A$3:$Z$102,9,FALSE),""))</x:f>
      </x:c>
      <x:c r="K59" s="95"/>
      <x:c r="L59" s="95"/>
      <x:c r="M59" s="95"/>
      <x:c r="N59" s="95"/>
      <x:c r="O59" s="95"/>
      <x:c r="P59" s="114"/>
      <x:c r="Q59" s="95"/>
      <x:c r="R59" s="89"/>
      <x:c r="S59" s="89"/>
      <x:c r="T59" s="89"/>
      <x:c r="U59" s="89"/>
      <x:c r="V59" s="89"/>
      <x:c r="W59" s="89"/>
      <x:c r="X59" s="89"/>
      <x:c r="Y59" s="89"/>
      <x:c r="Z59" s="89"/>
    </x:row>
    <x:row r="60">
      <x:c r="A60" s="95"/>
      <x:c r="B60" s="95"/>
      <x:c r="C60" s="95" t="str">
        <x:f>IF($B60="","",IFERROR(VLOOKUP($B60,'Fiyat Hesaplama'!$A$3:$Z$102,3,FALSE),""))</x:f>
      </x:c>
      <x:c r="D60" s="95" t="str">
        <x:f>IF($B60="","",IFERROR(VLOOKUP($B60,'Fiyat Hesaplama'!$A$3:$Z$102,4,FALSE),""))</x:f>
      </x:c>
      <x:c r="E60" s="95"/>
      <x:c r="F60" s="95" t="str">
        <x:f>IF($B60="","",IFERROR(VLOOKUP($B60,'Fiyat Hesaplama'!$A$3:$Z$102,5,FALSE),""))</x:f>
      </x:c>
      <x:c r="G60" s="95" t="str">
        <x:f>IF($B60="","",IFERROR(VLOOKUP($B60,'Fiyat Hesaplama'!$A$3:$Z$102,6,FALSE),""))</x:f>
      </x:c>
      <x:c r="H60" s="120"/>
      <x:c r="I60" s="120"/>
      <x:c r="J60" s="121" t="str">
        <x:f>IF($B60="","",IFERROR(VLOOKUP($B60,'Fiyat Hesaplama'!$A$3:$Z$102,9,FALSE),""))</x:f>
      </x:c>
      <x:c r="K60" s="95"/>
      <x:c r="L60" s="95"/>
      <x:c r="M60" s="95"/>
      <x:c r="N60" s="95"/>
      <x:c r="O60" s="95"/>
      <x:c r="P60" s="114"/>
      <x:c r="Q60" s="95"/>
      <x:c r="R60" s="89"/>
      <x:c r="S60" s="89"/>
      <x:c r="T60" s="89"/>
      <x:c r="U60" s="89"/>
      <x:c r="V60" s="89"/>
      <x:c r="W60" s="89"/>
      <x:c r="X60" s="89"/>
      <x:c r="Y60" s="89"/>
      <x:c r="Z60" s="89"/>
    </x:row>
    <x:row r="61">
      <x:c r="A61" s="95"/>
      <x:c r="B61" s="95"/>
      <x:c r="C61" s="95" t="str">
        <x:f>IF($B61="","",IFERROR(VLOOKUP($B61,'Fiyat Hesaplama'!$A$3:$Z$102,3,FALSE),""))</x:f>
      </x:c>
      <x:c r="D61" s="95" t="str">
        <x:f>IF($B61="","",IFERROR(VLOOKUP($B61,'Fiyat Hesaplama'!$A$3:$Z$102,4,FALSE),""))</x:f>
      </x:c>
      <x:c r="E61" s="95"/>
      <x:c r="F61" s="95" t="str">
        <x:f>IF($B61="","",IFERROR(VLOOKUP($B61,'Fiyat Hesaplama'!$A$3:$Z$102,5,FALSE),""))</x:f>
      </x:c>
      <x:c r="G61" s="95" t="str">
        <x:f>IF($B61="","",IFERROR(VLOOKUP($B61,'Fiyat Hesaplama'!$A$3:$Z$102,6,FALSE),""))</x:f>
      </x:c>
      <x:c r="H61" s="120"/>
      <x:c r="I61" s="120"/>
      <x:c r="J61" s="121" t="str">
        <x:f>IF($B61="","",IFERROR(VLOOKUP($B61,'Fiyat Hesaplama'!$A$3:$Z$102,9,FALSE),""))</x:f>
      </x:c>
      <x:c r="K61" s="95"/>
      <x:c r="L61" s="95"/>
      <x:c r="M61" s="95"/>
      <x:c r="N61" s="95"/>
      <x:c r="O61" s="95"/>
      <x:c r="P61" s="114"/>
      <x:c r="Q61" s="95"/>
      <x:c r="R61" s="89"/>
      <x:c r="S61" s="89"/>
      <x:c r="T61" s="89"/>
      <x:c r="U61" s="89"/>
      <x:c r="V61" s="89"/>
      <x:c r="W61" s="89"/>
      <x:c r="X61" s="89"/>
      <x:c r="Y61" s="89"/>
      <x:c r="Z61" s="89"/>
    </x:row>
    <x:row r="62">
      <x:c r="A62" s="95"/>
      <x:c r="B62" s="95"/>
      <x:c r="C62" s="95" t="str">
        <x:f>IF($B62="","",IFERROR(VLOOKUP($B62,'Fiyat Hesaplama'!$A$3:$Z$102,3,FALSE),""))</x:f>
      </x:c>
      <x:c r="D62" s="95" t="str">
        <x:f>IF($B62="","",IFERROR(VLOOKUP($B62,'Fiyat Hesaplama'!$A$3:$Z$102,4,FALSE),""))</x:f>
      </x:c>
      <x:c r="E62" s="95"/>
      <x:c r="F62" s="95" t="str">
        <x:f>IF($B62="","",IFERROR(VLOOKUP($B62,'Fiyat Hesaplama'!$A$3:$Z$102,5,FALSE),""))</x:f>
      </x:c>
      <x:c r="G62" s="95" t="str">
        <x:f>IF($B62="","",IFERROR(VLOOKUP($B62,'Fiyat Hesaplama'!$A$3:$Z$102,6,FALSE),""))</x:f>
      </x:c>
      <x:c r="H62" s="120"/>
      <x:c r="I62" s="120"/>
      <x:c r="J62" s="121" t="str">
        <x:f>IF($B62="","",IFERROR(VLOOKUP($B62,'Fiyat Hesaplama'!$A$3:$Z$102,9,FALSE),""))</x:f>
      </x:c>
      <x:c r="K62" s="95"/>
      <x:c r="L62" s="95"/>
      <x:c r="M62" s="95"/>
      <x:c r="N62" s="95"/>
      <x:c r="O62" s="95"/>
      <x:c r="P62" s="114"/>
      <x:c r="Q62" s="95"/>
      <x:c r="R62" s="89"/>
      <x:c r="S62" s="89"/>
      <x:c r="T62" s="89"/>
      <x:c r="U62" s="89"/>
      <x:c r="V62" s="89"/>
      <x:c r="W62" s="89"/>
      <x:c r="X62" s="89"/>
      <x:c r="Y62" s="89"/>
      <x:c r="Z62" s="89"/>
    </x:row>
    <x:row r="63">
      <x:c r="A63" s="95"/>
      <x:c r="B63" s="95"/>
      <x:c r="C63" s="95" t="str">
        <x:f>IF($B63="","",IFERROR(VLOOKUP($B63,'Fiyat Hesaplama'!$A$3:$Z$102,3,FALSE),""))</x:f>
      </x:c>
      <x:c r="D63" s="95" t="str">
        <x:f>IF($B63="","",IFERROR(VLOOKUP($B63,'Fiyat Hesaplama'!$A$3:$Z$102,4,FALSE),""))</x:f>
      </x:c>
      <x:c r="E63" s="95"/>
      <x:c r="F63" s="95" t="str">
        <x:f>IF($B63="","",IFERROR(VLOOKUP($B63,'Fiyat Hesaplama'!$A$3:$Z$102,5,FALSE),""))</x:f>
      </x:c>
      <x:c r="G63" s="95" t="str">
        <x:f>IF($B63="","",IFERROR(VLOOKUP($B63,'Fiyat Hesaplama'!$A$3:$Z$102,6,FALSE),""))</x:f>
      </x:c>
      <x:c r="H63" s="120"/>
      <x:c r="I63" s="120"/>
      <x:c r="J63" s="121" t="str">
        <x:f>IF($B63="","",IFERROR(VLOOKUP($B63,'Fiyat Hesaplama'!$A$3:$Z$102,9,FALSE),""))</x:f>
      </x:c>
      <x:c r="K63" s="95"/>
      <x:c r="L63" s="95"/>
      <x:c r="M63" s="95"/>
      <x:c r="N63" s="95"/>
      <x:c r="O63" s="95"/>
      <x:c r="P63" s="114"/>
      <x:c r="Q63" s="95"/>
      <x:c r="R63" s="89"/>
      <x:c r="S63" s="89"/>
      <x:c r="T63" s="89"/>
      <x:c r="U63" s="89"/>
      <x:c r="V63" s="89"/>
      <x:c r="W63" s="89"/>
      <x:c r="X63" s="89"/>
      <x:c r="Y63" s="89"/>
      <x:c r="Z63" s="89"/>
    </x:row>
    <x:row r="64">
      <x:c r="A64" s="95"/>
      <x:c r="B64" s="95"/>
      <x:c r="C64" s="95" t="str">
        <x:f>IF($B64="","",IFERROR(VLOOKUP($B64,'Fiyat Hesaplama'!$A$3:$Z$102,3,FALSE),""))</x:f>
      </x:c>
      <x:c r="D64" s="95" t="str">
        <x:f>IF($B64="","",IFERROR(VLOOKUP($B64,'Fiyat Hesaplama'!$A$3:$Z$102,4,FALSE),""))</x:f>
      </x:c>
      <x:c r="E64" s="95"/>
      <x:c r="F64" s="95" t="str">
        <x:f>IF($B64="","",IFERROR(VLOOKUP($B64,'Fiyat Hesaplama'!$A$3:$Z$102,5,FALSE),""))</x:f>
      </x:c>
      <x:c r="G64" s="95" t="str">
        <x:f>IF($B64="","",IFERROR(VLOOKUP($B64,'Fiyat Hesaplama'!$A$3:$Z$102,6,FALSE),""))</x:f>
      </x:c>
      <x:c r="H64" s="120"/>
      <x:c r="I64" s="120"/>
      <x:c r="J64" s="121" t="str">
        <x:f>IF($B64="","",IFERROR(VLOOKUP($B64,'Fiyat Hesaplama'!$A$3:$Z$102,9,FALSE),""))</x:f>
      </x:c>
      <x:c r="K64" s="95"/>
      <x:c r="L64" s="95"/>
      <x:c r="M64" s="95"/>
      <x:c r="N64" s="95"/>
      <x:c r="O64" s="95"/>
      <x:c r="P64" s="114"/>
      <x:c r="Q64" s="95"/>
      <x:c r="R64" s="89"/>
      <x:c r="S64" s="89"/>
      <x:c r="T64" s="89"/>
      <x:c r="U64" s="89"/>
      <x:c r="V64" s="89"/>
      <x:c r="W64" s="89"/>
      <x:c r="X64" s="89"/>
      <x:c r="Y64" s="89"/>
      <x:c r="Z64" s="89"/>
    </x:row>
    <x:row r="65">
      <x:c r="A65" s="95"/>
      <x:c r="B65" s="95"/>
      <x:c r="C65" s="95" t="str">
        <x:f>IF($B65="","",IFERROR(VLOOKUP($B65,'Fiyat Hesaplama'!$A$3:$Z$102,3,FALSE),""))</x:f>
      </x:c>
      <x:c r="D65" s="95" t="str">
        <x:f>IF($B65="","",IFERROR(VLOOKUP($B65,'Fiyat Hesaplama'!$A$3:$Z$102,4,FALSE),""))</x:f>
      </x:c>
      <x:c r="E65" s="95"/>
      <x:c r="F65" s="95" t="str">
        <x:f>IF($B65="","",IFERROR(VLOOKUP($B65,'Fiyat Hesaplama'!$A$3:$Z$102,5,FALSE),""))</x:f>
      </x:c>
      <x:c r="G65" s="95" t="str">
        <x:f>IF($B65="","",IFERROR(VLOOKUP($B65,'Fiyat Hesaplama'!$A$3:$Z$102,6,FALSE),""))</x:f>
      </x:c>
      <x:c r="H65" s="120"/>
      <x:c r="I65" s="120"/>
      <x:c r="J65" s="121" t="str">
        <x:f>IF($B65="","",IFERROR(VLOOKUP($B65,'Fiyat Hesaplama'!$A$3:$Z$102,9,FALSE),""))</x:f>
      </x:c>
      <x:c r="K65" s="95"/>
      <x:c r="L65" s="95"/>
      <x:c r="M65" s="95"/>
      <x:c r="N65" s="95"/>
      <x:c r="O65" s="95"/>
      <x:c r="P65" s="114"/>
      <x:c r="Q65" s="95"/>
      <x:c r="R65" s="89"/>
      <x:c r="S65" s="89"/>
      <x:c r="T65" s="89"/>
      <x:c r="U65" s="89"/>
      <x:c r="V65" s="89"/>
      <x:c r="W65" s="89"/>
      <x:c r="X65" s="89"/>
      <x:c r="Y65" s="89"/>
      <x:c r="Z65" s="89"/>
    </x:row>
    <x:row r="66">
      <x:c r="A66" s="95"/>
      <x:c r="B66" s="95"/>
      <x:c r="C66" s="95" t="str">
        <x:f>IF($B66="","",IFERROR(VLOOKUP($B66,'Fiyat Hesaplama'!$A$3:$Z$102,3,FALSE),""))</x:f>
      </x:c>
      <x:c r="D66" s="95" t="str">
        <x:f>IF($B66="","",IFERROR(VLOOKUP($B66,'Fiyat Hesaplama'!$A$3:$Z$102,4,FALSE),""))</x:f>
      </x:c>
      <x:c r="E66" s="95"/>
      <x:c r="F66" s="95" t="str">
        <x:f>IF($B66="","",IFERROR(VLOOKUP($B66,'Fiyat Hesaplama'!$A$3:$Z$102,5,FALSE),""))</x:f>
      </x:c>
      <x:c r="G66" s="95" t="str">
        <x:f>IF($B66="","",IFERROR(VLOOKUP($B66,'Fiyat Hesaplama'!$A$3:$Z$102,6,FALSE),""))</x:f>
      </x:c>
      <x:c r="H66" s="120"/>
      <x:c r="I66" s="120"/>
      <x:c r="J66" s="121" t="str">
        <x:f>IF($B66="","",IFERROR(VLOOKUP($B66,'Fiyat Hesaplama'!$A$3:$Z$102,9,FALSE),""))</x:f>
      </x:c>
      <x:c r="K66" s="95"/>
      <x:c r="L66" s="95"/>
      <x:c r="M66" s="95"/>
      <x:c r="N66" s="95"/>
      <x:c r="O66" s="95"/>
      <x:c r="P66" s="114"/>
      <x:c r="Q66" s="95"/>
      <x:c r="R66" s="89"/>
      <x:c r="S66" s="89"/>
      <x:c r="T66" s="89"/>
      <x:c r="U66" s="89"/>
      <x:c r="V66" s="89"/>
      <x:c r="W66" s="89"/>
      <x:c r="X66" s="89"/>
      <x:c r="Y66" s="89"/>
      <x:c r="Z66" s="89"/>
    </x:row>
    <x:row r="67">
      <x:c r="A67" s="95"/>
      <x:c r="B67" s="95"/>
      <x:c r="C67" s="95" t="str">
        <x:f>IF($B67="","",IFERROR(VLOOKUP($B67,'Fiyat Hesaplama'!$A$3:$Z$102,3,FALSE),""))</x:f>
      </x:c>
      <x:c r="D67" s="95" t="str">
        <x:f>IF($B67="","",IFERROR(VLOOKUP($B67,'Fiyat Hesaplama'!$A$3:$Z$102,4,FALSE),""))</x:f>
      </x:c>
      <x:c r="E67" s="95"/>
      <x:c r="F67" s="95" t="str">
        <x:f>IF($B67="","",IFERROR(VLOOKUP($B67,'Fiyat Hesaplama'!$A$3:$Z$102,5,FALSE),""))</x:f>
      </x:c>
      <x:c r="G67" s="95" t="str">
        <x:f>IF($B67="","",IFERROR(VLOOKUP($B67,'Fiyat Hesaplama'!$A$3:$Z$102,6,FALSE),""))</x:f>
      </x:c>
      <x:c r="H67" s="120"/>
      <x:c r="I67" s="120"/>
      <x:c r="J67" s="121" t="str">
        <x:f>IF($B67="","",IFERROR(VLOOKUP($B67,'Fiyat Hesaplama'!$A$3:$Z$102,9,FALSE),""))</x:f>
      </x:c>
      <x:c r="K67" s="95"/>
      <x:c r="L67" s="95"/>
      <x:c r="M67" s="95"/>
      <x:c r="N67" s="95"/>
      <x:c r="O67" s="95"/>
      <x:c r="P67" s="114"/>
      <x:c r="Q67" s="95"/>
      <x:c r="R67" s="89"/>
      <x:c r="S67" s="89"/>
      <x:c r="T67" s="89"/>
      <x:c r="U67" s="89"/>
      <x:c r="V67" s="89"/>
      <x:c r="W67" s="89"/>
      <x:c r="X67" s="89"/>
      <x:c r="Y67" s="89"/>
      <x:c r="Z67" s="89"/>
    </x:row>
    <x:row r="68">
      <x:c r="A68" s="95"/>
      <x:c r="B68" s="95"/>
      <x:c r="C68" s="95" t="str">
        <x:f>IF($B68="","",IFERROR(VLOOKUP($B68,'Fiyat Hesaplama'!$A$3:$Z$102,3,FALSE),""))</x:f>
      </x:c>
      <x:c r="D68" s="95" t="str">
        <x:f>IF($B68="","",IFERROR(VLOOKUP($B68,'Fiyat Hesaplama'!$A$3:$Z$102,4,FALSE),""))</x:f>
      </x:c>
      <x:c r="E68" s="95"/>
      <x:c r="F68" s="95" t="str">
        <x:f>IF($B68="","",IFERROR(VLOOKUP($B68,'Fiyat Hesaplama'!$A$3:$Z$102,5,FALSE),""))</x:f>
      </x:c>
      <x:c r="G68" s="95" t="str">
        <x:f>IF($B68="","",IFERROR(VLOOKUP($B68,'Fiyat Hesaplama'!$A$3:$Z$102,6,FALSE),""))</x:f>
      </x:c>
      <x:c r="H68" s="120"/>
      <x:c r="I68" s="120"/>
      <x:c r="J68" s="121" t="str">
        <x:f>IF($B68="","",IFERROR(VLOOKUP($B68,'Fiyat Hesaplama'!$A$3:$Z$102,9,FALSE),""))</x:f>
      </x:c>
      <x:c r="K68" s="95"/>
      <x:c r="L68" s="95"/>
      <x:c r="M68" s="95"/>
      <x:c r="N68" s="95"/>
      <x:c r="O68" s="95"/>
      <x:c r="P68" s="114"/>
      <x:c r="Q68" s="95"/>
      <x:c r="R68" s="89"/>
      <x:c r="S68" s="89"/>
      <x:c r="T68" s="89"/>
      <x:c r="U68" s="89"/>
      <x:c r="V68" s="89"/>
      <x:c r="W68" s="89"/>
      <x:c r="X68" s="89"/>
      <x:c r="Y68" s="89"/>
      <x:c r="Z68" s="89"/>
    </x:row>
    <x:row r="69">
      <x:c r="A69" s="95"/>
      <x:c r="B69" s="95"/>
      <x:c r="C69" s="95" t="str">
        <x:f>IF($B69="","",IFERROR(VLOOKUP($B69,'Fiyat Hesaplama'!$A$3:$Z$102,3,FALSE),""))</x:f>
      </x:c>
      <x:c r="D69" s="95" t="str">
        <x:f>IF($B69="","",IFERROR(VLOOKUP($B69,'Fiyat Hesaplama'!$A$3:$Z$102,4,FALSE),""))</x:f>
      </x:c>
      <x:c r="E69" s="95"/>
      <x:c r="F69" s="95" t="str">
        <x:f>IF($B69="","",IFERROR(VLOOKUP($B69,'Fiyat Hesaplama'!$A$3:$Z$102,5,FALSE),""))</x:f>
      </x:c>
      <x:c r="G69" s="95" t="str">
        <x:f>IF($B69="","",IFERROR(VLOOKUP($B69,'Fiyat Hesaplama'!$A$3:$Z$102,6,FALSE),""))</x:f>
      </x:c>
      <x:c r="H69" s="120"/>
      <x:c r="I69" s="120"/>
      <x:c r="J69" s="121" t="str">
        <x:f>IF($B69="","",IFERROR(VLOOKUP($B69,'Fiyat Hesaplama'!$A$3:$Z$102,9,FALSE),""))</x:f>
      </x:c>
      <x:c r="K69" s="95"/>
      <x:c r="L69" s="95"/>
      <x:c r="M69" s="95"/>
      <x:c r="N69" s="95"/>
      <x:c r="O69" s="95"/>
      <x:c r="P69" s="114"/>
      <x:c r="Q69" s="95"/>
      <x:c r="R69" s="89"/>
      <x:c r="S69" s="89"/>
      <x:c r="T69" s="89"/>
      <x:c r="U69" s="89"/>
      <x:c r="V69" s="89"/>
      <x:c r="W69" s="89"/>
      <x:c r="X69" s="89"/>
      <x:c r="Y69" s="89"/>
      <x:c r="Z69" s="89"/>
    </x:row>
    <x:row r="70">
      <x:c r="A70" s="95"/>
      <x:c r="B70" s="95"/>
      <x:c r="C70" s="95" t="str">
        <x:f>IF($B70="","",IFERROR(VLOOKUP($B70,'Fiyat Hesaplama'!$A$3:$Z$102,3,FALSE),""))</x:f>
      </x:c>
      <x:c r="D70" s="95" t="str">
        <x:f>IF($B70="","",IFERROR(VLOOKUP($B70,'Fiyat Hesaplama'!$A$3:$Z$102,4,FALSE),""))</x:f>
      </x:c>
      <x:c r="E70" s="95"/>
      <x:c r="F70" s="95" t="str">
        <x:f>IF($B70="","",IFERROR(VLOOKUP($B70,'Fiyat Hesaplama'!$A$3:$Z$102,5,FALSE),""))</x:f>
      </x:c>
      <x:c r="G70" s="95" t="str">
        <x:f>IF($B70="","",IFERROR(VLOOKUP($B70,'Fiyat Hesaplama'!$A$3:$Z$102,6,FALSE),""))</x:f>
      </x:c>
      <x:c r="H70" s="120"/>
      <x:c r="I70" s="120"/>
      <x:c r="J70" s="121" t="str">
        <x:f>IF($B70="","",IFERROR(VLOOKUP($B70,'Fiyat Hesaplama'!$A$3:$Z$102,9,FALSE),""))</x:f>
      </x:c>
      <x:c r="K70" s="95"/>
      <x:c r="L70" s="95"/>
      <x:c r="M70" s="95"/>
      <x:c r="N70" s="95"/>
      <x:c r="O70" s="95"/>
      <x:c r="P70" s="114"/>
      <x:c r="Q70" s="95"/>
      <x:c r="R70" s="89"/>
      <x:c r="S70" s="89"/>
      <x:c r="T70" s="89"/>
      <x:c r="U70" s="89"/>
      <x:c r="V70" s="89"/>
      <x:c r="W70" s="89"/>
      <x:c r="X70" s="89"/>
      <x:c r="Y70" s="89"/>
      <x:c r="Z70" s="89"/>
    </x:row>
    <x:row r="71">
      <x:c r="A71" s="95"/>
      <x:c r="B71" s="95"/>
      <x:c r="C71" s="95" t="str">
        <x:f>IF($B71="","",IFERROR(VLOOKUP($B71,'Fiyat Hesaplama'!$A$3:$Z$102,3,FALSE),""))</x:f>
      </x:c>
      <x:c r="D71" s="95" t="str">
        <x:f>IF($B71="","",IFERROR(VLOOKUP($B71,'Fiyat Hesaplama'!$A$3:$Z$102,4,FALSE),""))</x:f>
      </x:c>
      <x:c r="E71" s="95"/>
      <x:c r="F71" s="95" t="str">
        <x:f>IF($B71="","",IFERROR(VLOOKUP($B71,'Fiyat Hesaplama'!$A$3:$Z$102,5,FALSE),""))</x:f>
      </x:c>
      <x:c r="G71" s="95" t="str">
        <x:f>IF($B71="","",IFERROR(VLOOKUP($B71,'Fiyat Hesaplama'!$A$3:$Z$102,6,FALSE),""))</x:f>
      </x:c>
      <x:c r="H71" s="120"/>
      <x:c r="I71" s="120"/>
      <x:c r="J71" s="121" t="str">
        <x:f>IF($B71="","",IFERROR(VLOOKUP($B71,'Fiyat Hesaplama'!$A$3:$Z$102,9,FALSE),""))</x:f>
      </x:c>
      <x:c r="K71" s="95"/>
      <x:c r="L71" s="95"/>
      <x:c r="M71" s="95"/>
      <x:c r="N71" s="95"/>
      <x:c r="O71" s="95"/>
      <x:c r="P71" s="114"/>
      <x:c r="Q71" s="95"/>
      <x:c r="R71" s="89"/>
      <x:c r="S71" s="89"/>
      <x:c r="T71" s="89"/>
      <x:c r="U71" s="89"/>
      <x:c r="V71" s="89"/>
      <x:c r="W71" s="89"/>
      <x:c r="X71" s="89"/>
      <x:c r="Y71" s="89"/>
      <x:c r="Z71" s="89"/>
    </x:row>
    <x:row r="72">
      <x:c r="A72" s="95"/>
      <x:c r="B72" s="95"/>
      <x:c r="C72" s="95" t="str">
        <x:f>IF($B72="","",IFERROR(VLOOKUP($B72,'Fiyat Hesaplama'!$A$3:$Z$102,3,FALSE),""))</x:f>
      </x:c>
      <x:c r="D72" s="95" t="str">
        <x:f>IF($B72="","",IFERROR(VLOOKUP($B72,'Fiyat Hesaplama'!$A$3:$Z$102,4,FALSE),""))</x:f>
      </x:c>
      <x:c r="E72" s="95"/>
      <x:c r="F72" s="95" t="str">
        <x:f>IF($B72="","",IFERROR(VLOOKUP($B72,'Fiyat Hesaplama'!$A$3:$Z$102,5,FALSE),""))</x:f>
      </x:c>
      <x:c r="G72" s="95" t="str">
        <x:f>IF($B72="","",IFERROR(VLOOKUP($B72,'Fiyat Hesaplama'!$A$3:$Z$102,6,FALSE),""))</x:f>
      </x:c>
      <x:c r="H72" s="120"/>
      <x:c r="I72" s="120"/>
      <x:c r="J72" s="121" t="str">
        <x:f>IF($B72="","",IFERROR(VLOOKUP($B72,'Fiyat Hesaplama'!$A$3:$Z$102,9,FALSE),""))</x:f>
      </x:c>
      <x:c r="K72" s="95"/>
      <x:c r="L72" s="95"/>
      <x:c r="M72" s="95"/>
      <x:c r="N72" s="95"/>
      <x:c r="O72" s="95"/>
      <x:c r="P72" s="114"/>
      <x:c r="Q72" s="95"/>
      <x:c r="R72" s="89"/>
      <x:c r="S72" s="89"/>
      <x:c r="T72" s="89"/>
      <x:c r="U72" s="89"/>
      <x:c r="V72" s="89"/>
      <x:c r="W72" s="89"/>
      <x:c r="X72" s="89"/>
      <x:c r="Y72" s="89"/>
      <x:c r="Z72" s="89"/>
    </x:row>
    <x:row r="73">
      <x:c r="A73" s="95"/>
      <x:c r="B73" s="95"/>
      <x:c r="C73" s="95" t="str">
        <x:f>IF($B73="","",IFERROR(VLOOKUP($B73,'Fiyat Hesaplama'!$A$3:$Z$102,3,FALSE),""))</x:f>
      </x:c>
      <x:c r="D73" s="95" t="str">
        <x:f>IF($B73="","",IFERROR(VLOOKUP($B73,'Fiyat Hesaplama'!$A$3:$Z$102,4,FALSE),""))</x:f>
      </x:c>
      <x:c r="E73" s="95"/>
      <x:c r="F73" s="95" t="str">
        <x:f>IF($B73="","",IFERROR(VLOOKUP($B73,'Fiyat Hesaplama'!$A$3:$Z$102,5,FALSE),""))</x:f>
      </x:c>
      <x:c r="G73" s="95" t="str">
        <x:f>IF($B73="","",IFERROR(VLOOKUP($B73,'Fiyat Hesaplama'!$A$3:$Z$102,6,FALSE),""))</x:f>
      </x:c>
      <x:c r="H73" s="120"/>
      <x:c r="I73" s="120"/>
      <x:c r="J73" s="121" t="str">
        <x:f>IF($B73="","",IFERROR(VLOOKUP($B73,'Fiyat Hesaplama'!$A$3:$Z$102,9,FALSE),""))</x:f>
      </x:c>
      <x:c r="K73" s="95"/>
      <x:c r="L73" s="95"/>
      <x:c r="M73" s="95"/>
      <x:c r="N73" s="95"/>
      <x:c r="O73" s="95"/>
      <x:c r="P73" s="114"/>
      <x:c r="Q73" s="95"/>
      <x:c r="R73" s="89"/>
      <x:c r="S73" s="89"/>
      <x:c r="T73" s="89"/>
      <x:c r="U73" s="89"/>
      <x:c r="V73" s="89"/>
      <x:c r="W73" s="89"/>
      <x:c r="X73" s="89"/>
      <x:c r="Y73" s="89"/>
      <x:c r="Z73" s="89"/>
    </x:row>
    <x:row r="74">
      <x:c r="A74" s="95"/>
      <x:c r="B74" s="95"/>
      <x:c r="C74" s="95" t="str">
        <x:f>IF($B74="","",IFERROR(VLOOKUP($B74,'Fiyat Hesaplama'!$A$3:$Z$102,3,FALSE),""))</x:f>
      </x:c>
      <x:c r="D74" s="95" t="str">
        <x:f>IF($B74="","",IFERROR(VLOOKUP($B74,'Fiyat Hesaplama'!$A$3:$Z$102,4,FALSE),""))</x:f>
      </x:c>
      <x:c r="E74" s="95"/>
      <x:c r="F74" s="95" t="str">
        <x:f>IF($B74="","",IFERROR(VLOOKUP($B74,'Fiyat Hesaplama'!$A$3:$Z$102,5,FALSE),""))</x:f>
      </x:c>
      <x:c r="G74" s="95" t="str">
        <x:f>IF($B74="","",IFERROR(VLOOKUP($B74,'Fiyat Hesaplama'!$A$3:$Z$102,6,FALSE),""))</x:f>
      </x:c>
      <x:c r="H74" s="120"/>
      <x:c r="I74" s="120"/>
      <x:c r="J74" s="121" t="str">
        <x:f>IF($B74="","",IFERROR(VLOOKUP($B74,'Fiyat Hesaplama'!$A$3:$Z$102,9,FALSE),""))</x:f>
      </x:c>
      <x:c r="K74" s="95"/>
      <x:c r="L74" s="95"/>
      <x:c r="M74" s="95"/>
      <x:c r="N74" s="95"/>
      <x:c r="O74" s="95"/>
      <x:c r="P74" s="114"/>
      <x:c r="Q74" s="95"/>
      <x:c r="R74" s="89"/>
      <x:c r="S74" s="89"/>
      <x:c r="T74" s="89"/>
      <x:c r="U74" s="89"/>
      <x:c r="V74" s="89"/>
      <x:c r="W74" s="89"/>
      <x:c r="X74" s="89"/>
      <x:c r="Y74" s="89"/>
      <x:c r="Z74" s="89"/>
    </x:row>
    <x:row r="75">
      <x:c r="A75" s="95"/>
      <x:c r="B75" s="95"/>
      <x:c r="C75" s="95" t="str">
        <x:f>IF($B75="","",IFERROR(VLOOKUP($B75,'Fiyat Hesaplama'!$A$3:$Z$102,3,FALSE),""))</x:f>
      </x:c>
      <x:c r="D75" s="95" t="str">
        <x:f>IF($B75="","",IFERROR(VLOOKUP($B75,'Fiyat Hesaplama'!$A$3:$Z$102,4,FALSE),""))</x:f>
      </x:c>
      <x:c r="E75" s="95"/>
      <x:c r="F75" s="95" t="str">
        <x:f>IF($B75="","",IFERROR(VLOOKUP($B75,'Fiyat Hesaplama'!$A$3:$Z$102,5,FALSE),""))</x:f>
      </x:c>
      <x:c r="G75" s="95" t="str">
        <x:f>IF($B75="","",IFERROR(VLOOKUP($B75,'Fiyat Hesaplama'!$A$3:$Z$102,6,FALSE),""))</x:f>
      </x:c>
      <x:c r="H75" s="120"/>
      <x:c r="I75" s="120"/>
      <x:c r="J75" s="121" t="str">
        <x:f>IF($B75="","",IFERROR(VLOOKUP($B75,'Fiyat Hesaplama'!$A$3:$Z$102,9,FALSE),""))</x:f>
      </x:c>
      <x:c r="K75" s="95"/>
      <x:c r="L75" s="95"/>
      <x:c r="M75" s="95"/>
      <x:c r="N75" s="95"/>
      <x:c r="O75" s="95"/>
      <x:c r="P75" s="114"/>
      <x:c r="Q75" s="95"/>
      <x:c r="R75" s="89"/>
      <x:c r="S75" s="89"/>
      <x:c r="T75" s="89"/>
      <x:c r="U75" s="89"/>
      <x:c r="V75" s="89"/>
      <x:c r="W75" s="89"/>
      <x:c r="X75" s="89"/>
      <x:c r="Y75" s="89"/>
      <x:c r="Z75" s="89"/>
    </x:row>
    <x:row r="76">
      <x:c r="A76" s="95"/>
      <x:c r="B76" s="95"/>
      <x:c r="C76" s="95" t="str">
        <x:f>IF($B76="","",IFERROR(VLOOKUP($B76,'Fiyat Hesaplama'!$A$3:$Z$102,3,FALSE),""))</x:f>
      </x:c>
      <x:c r="D76" s="95" t="str">
        <x:f>IF($B76="","",IFERROR(VLOOKUP($B76,'Fiyat Hesaplama'!$A$3:$Z$102,4,FALSE),""))</x:f>
      </x:c>
      <x:c r="E76" s="95"/>
      <x:c r="F76" s="95" t="str">
        <x:f>IF($B76="","",IFERROR(VLOOKUP($B76,'Fiyat Hesaplama'!$A$3:$Z$102,5,FALSE),""))</x:f>
      </x:c>
      <x:c r="G76" s="95" t="str">
        <x:f>IF($B76="","",IFERROR(VLOOKUP($B76,'Fiyat Hesaplama'!$A$3:$Z$102,6,FALSE),""))</x:f>
      </x:c>
      <x:c r="H76" s="120"/>
      <x:c r="I76" s="120"/>
      <x:c r="J76" s="121" t="str">
        <x:f>IF($B76="","",IFERROR(VLOOKUP($B76,'Fiyat Hesaplama'!$A$3:$Z$102,9,FALSE),""))</x:f>
      </x:c>
      <x:c r="K76" s="95"/>
      <x:c r="L76" s="95"/>
      <x:c r="M76" s="95"/>
      <x:c r="N76" s="95"/>
      <x:c r="O76" s="95"/>
      <x:c r="P76" s="114"/>
      <x:c r="Q76" s="95"/>
      <x:c r="R76" s="89"/>
      <x:c r="S76" s="89"/>
      <x:c r="T76" s="89"/>
      <x:c r="U76" s="89"/>
      <x:c r="V76" s="89"/>
      <x:c r="W76" s="89"/>
      <x:c r="X76" s="89"/>
      <x:c r="Y76" s="89"/>
      <x:c r="Z76" s="89"/>
    </x:row>
    <x:row r="77">
      <x:c r="A77" s="95"/>
      <x:c r="B77" s="95"/>
      <x:c r="C77" s="95" t="str">
        <x:f>IF($B77="","",IFERROR(VLOOKUP($B77,'Fiyat Hesaplama'!$A$3:$Z$102,3,FALSE),""))</x:f>
      </x:c>
      <x:c r="D77" s="95" t="str">
        <x:f>IF($B77="","",IFERROR(VLOOKUP($B77,'Fiyat Hesaplama'!$A$3:$Z$102,4,FALSE),""))</x:f>
      </x:c>
      <x:c r="E77" s="95"/>
      <x:c r="F77" s="95" t="str">
        <x:f>IF($B77="","",IFERROR(VLOOKUP($B77,'Fiyat Hesaplama'!$A$3:$Z$102,5,FALSE),""))</x:f>
      </x:c>
      <x:c r="G77" s="95" t="str">
        <x:f>IF($B77="","",IFERROR(VLOOKUP($B77,'Fiyat Hesaplama'!$A$3:$Z$102,6,FALSE),""))</x:f>
      </x:c>
      <x:c r="H77" s="120"/>
      <x:c r="I77" s="120"/>
      <x:c r="J77" s="121" t="str">
        <x:f>IF($B77="","",IFERROR(VLOOKUP($B77,'Fiyat Hesaplama'!$A$3:$Z$102,9,FALSE),""))</x:f>
      </x:c>
      <x:c r="K77" s="95"/>
      <x:c r="L77" s="95"/>
      <x:c r="M77" s="95"/>
      <x:c r="N77" s="95"/>
      <x:c r="O77" s="95"/>
      <x:c r="P77" s="114"/>
      <x:c r="Q77" s="95"/>
      <x:c r="R77" s="89"/>
      <x:c r="S77" s="89"/>
      <x:c r="T77" s="89"/>
      <x:c r="U77" s="89"/>
      <x:c r="V77" s="89"/>
      <x:c r="W77" s="89"/>
      <x:c r="X77" s="89"/>
      <x:c r="Y77" s="89"/>
      <x:c r="Z77" s="89"/>
    </x:row>
    <x:row r="78">
      <x:c r="A78" s="95"/>
      <x:c r="B78" s="95"/>
      <x:c r="C78" s="95" t="str">
        <x:f>IF($B78="","",IFERROR(VLOOKUP($B78,'Fiyat Hesaplama'!$A$3:$Z$102,3,FALSE),""))</x:f>
      </x:c>
      <x:c r="D78" s="95" t="str">
        <x:f>IF($B78="","",IFERROR(VLOOKUP($B78,'Fiyat Hesaplama'!$A$3:$Z$102,4,FALSE),""))</x:f>
      </x:c>
      <x:c r="E78" s="95"/>
      <x:c r="F78" s="95" t="str">
        <x:f>IF($B78="","",IFERROR(VLOOKUP($B78,'Fiyat Hesaplama'!$A$3:$Z$102,5,FALSE),""))</x:f>
      </x:c>
      <x:c r="G78" s="95" t="str">
        <x:f>IF($B78="","",IFERROR(VLOOKUP($B78,'Fiyat Hesaplama'!$A$3:$Z$102,6,FALSE),""))</x:f>
      </x:c>
      <x:c r="H78" s="120"/>
      <x:c r="I78" s="120"/>
      <x:c r="J78" s="121" t="str">
        <x:f>IF($B78="","",IFERROR(VLOOKUP($B78,'Fiyat Hesaplama'!$A$3:$Z$102,9,FALSE),""))</x:f>
      </x:c>
      <x:c r="K78" s="95"/>
      <x:c r="L78" s="95"/>
      <x:c r="M78" s="95"/>
      <x:c r="N78" s="95"/>
      <x:c r="O78" s="95"/>
      <x:c r="P78" s="114"/>
      <x:c r="Q78" s="95"/>
      <x:c r="R78" s="89"/>
      <x:c r="S78" s="89"/>
      <x:c r="T78" s="89"/>
      <x:c r="U78" s="89"/>
      <x:c r="V78" s="89"/>
      <x:c r="W78" s="89"/>
      <x:c r="X78" s="89"/>
      <x:c r="Y78" s="89"/>
      <x:c r="Z78" s="89"/>
    </x:row>
    <x:row r="79">
      <x:c r="A79" s="95"/>
      <x:c r="B79" s="95"/>
      <x:c r="C79" s="95" t="str">
        <x:f>IF($B79="","",IFERROR(VLOOKUP($B79,'Fiyat Hesaplama'!$A$3:$Z$102,3,FALSE),""))</x:f>
      </x:c>
      <x:c r="D79" s="95" t="str">
        <x:f>IF($B79="","",IFERROR(VLOOKUP($B79,'Fiyat Hesaplama'!$A$3:$Z$102,4,FALSE),""))</x:f>
      </x:c>
      <x:c r="E79" s="95"/>
      <x:c r="F79" s="95" t="str">
        <x:f>IF($B79="","",IFERROR(VLOOKUP($B79,'Fiyat Hesaplama'!$A$3:$Z$102,5,FALSE),""))</x:f>
      </x:c>
      <x:c r="G79" s="95" t="str">
        <x:f>IF($B79="","",IFERROR(VLOOKUP($B79,'Fiyat Hesaplama'!$A$3:$Z$102,6,FALSE),""))</x:f>
      </x:c>
      <x:c r="H79" s="120"/>
      <x:c r="I79" s="120"/>
      <x:c r="J79" s="121" t="str">
        <x:f>IF($B79="","",IFERROR(VLOOKUP($B79,'Fiyat Hesaplama'!$A$3:$Z$102,9,FALSE),""))</x:f>
      </x:c>
      <x:c r="K79" s="95"/>
      <x:c r="L79" s="95"/>
      <x:c r="M79" s="95"/>
      <x:c r="N79" s="95"/>
      <x:c r="O79" s="95"/>
      <x:c r="P79" s="114"/>
      <x:c r="Q79" s="95"/>
      <x:c r="R79" s="89"/>
      <x:c r="S79" s="89"/>
      <x:c r="T79" s="89"/>
      <x:c r="U79" s="89"/>
      <x:c r="V79" s="89"/>
      <x:c r="W79" s="89"/>
      <x:c r="X79" s="89"/>
      <x:c r="Y79" s="89"/>
      <x:c r="Z79" s="89"/>
    </x:row>
    <x:row r="80">
      <x:c r="A80" s="95"/>
      <x:c r="B80" s="95"/>
      <x:c r="C80" s="95" t="str">
        <x:f>IF($B80="","",IFERROR(VLOOKUP($B80,'Fiyat Hesaplama'!$A$3:$Z$102,3,FALSE),""))</x:f>
      </x:c>
      <x:c r="D80" s="95" t="str">
        <x:f>IF($B80="","",IFERROR(VLOOKUP($B80,'Fiyat Hesaplama'!$A$3:$Z$102,4,FALSE),""))</x:f>
      </x:c>
      <x:c r="E80" s="95"/>
      <x:c r="F80" s="95" t="str">
        <x:f>IF($B80="","",IFERROR(VLOOKUP($B80,'Fiyat Hesaplama'!$A$3:$Z$102,5,FALSE),""))</x:f>
      </x:c>
      <x:c r="G80" s="95" t="str">
        <x:f>IF($B80="","",IFERROR(VLOOKUP($B80,'Fiyat Hesaplama'!$A$3:$Z$102,6,FALSE),""))</x:f>
      </x:c>
      <x:c r="H80" s="120"/>
      <x:c r="I80" s="120"/>
      <x:c r="J80" s="121" t="str">
        <x:f>IF($B80="","",IFERROR(VLOOKUP($B80,'Fiyat Hesaplama'!$A$3:$Z$102,9,FALSE),""))</x:f>
      </x:c>
      <x:c r="K80" s="95"/>
      <x:c r="L80" s="95"/>
      <x:c r="M80" s="95"/>
      <x:c r="N80" s="95"/>
      <x:c r="O80" s="95"/>
      <x:c r="P80" s="114"/>
      <x:c r="Q80" s="95"/>
      <x:c r="R80" s="89"/>
      <x:c r="S80" s="89"/>
      <x:c r="T80" s="89"/>
      <x:c r="U80" s="89"/>
      <x:c r="V80" s="89"/>
      <x:c r="W80" s="89"/>
      <x:c r="X80" s="89"/>
      <x:c r="Y80" s="89"/>
      <x:c r="Z80" s="89"/>
    </x:row>
    <x:row r="81">
      <x:c r="A81" s="95"/>
      <x:c r="B81" s="95"/>
      <x:c r="C81" s="95" t="str">
        <x:f>IF($B81="","",IFERROR(VLOOKUP($B81,'Fiyat Hesaplama'!$A$3:$Z$102,3,FALSE),""))</x:f>
      </x:c>
      <x:c r="D81" s="95" t="str">
        <x:f>IF($B81="","",IFERROR(VLOOKUP($B81,'Fiyat Hesaplama'!$A$3:$Z$102,4,FALSE),""))</x:f>
      </x:c>
      <x:c r="E81" s="95"/>
      <x:c r="F81" s="95" t="str">
        <x:f>IF($B81="","",IFERROR(VLOOKUP($B81,'Fiyat Hesaplama'!$A$3:$Z$102,5,FALSE),""))</x:f>
      </x:c>
      <x:c r="G81" s="95" t="str">
        <x:f>IF($B81="","",IFERROR(VLOOKUP($B81,'Fiyat Hesaplama'!$A$3:$Z$102,6,FALSE),""))</x:f>
      </x:c>
      <x:c r="H81" s="120"/>
      <x:c r="I81" s="120"/>
      <x:c r="J81" s="121" t="str">
        <x:f>IF($B81="","",IFERROR(VLOOKUP($B81,'Fiyat Hesaplama'!$A$3:$Z$102,9,FALSE),""))</x:f>
      </x:c>
      <x:c r="K81" s="95"/>
      <x:c r="L81" s="95"/>
      <x:c r="M81" s="95"/>
      <x:c r="N81" s="95"/>
      <x:c r="O81" s="95"/>
      <x:c r="P81" s="114"/>
      <x:c r="Q81" s="95"/>
      <x:c r="R81" s="89"/>
      <x:c r="S81" s="89"/>
      <x:c r="T81" s="89"/>
      <x:c r="U81" s="89"/>
      <x:c r="V81" s="89"/>
      <x:c r="W81" s="89"/>
      <x:c r="X81" s="89"/>
      <x:c r="Y81" s="89"/>
      <x:c r="Z81" s="89"/>
    </x:row>
    <x:row r="82">
      <x:c r="A82" s="95"/>
      <x:c r="B82" s="95"/>
      <x:c r="C82" s="95" t="str">
        <x:f>IF($B82="","",IFERROR(VLOOKUP($B82,'Fiyat Hesaplama'!$A$3:$Z$102,3,FALSE),""))</x:f>
      </x:c>
      <x:c r="D82" s="95" t="str">
        <x:f>IF($B82="","",IFERROR(VLOOKUP($B82,'Fiyat Hesaplama'!$A$3:$Z$102,4,FALSE),""))</x:f>
      </x:c>
      <x:c r="E82" s="95"/>
      <x:c r="F82" s="95" t="str">
        <x:f>IF($B82="","",IFERROR(VLOOKUP($B82,'Fiyat Hesaplama'!$A$3:$Z$102,5,FALSE),""))</x:f>
      </x:c>
      <x:c r="G82" s="95" t="str">
        <x:f>IF($B82="","",IFERROR(VLOOKUP($B82,'Fiyat Hesaplama'!$A$3:$Z$102,6,FALSE),""))</x:f>
      </x:c>
      <x:c r="H82" s="120"/>
      <x:c r="I82" s="120"/>
      <x:c r="J82" s="121" t="str">
        <x:f>IF($B82="","",IFERROR(VLOOKUP($B82,'Fiyat Hesaplama'!$A$3:$Z$102,9,FALSE),""))</x:f>
      </x:c>
      <x:c r="K82" s="95"/>
      <x:c r="L82" s="95"/>
      <x:c r="M82" s="95"/>
      <x:c r="N82" s="95"/>
      <x:c r="O82" s="95"/>
      <x:c r="P82" s="114"/>
      <x:c r="Q82" s="95"/>
      <x:c r="R82" s="89"/>
      <x:c r="S82" s="89"/>
      <x:c r="T82" s="89"/>
      <x:c r="U82" s="89"/>
      <x:c r="V82" s="89"/>
      <x:c r="W82" s="89"/>
      <x:c r="X82" s="89"/>
      <x:c r="Y82" s="89"/>
      <x:c r="Z82" s="89"/>
    </x:row>
    <x:row r="83">
      <x:c r="A83" s="95"/>
      <x:c r="B83" s="95"/>
      <x:c r="C83" s="95" t="str">
        <x:f>IF($B83="","",IFERROR(VLOOKUP($B83,'Fiyat Hesaplama'!$A$3:$Z$102,3,FALSE),""))</x:f>
      </x:c>
      <x:c r="D83" s="95" t="str">
        <x:f>IF($B83="","",IFERROR(VLOOKUP($B83,'Fiyat Hesaplama'!$A$3:$Z$102,4,FALSE),""))</x:f>
      </x:c>
      <x:c r="E83" s="95"/>
      <x:c r="F83" s="95" t="str">
        <x:f>IF($B83="","",IFERROR(VLOOKUP($B83,'Fiyat Hesaplama'!$A$3:$Z$102,5,FALSE),""))</x:f>
      </x:c>
      <x:c r="G83" s="95" t="str">
        <x:f>IF($B83="","",IFERROR(VLOOKUP($B83,'Fiyat Hesaplama'!$A$3:$Z$102,6,FALSE),""))</x:f>
      </x:c>
      <x:c r="H83" s="120"/>
      <x:c r="I83" s="120"/>
      <x:c r="J83" s="121" t="str">
        <x:f>IF($B83="","",IFERROR(VLOOKUP($B83,'Fiyat Hesaplama'!$A$3:$Z$102,9,FALSE),""))</x:f>
      </x:c>
      <x:c r="K83" s="95"/>
      <x:c r="L83" s="95"/>
      <x:c r="M83" s="95"/>
      <x:c r="N83" s="95"/>
      <x:c r="O83" s="95"/>
      <x:c r="P83" s="114"/>
      <x:c r="Q83" s="95"/>
      <x:c r="R83" s="89"/>
      <x:c r="S83" s="89"/>
      <x:c r="T83" s="89"/>
      <x:c r="U83" s="89"/>
      <x:c r="V83" s="89"/>
      <x:c r="W83" s="89"/>
      <x:c r="X83" s="89"/>
      <x:c r="Y83" s="89"/>
      <x:c r="Z83" s="89"/>
    </x:row>
    <x:row r="84">
      <x:c r="A84" s="95"/>
      <x:c r="B84" s="95"/>
      <x:c r="C84" s="95" t="str">
        <x:f>IF($B84="","",IFERROR(VLOOKUP($B84,'Fiyat Hesaplama'!$A$3:$Z$102,3,FALSE),""))</x:f>
      </x:c>
      <x:c r="D84" s="95" t="str">
        <x:f>IF($B84="","",IFERROR(VLOOKUP($B84,'Fiyat Hesaplama'!$A$3:$Z$102,4,FALSE),""))</x:f>
      </x:c>
      <x:c r="E84" s="95"/>
      <x:c r="F84" s="95" t="str">
        <x:f>IF($B84="","",IFERROR(VLOOKUP($B84,'Fiyat Hesaplama'!$A$3:$Z$102,5,FALSE),""))</x:f>
      </x:c>
      <x:c r="G84" s="95" t="str">
        <x:f>IF($B84="","",IFERROR(VLOOKUP($B84,'Fiyat Hesaplama'!$A$3:$Z$102,6,FALSE),""))</x:f>
      </x:c>
      <x:c r="H84" s="120"/>
      <x:c r="I84" s="120"/>
      <x:c r="J84" s="121" t="str">
        <x:f>IF($B84="","",IFERROR(VLOOKUP($B84,'Fiyat Hesaplama'!$A$3:$Z$102,9,FALSE),""))</x:f>
      </x:c>
      <x:c r="K84" s="95"/>
      <x:c r="L84" s="95"/>
      <x:c r="M84" s="95"/>
      <x:c r="N84" s="95"/>
      <x:c r="O84" s="95"/>
      <x:c r="P84" s="114"/>
      <x:c r="Q84" s="95"/>
      <x:c r="R84" s="89"/>
      <x:c r="S84" s="89"/>
      <x:c r="T84" s="89"/>
      <x:c r="U84" s="89"/>
      <x:c r="V84" s="89"/>
      <x:c r="W84" s="89"/>
      <x:c r="X84" s="89"/>
      <x:c r="Y84" s="89"/>
      <x:c r="Z84" s="89"/>
    </x:row>
    <x:row r="85">
      <x:c r="A85" s="95"/>
      <x:c r="B85" s="95"/>
      <x:c r="C85" s="95" t="str">
        <x:f>IF($B85="","",IFERROR(VLOOKUP($B85,'Fiyat Hesaplama'!$A$3:$Z$102,3,FALSE),""))</x:f>
      </x:c>
      <x:c r="D85" s="95" t="str">
        <x:f>IF($B85="","",IFERROR(VLOOKUP($B85,'Fiyat Hesaplama'!$A$3:$Z$102,4,FALSE),""))</x:f>
      </x:c>
      <x:c r="E85" s="95"/>
      <x:c r="F85" s="95" t="str">
        <x:f>IF($B85="","",IFERROR(VLOOKUP($B85,'Fiyat Hesaplama'!$A$3:$Z$102,5,FALSE),""))</x:f>
      </x:c>
      <x:c r="G85" s="95" t="str">
        <x:f>IF($B85="","",IFERROR(VLOOKUP($B85,'Fiyat Hesaplama'!$A$3:$Z$102,6,FALSE),""))</x:f>
      </x:c>
      <x:c r="H85" s="120"/>
      <x:c r="I85" s="120"/>
      <x:c r="J85" s="121" t="str">
        <x:f>IF($B85="","",IFERROR(VLOOKUP($B85,'Fiyat Hesaplama'!$A$3:$Z$102,9,FALSE),""))</x:f>
      </x:c>
      <x:c r="K85" s="95"/>
      <x:c r="L85" s="95"/>
      <x:c r="M85" s="95"/>
      <x:c r="N85" s="95"/>
      <x:c r="O85" s="95"/>
      <x:c r="P85" s="114"/>
      <x:c r="Q85" s="95"/>
      <x:c r="R85" s="89"/>
      <x:c r="S85" s="89"/>
      <x:c r="T85" s="89"/>
      <x:c r="U85" s="89"/>
      <x:c r="V85" s="89"/>
      <x:c r="W85" s="89"/>
      <x:c r="X85" s="89"/>
      <x:c r="Y85" s="89"/>
      <x:c r="Z85" s="89"/>
    </x:row>
    <x:row r="86">
      <x:c r="A86" s="95"/>
      <x:c r="B86" s="95"/>
      <x:c r="C86" s="95" t="str">
        <x:f>IF($B86="","",IFERROR(VLOOKUP($B86,'Fiyat Hesaplama'!$A$3:$Z$102,3,FALSE),""))</x:f>
      </x:c>
      <x:c r="D86" s="95" t="str">
        <x:f>IF($B86="","",IFERROR(VLOOKUP($B86,'Fiyat Hesaplama'!$A$3:$Z$102,4,FALSE),""))</x:f>
      </x:c>
      <x:c r="E86" s="95"/>
      <x:c r="F86" s="95" t="str">
        <x:f>IF($B86="","",IFERROR(VLOOKUP($B86,'Fiyat Hesaplama'!$A$3:$Z$102,5,FALSE),""))</x:f>
      </x:c>
      <x:c r="G86" s="95" t="str">
        <x:f>IF($B86="","",IFERROR(VLOOKUP($B86,'Fiyat Hesaplama'!$A$3:$Z$102,6,FALSE),""))</x:f>
      </x:c>
      <x:c r="H86" s="120"/>
      <x:c r="I86" s="120"/>
      <x:c r="J86" s="121" t="str">
        <x:f>IF($B86="","",IFERROR(VLOOKUP($B86,'Fiyat Hesaplama'!$A$3:$Z$102,9,FALSE),""))</x:f>
      </x:c>
      <x:c r="K86" s="95"/>
      <x:c r="L86" s="95"/>
      <x:c r="M86" s="95"/>
      <x:c r="N86" s="95"/>
      <x:c r="O86" s="95"/>
      <x:c r="P86" s="114"/>
      <x:c r="Q86" s="95"/>
      <x:c r="R86" s="89"/>
      <x:c r="S86" s="89"/>
      <x:c r="T86" s="89"/>
      <x:c r="U86" s="89"/>
      <x:c r="V86" s="89"/>
      <x:c r="W86" s="89"/>
      <x:c r="X86" s="89"/>
      <x:c r="Y86" s="89"/>
      <x:c r="Z86" s="89"/>
    </x:row>
    <x:row r="87">
      <x:c r="A87" s="95"/>
      <x:c r="B87" s="95"/>
      <x:c r="C87" s="95" t="str">
        <x:f>IF($B87="","",IFERROR(VLOOKUP($B87,'Fiyat Hesaplama'!$A$3:$Z$102,3,FALSE),""))</x:f>
      </x:c>
      <x:c r="D87" s="95" t="str">
        <x:f>IF($B87="","",IFERROR(VLOOKUP($B87,'Fiyat Hesaplama'!$A$3:$Z$102,4,FALSE),""))</x:f>
      </x:c>
      <x:c r="E87" s="95"/>
      <x:c r="F87" s="95" t="str">
        <x:f>IF($B87="","",IFERROR(VLOOKUP($B87,'Fiyat Hesaplama'!$A$3:$Z$102,5,FALSE),""))</x:f>
      </x:c>
      <x:c r="G87" s="95" t="str">
        <x:f>IF($B87="","",IFERROR(VLOOKUP($B87,'Fiyat Hesaplama'!$A$3:$Z$102,6,FALSE),""))</x:f>
      </x:c>
      <x:c r="H87" s="120"/>
      <x:c r="I87" s="120"/>
      <x:c r="J87" s="121" t="str">
        <x:f>IF($B87="","",IFERROR(VLOOKUP($B87,'Fiyat Hesaplama'!$A$3:$Z$102,9,FALSE),""))</x:f>
      </x:c>
      <x:c r="K87" s="95"/>
      <x:c r="L87" s="95"/>
      <x:c r="M87" s="95"/>
      <x:c r="N87" s="95"/>
      <x:c r="O87" s="95"/>
      <x:c r="P87" s="114"/>
      <x:c r="Q87" s="95"/>
      <x:c r="R87" s="89"/>
      <x:c r="S87" s="89"/>
      <x:c r="T87" s="89"/>
      <x:c r="U87" s="89"/>
      <x:c r="V87" s="89"/>
      <x:c r="W87" s="89"/>
      <x:c r="X87" s="89"/>
      <x:c r="Y87" s="89"/>
      <x:c r="Z87" s="89"/>
    </x:row>
    <x:row r="88">
      <x:c r="A88" s="95"/>
      <x:c r="B88" s="95"/>
      <x:c r="C88" s="95" t="str">
        <x:f>IF($B88="","",IFERROR(VLOOKUP($B88,'Fiyat Hesaplama'!$A$3:$Z$102,3,FALSE),""))</x:f>
      </x:c>
      <x:c r="D88" s="95" t="str">
        <x:f>IF($B88="","",IFERROR(VLOOKUP($B88,'Fiyat Hesaplama'!$A$3:$Z$102,4,FALSE),""))</x:f>
      </x:c>
      <x:c r="E88" s="95"/>
      <x:c r="F88" s="95" t="str">
        <x:f>IF($B88="","",IFERROR(VLOOKUP($B88,'Fiyat Hesaplama'!$A$3:$Z$102,5,FALSE),""))</x:f>
      </x:c>
      <x:c r="G88" s="95" t="str">
        <x:f>IF($B88="","",IFERROR(VLOOKUP($B88,'Fiyat Hesaplama'!$A$3:$Z$102,6,FALSE),""))</x:f>
      </x:c>
      <x:c r="H88" s="120"/>
      <x:c r="I88" s="120"/>
      <x:c r="J88" s="121" t="str">
        <x:f>IF($B88="","",IFERROR(VLOOKUP($B88,'Fiyat Hesaplama'!$A$3:$Z$102,9,FALSE),""))</x:f>
      </x:c>
      <x:c r="K88" s="95"/>
      <x:c r="L88" s="95"/>
      <x:c r="M88" s="95"/>
      <x:c r="N88" s="95"/>
      <x:c r="O88" s="95"/>
      <x:c r="P88" s="114"/>
      <x:c r="Q88" s="95"/>
      <x:c r="R88" s="89"/>
      <x:c r="S88" s="89"/>
      <x:c r="T88" s="89"/>
      <x:c r="U88" s="89"/>
      <x:c r="V88" s="89"/>
      <x:c r="W88" s="89"/>
      <x:c r="X88" s="89"/>
      <x:c r="Y88" s="89"/>
      <x:c r="Z88" s="89"/>
    </x:row>
    <x:row r="89">
      <x:c r="A89" s="95"/>
      <x:c r="B89" s="95"/>
      <x:c r="C89" s="95" t="str">
        <x:f>IF($B89="","",IFERROR(VLOOKUP($B89,'Fiyat Hesaplama'!$A$3:$Z$102,3,FALSE),""))</x:f>
      </x:c>
      <x:c r="D89" s="95" t="str">
        <x:f>IF($B89="","",IFERROR(VLOOKUP($B89,'Fiyat Hesaplama'!$A$3:$Z$102,4,FALSE),""))</x:f>
      </x:c>
      <x:c r="E89" s="95"/>
      <x:c r="F89" s="95" t="str">
        <x:f>IF($B89="","",IFERROR(VLOOKUP($B89,'Fiyat Hesaplama'!$A$3:$Z$102,5,FALSE),""))</x:f>
      </x:c>
      <x:c r="G89" s="95" t="str">
        <x:f>IF($B89="","",IFERROR(VLOOKUP($B89,'Fiyat Hesaplama'!$A$3:$Z$102,6,FALSE),""))</x:f>
      </x:c>
      <x:c r="H89" s="120"/>
      <x:c r="I89" s="120"/>
      <x:c r="J89" s="121" t="str">
        <x:f>IF($B89="","",IFERROR(VLOOKUP($B89,'Fiyat Hesaplama'!$A$3:$Z$102,9,FALSE),""))</x:f>
      </x:c>
      <x:c r="K89" s="95"/>
      <x:c r="L89" s="95"/>
      <x:c r="M89" s="95"/>
      <x:c r="N89" s="95"/>
      <x:c r="O89" s="95"/>
      <x:c r="P89" s="114"/>
      <x:c r="Q89" s="95"/>
      <x:c r="R89" s="89"/>
      <x:c r="S89" s="89"/>
      <x:c r="T89" s="89"/>
      <x:c r="U89" s="89"/>
      <x:c r="V89" s="89"/>
      <x:c r="W89" s="89"/>
      <x:c r="X89" s="89"/>
      <x:c r="Y89" s="89"/>
      <x:c r="Z89" s="89"/>
    </x:row>
    <x:row r="90">
      <x:c r="A90" s="95"/>
      <x:c r="B90" s="95"/>
      <x:c r="C90" s="95" t="str">
        <x:f>IF($B90="","",IFERROR(VLOOKUP($B90,'Fiyat Hesaplama'!$A$3:$Z$102,3,FALSE),""))</x:f>
      </x:c>
      <x:c r="D90" s="95" t="str">
        <x:f>IF($B90="","",IFERROR(VLOOKUP($B90,'Fiyat Hesaplama'!$A$3:$Z$102,4,FALSE),""))</x:f>
      </x:c>
      <x:c r="E90" s="95"/>
      <x:c r="F90" s="95" t="str">
        <x:f>IF($B90="","",IFERROR(VLOOKUP($B90,'Fiyat Hesaplama'!$A$3:$Z$102,5,FALSE),""))</x:f>
      </x:c>
      <x:c r="G90" s="95" t="str">
        <x:f>IF($B90="","",IFERROR(VLOOKUP($B90,'Fiyat Hesaplama'!$A$3:$Z$102,6,FALSE),""))</x:f>
      </x:c>
      <x:c r="H90" s="120"/>
      <x:c r="I90" s="120"/>
      <x:c r="J90" s="121" t="str">
        <x:f>IF($B90="","",IFERROR(VLOOKUP($B90,'Fiyat Hesaplama'!$A$3:$Z$102,9,FALSE),""))</x:f>
      </x:c>
      <x:c r="K90" s="95"/>
      <x:c r="L90" s="95"/>
      <x:c r="M90" s="95"/>
      <x:c r="N90" s="95"/>
      <x:c r="O90" s="95"/>
      <x:c r="P90" s="114"/>
      <x:c r="Q90" s="95"/>
      <x:c r="R90" s="89"/>
      <x:c r="S90" s="89"/>
      <x:c r="T90" s="89"/>
      <x:c r="U90" s="89"/>
      <x:c r="V90" s="89"/>
      <x:c r="W90" s="89"/>
      <x:c r="X90" s="89"/>
      <x:c r="Y90" s="89"/>
      <x:c r="Z90" s="89"/>
    </x:row>
    <x:row r="91">
      <x:c r="A91" s="95"/>
      <x:c r="B91" s="95"/>
      <x:c r="C91" s="95" t="str">
        <x:f>IF($B91="","",IFERROR(VLOOKUP($B91,'Fiyat Hesaplama'!$A$3:$Z$102,3,FALSE),""))</x:f>
      </x:c>
      <x:c r="D91" s="95" t="str">
        <x:f>IF($B91="","",IFERROR(VLOOKUP($B91,'Fiyat Hesaplama'!$A$3:$Z$102,4,FALSE),""))</x:f>
      </x:c>
      <x:c r="E91" s="95"/>
      <x:c r="F91" s="95" t="str">
        <x:f>IF($B91="","",IFERROR(VLOOKUP($B91,'Fiyat Hesaplama'!$A$3:$Z$102,5,FALSE),""))</x:f>
      </x:c>
      <x:c r="G91" s="95" t="str">
        <x:f>IF($B91="","",IFERROR(VLOOKUP($B91,'Fiyat Hesaplama'!$A$3:$Z$102,6,FALSE),""))</x:f>
      </x:c>
      <x:c r="H91" s="120"/>
      <x:c r="I91" s="120"/>
      <x:c r="J91" s="121" t="str">
        <x:f>IF($B91="","",IFERROR(VLOOKUP($B91,'Fiyat Hesaplama'!$A$3:$Z$102,9,FALSE),""))</x:f>
      </x:c>
      <x:c r="K91" s="95"/>
      <x:c r="L91" s="95"/>
      <x:c r="M91" s="95"/>
      <x:c r="N91" s="95"/>
      <x:c r="O91" s="95"/>
      <x:c r="P91" s="114"/>
      <x:c r="Q91" s="95"/>
      <x:c r="R91" s="89"/>
      <x:c r="S91" s="89"/>
      <x:c r="T91" s="89"/>
      <x:c r="U91" s="89"/>
      <x:c r="V91" s="89"/>
      <x:c r="W91" s="89"/>
      <x:c r="X91" s="89"/>
      <x:c r="Y91" s="89"/>
      <x:c r="Z91" s="89"/>
    </x:row>
    <x:row r="92">
      <x:c r="A92" s="95"/>
      <x:c r="B92" s="95"/>
      <x:c r="C92" s="95" t="str">
        <x:f>IF($B92="","",IFERROR(VLOOKUP($B92,'Fiyat Hesaplama'!$A$3:$Z$102,3,FALSE),""))</x:f>
      </x:c>
      <x:c r="D92" s="95" t="str">
        <x:f>IF($B92="","",IFERROR(VLOOKUP($B92,'Fiyat Hesaplama'!$A$3:$Z$102,4,FALSE),""))</x:f>
      </x:c>
      <x:c r="E92" s="95"/>
      <x:c r="F92" s="95" t="str">
        <x:f>IF($B92="","",IFERROR(VLOOKUP($B92,'Fiyat Hesaplama'!$A$3:$Z$102,5,FALSE),""))</x:f>
      </x:c>
      <x:c r="G92" s="95" t="str">
        <x:f>IF($B92="","",IFERROR(VLOOKUP($B92,'Fiyat Hesaplama'!$A$3:$Z$102,6,FALSE),""))</x:f>
      </x:c>
      <x:c r="H92" s="120"/>
      <x:c r="I92" s="120"/>
      <x:c r="J92" s="121" t="str">
        <x:f>IF($B92="","",IFERROR(VLOOKUP($B92,'Fiyat Hesaplama'!$A$3:$Z$102,9,FALSE),""))</x:f>
      </x:c>
      <x:c r="K92" s="95"/>
      <x:c r="L92" s="95"/>
      <x:c r="M92" s="95"/>
      <x:c r="N92" s="95"/>
      <x:c r="O92" s="95"/>
      <x:c r="P92" s="114"/>
      <x:c r="Q92" s="95"/>
      <x:c r="R92" s="89"/>
      <x:c r="S92" s="89"/>
      <x:c r="T92" s="89"/>
      <x:c r="U92" s="89"/>
      <x:c r="V92" s="89"/>
      <x:c r="W92" s="89"/>
      <x:c r="X92" s="89"/>
      <x:c r="Y92" s="89"/>
      <x:c r="Z92" s="89"/>
    </x:row>
    <x:row r="93">
      <x:c r="A93" s="95"/>
      <x:c r="B93" s="95"/>
      <x:c r="C93" s="95" t="str">
        <x:f>IF($B93="","",IFERROR(VLOOKUP($B93,'Fiyat Hesaplama'!$A$3:$Z$102,3,FALSE),""))</x:f>
      </x:c>
      <x:c r="D93" s="95" t="str">
        <x:f>IF($B93="","",IFERROR(VLOOKUP($B93,'Fiyat Hesaplama'!$A$3:$Z$102,4,FALSE),""))</x:f>
      </x:c>
      <x:c r="E93" s="95"/>
      <x:c r="F93" s="95" t="str">
        <x:f>IF($B93="","",IFERROR(VLOOKUP($B93,'Fiyat Hesaplama'!$A$3:$Z$102,5,FALSE),""))</x:f>
      </x:c>
      <x:c r="G93" s="95" t="str">
        <x:f>IF($B93="","",IFERROR(VLOOKUP($B93,'Fiyat Hesaplama'!$A$3:$Z$102,6,FALSE),""))</x:f>
      </x:c>
      <x:c r="H93" s="120"/>
      <x:c r="I93" s="120"/>
      <x:c r="J93" s="121" t="str">
        <x:f>IF($B93="","",IFERROR(VLOOKUP($B93,'Fiyat Hesaplama'!$A$3:$Z$102,9,FALSE),""))</x:f>
      </x:c>
      <x:c r="K93" s="95"/>
      <x:c r="L93" s="95"/>
      <x:c r="M93" s="95"/>
      <x:c r="N93" s="95"/>
      <x:c r="O93" s="95"/>
      <x:c r="P93" s="114"/>
      <x:c r="Q93" s="95"/>
      <x:c r="R93" s="89"/>
      <x:c r="S93" s="89"/>
      <x:c r="T93" s="89"/>
      <x:c r="U93" s="89"/>
      <x:c r="V93" s="89"/>
      <x:c r="W93" s="89"/>
      <x:c r="X93" s="89"/>
      <x:c r="Y93" s="89"/>
      <x:c r="Z93" s="89"/>
    </x:row>
    <x:row r="94">
      <x:c r="A94" s="95"/>
      <x:c r="B94" s="95"/>
      <x:c r="C94" s="95" t="str">
        <x:f>IF($B94="","",IFERROR(VLOOKUP($B94,'Fiyat Hesaplama'!$A$3:$Z$102,3,FALSE),""))</x:f>
      </x:c>
      <x:c r="D94" s="95" t="str">
        <x:f>IF($B94="","",IFERROR(VLOOKUP($B94,'Fiyat Hesaplama'!$A$3:$Z$102,4,FALSE),""))</x:f>
      </x:c>
      <x:c r="E94" s="95"/>
      <x:c r="F94" s="95" t="str">
        <x:f>IF($B94="","",IFERROR(VLOOKUP($B94,'Fiyat Hesaplama'!$A$3:$Z$102,5,FALSE),""))</x:f>
      </x:c>
      <x:c r="G94" s="95" t="str">
        <x:f>IF($B94="","",IFERROR(VLOOKUP($B94,'Fiyat Hesaplama'!$A$3:$Z$102,6,FALSE),""))</x:f>
      </x:c>
      <x:c r="H94" s="120"/>
      <x:c r="I94" s="120"/>
      <x:c r="J94" s="121" t="str">
        <x:f>IF($B94="","",IFERROR(VLOOKUP($B94,'Fiyat Hesaplama'!$A$3:$Z$102,9,FALSE),""))</x:f>
      </x:c>
      <x:c r="K94" s="95"/>
      <x:c r="L94" s="95"/>
      <x:c r="M94" s="95"/>
      <x:c r="N94" s="95"/>
      <x:c r="O94" s="95"/>
      <x:c r="P94" s="114"/>
      <x:c r="Q94" s="95"/>
      <x:c r="R94" s="89"/>
      <x:c r="S94" s="89"/>
      <x:c r="T94" s="89"/>
      <x:c r="U94" s="89"/>
      <x:c r="V94" s="89"/>
      <x:c r="W94" s="89"/>
      <x:c r="X94" s="89"/>
      <x:c r="Y94" s="89"/>
      <x:c r="Z94" s="89"/>
    </x:row>
    <x:row r="95">
      <x:c r="A95" s="95"/>
      <x:c r="B95" s="95"/>
      <x:c r="C95" s="95" t="str">
        <x:f>IF($B95="","",IFERROR(VLOOKUP($B95,'Fiyat Hesaplama'!$A$3:$Z$102,3,FALSE),""))</x:f>
      </x:c>
      <x:c r="D95" s="95" t="str">
        <x:f>IF($B95="","",IFERROR(VLOOKUP($B95,'Fiyat Hesaplama'!$A$3:$Z$102,4,FALSE),""))</x:f>
      </x:c>
      <x:c r="E95" s="95"/>
      <x:c r="F95" s="95" t="str">
        <x:f>IF($B95="","",IFERROR(VLOOKUP($B95,'Fiyat Hesaplama'!$A$3:$Z$102,5,FALSE),""))</x:f>
      </x:c>
      <x:c r="G95" s="95" t="str">
        <x:f>IF($B95="","",IFERROR(VLOOKUP($B95,'Fiyat Hesaplama'!$A$3:$Z$102,6,FALSE),""))</x:f>
      </x:c>
      <x:c r="H95" s="120"/>
      <x:c r="I95" s="120"/>
      <x:c r="J95" s="121" t="str">
        <x:f>IF($B95="","",IFERROR(VLOOKUP($B95,'Fiyat Hesaplama'!$A$3:$Z$102,9,FALSE),""))</x:f>
      </x:c>
      <x:c r="K95" s="95"/>
      <x:c r="L95" s="95"/>
      <x:c r="M95" s="95"/>
      <x:c r="N95" s="95"/>
      <x:c r="O95" s="95"/>
      <x:c r="P95" s="114"/>
      <x:c r="Q95" s="95"/>
      <x:c r="R95" s="89"/>
      <x:c r="S95" s="89"/>
      <x:c r="T95" s="89"/>
      <x:c r="U95" s="89"/>
      <x:c r="V95" s="89"/>
      <x:c r="W95" s="89"/>
      <x:c r="X95" s="89"/>
      <x:c r="Y95" s="89"/>
      <x:c r="Z95" s="89"/>
    </x:row>
    <x:row r="96">
      <x:c r="A96" s="95"/>
      <x:c r="B96" s="95"/>
      <x:c r="C96" s="95" t="str">
        <x:f>IF($B96="","",IFERROR(VLOOKUP($B96,'Fiyat Hesaplama'!$A$3:$Z$102,3,FALSE),""))</x:f>
      </x:c>
      <x:c r="D96" s="95" t="str">
        <x:f>IF($B96="","",IFERROR(VLOOKUP($B96,'Fiyat Hesaplama'!$A$3:$Z$102,4,FALSE),""))</x:f>
      </x:c>
      <x:c r="E96" s="95"/>
      <x:c r="F96" s="95" t="str">
        <x:f>IF($B96="","",IFERROR(VLOOKUP($B96,'Fiyat Hesaplama'!$A$3:$Z$102,5,FALSE),""))</x:f>
      </x:c>
      <x:c r="G96" s="95" t="str">
        <x:f>IF($B96="","",IFERROR(VLOOKUP($B96,'Fiyat Hesaplama'!$A$3:$Z$102,6,FALSE),""))</x:f>
      </x:c>
      <x:c r="H96" s="120"/>
      <x:c r="I96" s="120"/>
      <x:c r="J96" s="121" t="str">
        <x:f>IF($B96="","",IFERROR(VLOOKUP($B96,'Fiyat Hesaplama'!$A$3:$Z$102,9,FALSE),""))</x:f>
      </x:c>
      <x:c r="K96" s="95"/>
      <x:c r="L96" s="95"/>
      <x:c r="M96" s="95"/>
      <x:c r="N96" s="95"/>
      <x:c r="O96" s="95"/>
      <x:c r="P96" s="114"/>
      <x:c r="Q96" s="95"/>
      <x:c r="R96" s="89"/>
      <x:c r="S96" s="89"/>
      <x:c r="T96" s="89"/>
      <x:c r="U96" s="89"/>
      <x:c r="V96" s="89"/>
      <x:c r="W96" s="89"/>
      <x:c r="X96" s="89"/>
      <x:c r="Y96" s="89"/>
      <x:c r="Z96" s="89"/>
    </x:row>
    <x:row r="97">
      <x:c r="A97" s="95"/>
      <x:c r="B97" s="95"/>
      <x:c r="C97" s="95" t="str">
        <x:f>IF($B97="","",IFERROR(VLOOKUP($B97,'Fiyat Hesaplama'!$A$3:$Z$102,3,FALSE),""))</x:f>
      </x:c>
      <x:c r="D97" s="95" t="str">
        <x:f>IF($B97="","",IFERROR(VLOOKUP($B97,'Fiyat Hesaplama'!$A$3:$Z$102,4,FALSE),""))</x:f>
      </x:c>
      <x:c r="E97" s="95"/>
      <x:c r="F97" s="95" t="str">
        <x:f>IF($B97="","",IFERROR(VLOOKUP($B97,'Fiyat Hesaplama'!$A$3:$Z$102,5,FALSE),""))</x:f>
      </x:c>
      <x:c r="G97" s="95" t="str">
        <x:f>IF($B97="","",IFERROR(VLOOKUP($B97,'Fiyat Hesaplama'!$A$3:$Z$102,6,FALSE),""))</x:f>
      </x:c>
      <x:c r="H97" s="120"/>
      <x:c r="I97" s="120"/>
      <x:c r="J97" s="121" t="str">
        <x:f>IF($B97="","",IFERROR(VLOOKUP($B97,'Fiyat Hesaplama'!$A$3:$Z$102,9,FALSE),""))</x:f>
      </x:c>
      <x:c r="K97" s="95"/>
      <x:c r="L97" s="95"/>
      <x:c r="M97" s="95"/>
      <x:c r="N97" s="95"/>
      <x:c r="O97" s="95"/>
      <x:c r="P97" s="114"/>
      <x:c r="Q97" s="95"/>
      <x:c r="R97" s="89"/>
      <x:c r="S97" s="89"/>
      <x:c r="T97" s="89"/>
      <x:c r="U97" s="89"/>
      <x:c r="V97" s="89"/>
      <x:c r="W97" s="89"/>
      <x:c r="X97" s="89"/>
      <x:c r="Y97" s="89"/>
      <x:c r="Z97" s="89"/>
    </x:row>
    <x:row r="98">
      <x:c r="A98" s="95"/>
      <x:c r="B98" s="95"/>
      <x:c r="C98" s="95" t="str">
        <x:f>IF($B98="","",IFERROR(VLOOKUP($B98,'Fiyat Hesaplama'!$A$3:$Z$102,3,FALSE),""))</x:f>
      </x:c>
      <x:c r="D98" s="95" t="str">
        <x:f>IF($B98="","",IFERROR(VLOOKUP($B98,'Fiyat Hesaplama'!$A$3:$Z$102,4,FALSE),""))</x:f>
      </x:c>
      <x:c r="E98" s="95"/>
      <x:c r="F98" s="95" t="str">
        <x:f>IF($B98="","",IFERROR(VLOOKUP($B98,'Fiyat Hesaplama'!$A$3:$Z$102,5,FALSE),""))</x:f>
      </x:c>
      <x:c r="G98" s="95" t="str">
        <x:f>IF($B98="","",IFERROR(VLOOKUP($B98,'Fiyat Hesaplama'!$A$3:$Z$102,6,FALSE),""))</x:f>
      </x:c>
      <x:c r="H98" s="120"/>
      <x:c r="I98" s="120"/>
      <x:c r="J98" s="121" t="str">
        <x:f>IF($B98="","",IFERROR(VLOOKUP($B98,'Fiyat Hesaplama'!$A$3:$Z$102,9,FALSE),""))</x:f>
      </x:c>
      <x:c r="K98" s="95"/>
      <x:c r="L98" s="95"/>
      <x:c r="M98" s="95"/>
      <x:c r="N98" s="95"/>
      <x:c r="O98" s="95"/>
      <x:c r="P98" s="114"/>
      <x:c r="Q98" s="95"/>
      <x:c r="R98" s="89"/>
      <x:c r="S98" s="89"/>
      <x:c r="T98" s="89"/>
      <x:c r="U98" s="89"/>
      <x:c r="V98" s="89"/>
      <x:c r="W98" s="89"/>
      <x:c r="X98" s="89"/>
      <x:c r="Y98" s="89"/>
      <x:c r="Z98" s="89"/>
    </x:row>
    <x:row r="99">
      <x:c r="A99" s="95"/>
      <x:c r="B99" s="95"/>
      <x:c r="C99" s="95" t="str">
        <x:f>IF($B99="","",IFERROR(VLOOKUP($B99,'Fiyat Hesaplama'!$A$3:$Z$102,3,FALSE),""))</x:f>
      </x:c>
      <x:c r="D99" s="95" t="str">
        <x:f>IF($B99="","",IFERROR(VLOOKUP($B99,'Fiyat Hesaplama'!$A$3:$Z$102,4,FALSE),""))</x:f>
      </x:c>
      <x:c r="E99" s="95"/>
      <x:c r="F99" s="95" t="str">
        <x:f>IF($B99="","",IFERROR(VLOOKUP($B99,'Fiyat Hesaplama'!$A$3:$Z$102,5,FALSE),""))</x:f>
      </x:c>
      <x:c r="G99" s="95" t="str">
        <x:f>IF($B99="","",IFERROR(VLOOKUP($B99,'Fiyat Hesaplama'!$A$3:$Z$102,6,FALSE),""))</x:f>
      </x:c>
      <x:c r="H99" s="120"/>
      <x:c r="I99" s="120"/>
      <x:c r="J99" s="121" t="str">
        <x:f>IF($B99="","",IFERROR(VLOOKUP($B99,'Fiyat Hesaplama'!$A$3:$Z$102,9,FALSE),""))</x:f>
      </x:c>
      <x:c r="K99" s="95"/>
      <x:c r="L99" s="95"/>
      <x:c r="M99" s="95"/>
      <x:c r="N99" s="95"/>
      <x:c r="O99" s="95"/>
      <x:c r="P99" s="114"/>
      <x:c r="Q99" s="95"/>
      <x:c r="R99" s="89"/>
      <x:c r="S99" s="89"/>
      <x:c r="T99" s="89"/>
      <x:c r="U99" s="89"/>
      <x:c r="V99" s="89"/>
      <x:c r="W99" s="89"/>
      <x:c r="X99" s="89"/>
      <x:c r="Y99" s="89"/>
      <x:c r="Z99" s="89"/>
    </x:row>
    <x:row r="100">
      <x:c r="A100" s="95"/>
      <x:c r="B100" s="95"/>
      <x:c r="C100" s="95" t="str">
        <x:f>IF($B100="","",IFERROR(VLOOKUP($B100,'Fiyat Hesaplama'!$A$3:$Z$102,3,FALSE),""))</x:f>
      </x:c>
      <x:c r="D100" s="95" t="str">
        <x:f>IF($B100="","",IFERROR(VLOOKUP($B100,'Fiyat Hesaplama'!$A$3:$Z$102,4,FALSE),""))</x:f>
      </x:c>
      <x:c r="E100" s="95"/>
      <x:c r="F100" s="95" t="str">
        <x:f>IF($B100="","",IFERROR(VLOOKUP($B100,'Fiyat Hesaplama'!$A$3:$Z$102,5,FALSE),""))</x:f>
      </x:c>
      <x:c r="G100" s="95" t="str">
        <x:f>IF($B100="","",IFERROR(VLOOKUP($B100,'Fiyat Hesaplama'!$A$3:$Z$102,6,FALSE),""))</x:f>
      </x:c>
      <x:c r="H100" s="120"/>
      <x:c r="I100" s="120"/>
      <x:c r="J100" s="121" t="str">
        <x:f>IF($B100="","",IFERROR(VLOOKUP($B100,'Fiyat Hesaplama'!$A$3:$Z$102,9,FALSE),""))</x:f>
      </x:c>
      <x:c r="K100" s="95"/>
      <x:c r="L100" s="95"/>
      <x:c r="M100" s="95"/>
      <x:c r="N100" s="95"/>
      <x:c r="O100" s="95"/>
      <x:c r="P100" s="114"/>
      <x:c r="Q100" s="95"/>
      <x:c r="R100" s="89"/>
      <x:c r="S100" s="89"/>
      <x:c r="T100" s="89"/>
      <x:c r="U100" s="89"/>
      <x:c r="V100" s="89"/>
      <x:c r="W100" s="89"/>
      <x:c r="X100" s="89"/>
      <x:c r="Y100" s="89"/>
      <x:c r="Z100" s="89"/>
    </x:row>
    <x:row r="101">
      <x:c r="A101" s="95"/>
      <x:c r="B101" s="95"/>
      <x:c r="C101" s="95" t="str">
        <x:f>IF($B101="","",IFERROR(VLOOKUP($B101,'Fiyat Hesaplama'!$A$3:$Z$102,3,FALSE),""))</x:f>
      </x:c>
      <x:c r="D101" s="95" t="str">
        <x:f>IF($B101="","",IFERROR(VLOOKUP($B101,'Fiyat Hesaplama'!$A$3:$Z$102,4,FALSE),""))</x:f>
      </x:c>
      <x:c r="E101" s="95"/>
      <x:c r="F101" s="95" t="str">
        <x:f>IF($B101="","",IFERROR(VLOOKUP($B101,'Fiyat Hesaplama'!$A$3:$Z$102,5,FALSE),""))</x:f>
      </x:c>
      <x:c r="G101" s="95" t="str">
        <x:f>IF($B101="","",IFERROR(VLOOKUP($B101,'Fiyat Hesaplama'!$A$3:$Z$102,6,FALSE),""))</x:f>
      </x:c>
      <x:c r="H101" s="120"/>
      <x:c r="I101" s="120"/>
      <x:c r="J101" s="121" t="str">
        <x:f>IF($B101="","",IFERROR(VLOOKUP($B101,'Fiyat Hesaplama'!$A$3:$Z$102,9,FALSE),""))</x:f>
      </x:c>
      <x:c r="K101" s="95"/>
      <x:c r="L101" s="95"/>
      <x:c r="M101" s="95"/>
      <x:c r="N101" s="95"/>
      <x:c r="O101" s="95"/>
      <x:c r="P101" s="114"/>
      <x:c r="Q101" s="95"/>
      <x:c r="R101" s="89"/>
      <x:c r="S101" s="89"/>
      <x:c r="T101" s="89"/>
      <x:c r="U101" s="89"/>
      <x:c r="V101" s="89"/>
      <x:c r="W101" s="89"/>
      <x:c r="X101" s="89"/>
      <x:c r="Y101" s="89"/>
      <x:c r="Z101" s="89"/>
    </x:row>
    <x:row r="102">
      <x:c r="A102" s="95"/>
      <x:c r="B102" s="95"/>
      <x:c r="C102" s="95" t="str">
        <x:f>IF($B102="","",IFERROR(VLOOKUP($B102,'Fiyat Hesaplama'!$A$3:$Z$102,3,FALSE),""))</x:f>
      </x:c>
      <x:c r="D102" s="95" t="str">
        <x:f>IF($B102="","",IFERROR(VLOOKUP($B102,'Fiyat Hesaplama'!$A$3:$Z$102,4,FALSE),""))</x:f>
      </x:c>
      <x:c r="E102" s="95"/>
      <x:c r="F102" s="95" t="str">
        <x:f>IF($B102="","",IFERROR(VLOOKUP($B102,'Fiyat Hesaplama'!$A$3:$Z$102,5,FALSE),""))</x:f>
      </x:c>
      <x:c r="G102" s="95" t="str">
        <x:f>IF($B102="","",IFERROR(VLOOKUP($B102,'Fiyat Hesaplama'!$A$3:$Z$102,6,FALSE),""))</x:f>
      </x:c>
      <x:c r="H102" s="120"/>
      <x:c r="I102" s="120"/>
      <x:c r="J102" s="121" t="str">
        <x:f>IF($B102="","",IFERROR(VLOOKUP($B102,'Fiyat Hesaplama'!$A$3:$Z$102,9,FALSE),""))</x:f>
      </x:c>
      <x:c r="K102" s="95"/>
      <x:c r="L102" s="95"/>
      <x:c r="M102" s="95"/>
      <x:c r="N102" s="95"/>
      <x:c r="O102" s="95"/>
      <x:c r="P102" s="114"/>
      <x:c r="Q102" s="95"/>
      <x:c r="R102" s="89"/>
      <x:c r="S102" s="89"/>
      <x:c r="T102" s="89"/>
      <x:c r="U102" s="89"/>
      <x:c r="V102" s="89"/>
      <x:c r="W102" s="89"/>
      <x:c r="X102" s="89"/>
      <x:c r="Y102" s="89"/>
      <x:c r="Z102" s="89"/>
    </x:row>
    <x:row r="103">
      <x:c r="A103" s="89"/>
      <x:c r="B103" s="89"/>
      <x:c r="C103" s="89"/>
      <x:c r="D103" s="89"/>
      <x:c r="E103" s="89"/>
      <x:c r="F103" s="89"/>
      <x:c r="G103" s="89"/>
      <x:c r="H103" s="89"/>
      <x:c r="I103" s="89"/>
      <x:c r="J103" s="89"/>
      <x:c r="K103" s="89"/>
      <x:c r="L103" s="89"/>
      <x:c r="M103" s="89"/>
      <x:c r="N103" s="89"/>
      <x:c r="O103" s="89"/>
      <x:c r="P103" s="89"/>
      <x:c r="Q103" s="89"/>
      <x:c r="R103" s="89"/>
      <x:c r="S103" s="89"/>
      <x:c r="T103" s="89"/>
      <x:c r="U103" s="89"/>
      <x:c r="V103" s="89"/>
      <x:c r="W103" s="89"/>
      <x:c r="X103" s="89"/>
      <x:c r="Y103" s="89"/>
      <x:c r="Z103" s="89"/>
    </x:row>
    <x:row r="104">
      <x:c r="A104" s="89"/>
      <x:c r="B104" s="89"/>
      <x:c r="C104" s="89"/>
      <x:c r="D104" s="89"/>
      <x:c r="E104" s="89"/>
      <x:c r="F104" s="89"/>
      <x:c r="G104" s="89"/>
      <x:c r="H104" s="89"/>
      <x:c r="I104" s="89"/>
      <x:c r="J104" s="89"/>
      <x:c r="K104" s="89"/>
      <x:c r="L104" s="89"/>
      <x:c r="M104" s="89"/>
      <x:c r="N104" s="89"/>
      <x:c r="O104" s="89"/>
      <x:c r="P104" s="89"/>
      <x:c r="Q104" s="89"/>
      <x:c r="R104" s="89"/>
      <x:c r="S104" s="89"/>
      <x:c r="T104" s="89"/>
      <x:c r="U104" s="89"/>
      <x:c r="V104" s="89"/>
      <x:c r="W104" s="89"/>
      <x:c r="X104" s="89"/>
      <x:c r="Y104" s="89"/>
      <x:c r="Z104" s="89"/>
    </x:row>
    <x:row r="105">
      <x:c r="A105" s="89"/>
      <x:c r="B105" s="89"/>
      <x:c r="C105" s="89"/>
      <x:c r="D105" s="89"/>
      <x:c r="E105" s="89"/>
      <x:c r="F105" s="89"/>
      <x:c r="G105" s="89"/>
      <x:c r="H105" s="89"/>
      <x:c r="I105" s="89"/>
      <x:c r="J105" s="89"/>
      <x:c r="K105" s="89"/>
      <x:c r="L105" s="89"/>
      <x:c r="M105" s="89"/>
      <x:c r="N105" s="89"/>
      <x:c r="O105" s="89"/>
      <x:c r="P105" s="89"/>
      <x:c r="Q105" s="89"/>
      <x:c r="R105" s="89"/>
      <x:c r="S105" s="89"/>
      <x:c r="T105" s="89"/>
      <x:c r="U105" s="89"/>
      <x:c r="V105" s="89"/>
      <x:c r="W105" s="89"/>
      <x:c r="X105" s="89"/>
      <x:c r="Y105" s="89"/>
      <x:c r="Z105" s="89"/>
    </x:row>
    <x:row r="106">
      <x:c r="A106" s="89"/>
      <x:c r="B106" s="89"/>
      <x:c r="C106" s="89"/>
      <x:c r="D106" s="89"/>
      <x:c r="E106" s="89"/>
      <x:c r="F106" s="89"/>
      <x:c r="G106" s="89"/>
      <x:c r="H106" s="89"/>
      <x:c r="I106" s="89"/>
      <x:c r="J106" s="89"/>
      <x:c r="K106" s="89"/>
      <x:c r="L106" s="89"/>
      <x:c r="M106" s="89"/>
      <x:c r="N106" s="89"/>
      <x:c r="O106" s="89"/>
      <x:c r="P106" s="89"/>
      <x:c r="Q106" s="89"/>
      <x:c r="R106" s="89"/>
      <x:c r="S106" s="89"/>
      <x:c r="T106" s="89"/>
      <x:c r="U106" s="89"/>
      <x:c r="V106" s="89"/>
      <x:c r="W106" s="89"/>
      <x:c r="X106" s="89"/>
      <x:c r="Y106" s="89"/>
      <x:c r="Z106" s="89"/>
    </x:row>
    <x:row r="107">
      <x:c r="A107" s="89"/>
      <x:c r="B107" s="89"/>
      <x:c r="C107" s="89"/>
      <x:c r="D107" s="89"/>
      <x:c r="E107" s="89"/>
      <x:c r="F107" s="89"/>
      <x:c r="G107" s="89"/>
      <x:c r="H107" s="89"/>
      <x:c r="I107" s="89"/>
      <x:c r="J107" s="89"/>
      <x:c r="K107" s="89"/>
      <x:c r="L107" s="89"/>
      <x:c r="M107" s="89"/>
      <x:c r="N107" s="89"/>
      <x:c r="O107" s="89"/>
      <x:c r="P107" s="89"/>
      <x:c r="Q107" s="89"/>
      <x:c r="R107" s="89"/>
      <x:c r="S107" s="89"/>
      <x:c r="T107" s="89"/>
      <x:c r="U107" s="89"/>
      <x:c r="V107" s="89"/>
      <x:c r="W107" s="89"/>
      <x:c r="X107" s="89"/>
      <x:c r="Y107" s="89"/>
      <x:c r="Z107" s="89"/>
    </x:row>
    <x:row r="108">
      <x:c r="A108" s="89"/>
      <x:c r="B108" s="89"/>
      <x:c r="C108" s="89"/>
      <x:c r="D108" s="89"/>
      <x:c r="E108" s="89"/>
      <x:c r="F108" s="89"/>
      <x:c r="G108" s="89"/>
      <x:c r="H108" s="89"/>
      <x:c r="I108" s="89"/>
      <x:c r="J108" s="89"/>
      <x:c r="K108" s="89"/>
      <x:c r="L108" s="89"/>
      <x:c r="M108" s="89"/>
      <x:c r="N108" s="89"/>
      <x:c r="O108" s="89"/>
      <x:c r="P108" s="89"/>
      <x:c r="Q108" s="89"/>
      <x:c r="R108" s="89"/>
      <x:c r="S108" s="89"/>
      <x:c r="T108" s="89"/>
      <x:c r="U108" s="89"/>
      <x:c r="V108" s="89"/>
      <x:c r="W108" s="89"/>
      <x:c r="X108" s="89"/>
      <x:c r="Y108" s="89"/>
      <x:c r="Z108" s="89"/>
    </x:row>
    <x:row r="109">
      <x:c r="A109" s="89"/>
      <x:c r="B109" s="89"/>
      <x:c r="C109" s="89"/>
      <x:c r="D109" s="89"/>
      <x:c r="E109" s="89"/>
      <x:c r="F109" s="89"/>
      <x:c r="G109" s="89"/>
      <x:c r="H109" s="89"/>
      <x:c r="I109" s="89"/>
      <x:c r="J109" s="89"/>
      <x:c r="K109" s="89"/>
      <x:c r="L109" s="89"/>
      <x:c r="M109" s="89"/>
      <x:c r="N109" s="89"/>
      <x:c r="O109" s="89"/>
      <x:c r="P109" s="89"/>
      <x:c r="Q109" s="89"/>
      <x:c r="R109" s="89"/>
      <x:c r="S109" s="89"/>
      <x:c r="T109" s="89"/>
      <x:c r="U109" s="89"/>
      <x:c r="V109" s="89"/>
      <x:c r="W109" s="89"/>
      <x:c r="X109" s="89"/>
      <x:c r="Y109" s="89"/>
      <x:c r="Z109" s="89"/>
    </x:row>
    <x:row r="110">
      <x:c r="A110" s="89"/>
      <x:c r="B110" s="89"/>
      <x:c r="C110" s="89"/>
      <x:c r="D110" s="89"/>
      <x:c r="E110" s="89"/>
      <x:c r="F110" s="89"/>
      <x:c r="G110" s="89"/>
      <x:c r="H110" s="89"/>
      <x:c r="I110" s="89"/>
      <x:c r="J110" s="89"/>
      <x:c r="K110" s="89"/>
      <x:c r="L110" s="89"/>
      <x:c r="M110" s="89"/>
      <x:c r="N110" s="89"/>
      <x:c r="O110" s="89"/>
      <x:c r="P110" s="89"/>
      <x:c r="Q110" s="89"/>
      <x:c r="R110" s="89"/>
      <x:c r="S110" s="89"/>
      <x:c r="T110" s="89"/>
      <x:c r="U110" s="89"/>
      <x:c r="V110" s="89"/>
      <x:c r="W110" s="89"/>
      <x:c r="X110" s="89"/>
      <x:c r="Y110" s="89"/>
      <x:c r="Z110" s="89"/>
    </x:row>
    <x:row r="111">
      <x:c r="A111" s="89"/>
      <x:c r="B111" s="89"/>
      <x:c r="C111" s="89"/>
      <x:c r="D111" s="89"/>
      <x:c r="E111" s="89"/>
      <x:c r="F111" s="89"/>
      <x:c r="G111" s="89"/>
      <x:c r="H111" s="89"/>
      <x:c r="I111" s="89"/>
      <x:c r="J111" s="89"/>
      <x:c r="K111" s="89"/>
      <x:c r="L111" s="89"/>
      <x:c r="M111" s="89"/>
      <x:c r="N111" s="89"/>
      <x:c r="O111" s="89"/>
      <x:c r="P111" s="89"/>
      <x:c r="Q111" s="89"/>
      <x:c r="R111" s="89"/>
      <x:c r="S111" s="89"/>
      <x:c r="T111" s="89"/>
      <x:c r="U111" s="89"/>
      <x:c r="V111" s="89"/>
      <x:c r="W111" s="89"/>
      <x:c r="X111" s="89"/>
      <x:c r="Y111" s="89"/>
      <x:c r="Z111" s="89"/>
    </x:row>
    <x:row r="112">
      <x:c r="A112" s="89"/>
      <x:c r="B112" s="89"/>
      <x:c r="C112" s="89"/>
      <x:c r="D112" s="89"/>
      <x:c r="E112" s="89"/>
      <x:c r="F112" s="89"/>
      <x:c r="G112" s="89"/>
      <x:c r="H112" s="89"/>
      <x:c r="I112" s="89"/>
      <x:c r="J112" s="89"/>
      <x:c r="K112" s="89"/>
      <x:c r="L112" s="89"/>
      <x:c r="M112" s="89"/>
      <x:c r="N112" s="89"/>
      <x:c r="O112" s="89"/>
      <x:c r="P112" s="89"/>
      <x:c r="Q112" s="89"/>
      <x:c r="R112" s="89"/>
      <x:c r="S112" s="89"/>
      <x:c r="T112" s="89"/>
      <x:c r="U112" s="89"/>
      <x:c r="V112" s="89"/>
      <x:c r="W112" s="89"/>
      <x:c r="X112" s="89"/>
      <x:c r="Y112" s="89"/>
      <x:c r="Z112" s="89"/>
    </x:row>
    <x:row r="113">
      <x:c r="A113" s="89"/>
      <x:c r="B113" s="89"/>
      <x:c r="C113" s="89"/>
      <x:c r="D113" s="89"/>
      <x:c r="E113" s="89"/>
      <x:c r="F113" s="89"/>
      <x:c r="G113" s="89"/>
      <x:c r="H113" s="89"/>
      <x:c r="I113" s="89"/>
      <x:c r="J113" s="89"/>
      <x:c r="K113" s="89"/>
      <x:c r="L113" s="89"/>
      <x:c r="M113" s="89"/>
      <x:c r="N113" s="89"/>
      <x:c r="O113" s="89"/>
      <x:c r="P113" s="89"/>
      <x:c r="Q113" s="89"/>
      <x:c r="R113" s="89"/>
      <x:c r="S113" s="89"/>
      <x:c r="T113" s="89"/>
      <x:c r="U113" s="89"/>
      <x:c r="V113" s="89"/>
      <x:c r="W113" s="89"/>
      <x:c r="X113" s="89"/>
      <x:c r="Y113" s="89"/>
      <x:c r="Z113" s="89"/>
    </x:row>
    <x:row r="114">
      <x:c r="A114" s="89"/>
      <x:c r="B114" s="89"/>
      <x:c r="C114" s="89"/>
      <x:c r="D114" s="89"/>
      <x:c r="E114" s="89"/>
      <x:c r="F114" s="89"/>
      <x:c r="G114" s="89"/>
      <x:c r="H114" s="89"/>
      <x:c r="I114" s="89"/>
      <x:c r="J114" s="89"/>
      <x:c r="K114" s="89"/>
      <x:c r="L114" s="89"/>
      <x:c r="M114" s="89"/>
      <x:c r="N114" s="89"/>
      <x:c r="O114" s="89"/>
      <x:c r="P114" s="89"/>
      <x:c r="Q114" s="89"/>
      <x:c r="R114" s="89"/>
      <x:c r="S114" s="89"/>
      <x:c r="T114" s="89"/>
      <x:c r="U114" s="89"/>
      <x:c r="V114" s="89"/>
      <x:c r="W114" s="89"/>
      <x:c r="X114" s="89"/>
      <x:c r="Y114" s="89"/>
      <x:c r="Z114" s="89"/>
    </x:row>
    <x:row r="115">
      <x:c r="A115" s="89"/>
      <x:c r="B115" s="89"/>
      <x:c r="C115" s="89"/>
      <x:c r="D115" s="89"/>
      <x:c r="E115" s="89"/>
      <x:c r="F115" s="89"/>
      <x:c r="G115" s="89"/>
      <x:c r="H115" s="89"/>
      <x:c r="I115" s="89"/>
      <x:c r="J115" s="89"/>
      <x:c r="K115" s="89"/>
      <x:c r="L115" s="89"/>
      <x:c r="M115" s="89"/>
      <x:c r="N115" s="89"/>
      <x:c r="O115" s="89"/>
      <x:c r="P115" s="89"/>
      <x:c r="Q115" s="89"/>
      <x:c r="R115" s="89"/>
      <x:c r="S115" s="89"/>
      <x:c r="T115" s="89"/>
      <x:c r="U115" s="89"/>
      <x:c r="V115" s="89"/>
      <x:c r="W115" s="89"/>
      <x:c r="X115" s="89"/>
      <x:c r="Y115" s="89"/>
      <x:c r="Z115" s="89"/>
    </x:row>
    <x:row r="116">
      <x:c r="A116" s="89"/>
      <x:c r="B116" s="89"/>
      <x:c r="C116" s="89"/>
      <x:c r="D116" s="89"/>
      <x:c r="E116" s="89"/>
      <x:c r="F116" s="89"/>
      <x:c r="G116" s="89"/>
      <x:c r="H116" s="89"/>
      <x:c r="I116" s="89"/>
      <x:c r="J116" s="89"/>
      <x:c r="K116" s="89"/>
      <x:c r="L116" s="89"/>
      <x:c r="M116" s="89"/>
      <x:c r="N116" s="89"/>
      <x:c r="O116" s="89"/>
      <x:c r="P116" s="89"/>
      <x:c r="Q116" s="89"/>
      <x:c r="R116" s="89"/>
      <x:c r="S116" s="89"/>
      <x:c r="T116" s="89"/>
      <x:c r="U116" s="89"/>
      <x:c r="V116" s="89"/>
      <x:c r="W116" s="89"/>
      <x:c r="X116" s="89"/>
      <x:c r="Y116" s="89"/>
      <x:c r="Z116" s="89"/>
    </x:row>
    <x:row r="117">
      <x:c r="A117" s="89"/>
      <x:c r="B117" s="89"/>
      <x:c r="C117" s="89"/>
      <x:c r="D117" s="89"/>
      <x:c r="E117" s="89"/>
      <x:c r="F117" s="89"/>
      <x:c r="G117" s="89"/>
      <x:c r="H117" s="89"/>
      <x:c r="I117" s="89"/>
      <x:c r="J117" s="89"/>
      <x:c r="K117" s="89"/>
      <x:c r="L117" s="89"/>
      <x:c r="M117" s="89"/>
      <x:c r="N117" s="89"/>
      <x:c r="O117" s="89"/>
      <x:c r="P117" s="89"/>
      <x:c r="Q117" s="89"/>
      <x:c r="R117" s="89"/>
      <x:c r="S117" s="89"/>
      <x:c r="T117" s="89"/>
      <x:c r="U117" s="89"/>
      <x:c r="V117" s="89"/>
      <x:c r="W117" s="89"/>
      <x:c r="X117" s="89"/>
      <x:c r="Y117" s="89"/>
      <x:c r="Z117" s="89"/>
    </x:row>
    <x:row r="118">
      <x:c r="A118" s="89"/>
      <x:c r="B118" s="89"/>
      <x:c r="C118" s="89"/>
      <x:c r="D118" s="89"/>
      <x:c r="E118" s="89"/>
      <x:c r="F118" s="89"/>
      <x:c r="G118" s="89"/>
      <x:c r="H118" s="89"/>
      <x:c r="I118" s="89"/>
      <x:c r="J118" s="89"/>
      <x:c r="K118" s="89"/>
      <x:c r="L118" s="89"/>
      <x:c r="M118" s="89"/>
      <x:c r="N118" s="89"/>
      <x:c r="O118" s="89"/>
      <x:c r="P118" s="89"/>
      <x:c r="Q118" s="89"/>
      <x:c r="R118" s="89"/>
      <x:c r="S118" s="89"/>
      <x:c r="T118" s="89"/>
      <x:c r="U118" s="89"/>
      <x:c r="V118" s="89"/>
      <x:c r="W118" s="89"/>
      <x:c r="X118" s="89"/>
      <x:c r="Y118" s="89"/>
      <x:c r="Z118" s="89"/>
    </x:row>
    <x:row r="119">
      <x:c r="A119" s="89"/>
      <x:c r="B119" s="89"/>
      <x:c r="C119" s="89"/>
      <x:c r="D119" s="89"/>
      <x:c r="E119" s="89"/>
      <x:c r="F119" s="89"/>
      <x:c r="G119" s="89"/>
      <x:c r="H119" s="89"/>
      <x:c r="I119" s="89"/>
      <x:c r="J119" s="89"/>
      <x:c r="K119" s="89"/>
      <x:c r="L119" s="89"/>
      <x:c r="M119" s="89"/>
      <x:c r="N119" s="89"/>
      <x:c r="O119" s="89"/>
      <x:c r="P119" s="89"/>
      <x:c r="Q119" s="89"/>
      <x:c r="R119" s="89"/>
      <x:c r="S119" s="89"/>
      <x:c r="T119" s="89"/>
      <x:c r="U119" s="89"/>
      <x:c r="V119" s="89"/>
      <x:c r="W119" s="89"/>
      <x:c r="X119" s="89"/>
      <x:c r="Y119" s="89"/>
      <x:c r="Z119" s="89"/>
    </x:row>
    <x:row r="120">
      <x:c r="A120" s="89"/>
      <x:c r="B120" s="89"/>
      <x:c r="C120" s="89"/>
      <x:c r="D120" s="89"/>
      <x:c r="E120" s="89"/>
      <x:c r="F120" s="89"/>
      <x:c r="G120" s="89"/>
      <x:c r="H120" s="89"/>
      <x:c r="I120" s="89"/>
      <x:c r="J120" s="89"/>
      <x:c r="K120" s="89"/>
      <x:c r="L120" s="89"/>
      <x:c r="M120" s="89"/>
      <x:c r="N120" s="89"/>
      <x:c r="O120" s="89"/>
      <x:c r="P120" s="89"/>
      <x:c r="Q120" s="89"/>
      <x:c r="R120" s="89"/>
      <x:c r="S120" s="89"/>
      <x:c r="T120" s="89"/>
      <x:c r="U120" s="89"/>
      <x:c r="V120" s="89"/>
      <x:c r="W120" s="89"/>
      <x:c r="X120" s="89"/>
      <x:c r="Y120" s="89"/>
      <x:c r="Z120" s="89"/>
    </x:row>
    <x:row r="121">
      <x:c r="A121" s="89"/>
      <x:c r="B121" s="89"/>
      <x:c r="C121" s="89"/>
      <x:c r="D121" s="89"/>
      <x:c r="E121" s="89"/>
      <x:c r="F121" s="89"/>
      <x:c r="G121" s="89"/>
      <x:c r="H121" s="89"/>
      <x:c r="I121" s="89"/>
      <x:c r="J121" s="89"/>
      <x:c r="K121" s="89"/>
      <x:c r="L121" s="89"/>
      <x:c r="M121" s="89"/>
      <x:c r="N121" s="89"/>
      <x:c r="O121" s="89"/>
      <x:c r="P121" s="89"/>
      <x:c r="Q121" s="89"/>
      <x:c r="R121" s="89"/>
      <x:c r="S121" s="89"/>
      <x:c r="T121" s="89"/>
      <x:c r="U121" s="89"/>
      <x:c r="V121" s="89"/>
      <x:c r="W121" s="89"/>
      <x:c r="X121" s="89"/>
      <x:c r="Y121" s="89"/>
      <x:c r="Z121" s="89"/>
    </x:row>
    <x:row r="122">
      <x:c r="A122" s="89"/>
      <x:c r="B122" s="89"/>
      <x:c r="C122" s="89"/>
      <x:c r="D122" s="89"/>
      <x:c r="E122" s="89"/>
      <x:c r="F122" s="89"/>
      <x:c r="G122" s="89"/>
      <x:c r="H122" s="89"/>
      <x:c r="I122" s="89"/>
      <x:c r="J122" s="89"/>
      <x:c r="K122" s="89"/>
      <x:c r="L122" s="89"/>
      <x:c r="M122" s="89"/>
      <x:c r="N122" s="89"/>
      <x:c r="O122" s="89"/>
      <x:c r="P122" s="89"/>
      <x:c r="Q122" s="89"/>
      <x:c r="R122" s="89"/>
      <x:c r="S122" s="89"/>
      <x:c r="T122" s="89"/>
      <x:c r="U122" s="89"/>
      <x:c r="V122" s="89"/>
      <x:c r="W122" s="89"/>
      <x:c r="X122" s="89"/>
      <x:c r="Y122" s="89"/>
      <x:c r="Z122" s="89"/>
    </x:row>
    <x:row r="123">
      <x:c r="A123" s="89"/>
      <x:c r="B123" s="89"/>
      <x:c r="C123" s="89"/>
      <x:c r="D123" s="89"/>
      <x:c r="E123" s="89"/>
      <x:c r="F123" s="89"/>
      <x:c r="G123" s="89"/>
      <x:c r="H123" s="89"/>
      <x:c r="I123" s="89"/>
      <x:c r="J123" s="89"/>
      <x:c r="K123" s="89"/>
      <x:c r="L123" s="89"/>
      <x:c r="M123" s="89"/>
      <x:c r="N123" s="89"/>
      <x:c r="O123" s="89"/>
      <x:c r="P123" s="89"/>
      <x:c r="Q123" s="89"/>
      <x:c r="R123" s="89"/>
      <x:c r="S123" s="89"/>
      <x:c r="T123" s="89"/>
      <x:c r="U123" s="89"/>
      <x:c r="V123" s="89"/>
      <x:c r="W123" s="89"/>
      <x:c r="X123" s="89"/>
      <x:c r="Y123" s="89"/>
      <x:c r="Z123" s="89"/>
    </x:row>
    <x:row r="124">
      <x:c r="A124" s="89"/>
      <x:c r="B124" s="89"/>
      <x:c r="C124" s="89"/>
      <x:c r="D124" s="89"/>
      <x:c r="E124" s="89"/>
      <x:c r="F124" s="89"/>
      <x:c r="G124" s="89"/>
      <x:c r="H124" s="89"/>
      <x:c r="I124" s="89"/>
      <x:c r="J124" s="89"/>
      <x:c r="K124" s="89"/>
      <x:c r="L124" s="89"/>
      <x:c r="M124" s="89"/>
      <x:c r="N124" s="89"/>
      <x:c r="O124" s="89"/>
      <x:c r="P124" s="89"/>
      <x:c r="Q124" s="89"/>
      <x:c r="R124" s="89"/>
      <x:c r="S124" s="89"/>
      <x:c r="T124" s="89"/>
      <x:c r="U124" s="89"/>
      <x:c r="V124" s="89"/>
      <x:c r="W124" s="89"/>
      <x:c r="X124" s="89"/>
      <x:c r="Y124" s="89"/>
      <x:c r="Z124" s="89"/>
    </x:row>
    <x:row r="125">
      <x:c r="A125" s="89"/>
      <x:c r="B125" s="89"/>
      <x:c r="C125" s="89"/>
      <x:c r="D125" s="89"/>
      <x:c r="E125" s="89"/>
      <x:c r="F125" s="89"/>
      <x:c r="G125" s="89"/>
      <x:c r="H125" s="89"/>
      <x:c r="I125" s="89"/>
      <x:c r="J125" s="89"/>
      <x:c r="K125" s="89"/>
      <x:c r="L125" s="89"/>
      <x:c r="M125" s="89"/>
      <x:c r="N125" s="89"/>
      <x:c r="O125" s="89"/>
      <x:c r="P125" s="89"/>
      <x:c r="Q125" s="89"/>
      <x:c r="R125" s="89"/>
      <x:c r="S125" s="89"/>
      <x:c r="T125" s="89"/>
      <x:c r="U125" s="89"/>
      <x:c r="V125" s="89"/>
      <x:c r="W125" s="89"/>
      <x:c r="X125" s="89"/>
      <x:c r="Y125" s="89"/>
      <x:c r="Z125" s="89"/>
    </x:row>
    <x:row r="126">
      <x:c r="A126" s="89"/>
      <x:c r="B126" s="89"/>
      <x:c r="C126" s="89"/>
      <x:c r="D126" s="89"/>
      <x:c r="E126" s="89"/>
      <x:c r="F126" s="89"/>
      <x:c r="G126" s="89"/>
      <x:c r="H126" s="89"/>
      <x:c r="I126" s="89"/>
      <x:c r="J126" s="89"/>
      <x:c r="K126" s="89"/>
      <x:c r="L126" s="89"/>
      <x:c r="M126" s="89"/>
      <x:c r="N126" s="89"/>
      <x:c r="O126" s="89"/>
      <x:c r="P126" s="89"/>
      <x:c r="Q126" s="89"/>
      <x:c r="R126" s="89"/>
      <x:c r="S126" s="89"/>
      <x:c r="T126" s="89"/>
      <x:c r="U126" s="89"/>
      <x:c r="V126" s="89"/>
      <x:c r="W126" s="89"/>
      <x:c r="X126" s="89"/>
      <x:c r="Y126" s="89"/>
      <x:c r="Z126" s="89"/>
    </x:row>
    <x:row r="127">
      <x:c r="A127" s="89"/>
      <x:c r="B127" s="89"/>
      <x:c r="C127" s="89"/>
      <x:c r="D127" s="89"/>
      <x:c r="E127" s="89"/>
      <x:c r="F127" s="89"/>
      <x:c r="G127" s="89"/>
      <x:c r="H127" s="89"/>
      <x:c r="I127" s="89"/>
      <x:c r="J127" s="89"/>
      <x:c r="K127" s="89"/>
      <x:c r="L127" s="89"/>
      <x:c r="M127" s="89"/>
      <x:c r="N127" s="89"/>
      <x:c r="O127" s="89"/>
      <x:c r="P127" s="89"/>
      <x:c r="Q127" s="89"/>
      <x:c r="R127" s="89"/>
      <x:c r="S127" s="89"/>
      <x:c r="T127" s="89"/>
      <x:c r="U127" s="89"/>
      <x:c r="V127" s="89"/>
      <x:c r="W127" s="89"/>
      <x:c r="X127" s="89"/>
      <x:c r="Y127" s="89"/>
      <x:c r="Z127" s="89"/>
    </x:row>
    <x:row r="128">
      <x:c r="A128" s="89"/>
      <x:c r="B128" s="89"/>
      <x:c r="C128" s="89"/>
      <x:c r="D128" s="89"/>
      <x:c r="E128" s="89"/>
      <x:c r="F128" s="89"/>
      <x:c r="G128" s="89"/>
      <x:c r="H128" s="89"/>
      <x:c r="I128" s="89"/>
      <x:c r="J128" s="89"/>
      <x:c r="K128" s="89"/>
      <x:c r="L128" s="89"/>
      <x:c r="M128" s="89"/>
      <x:c r="N128" s="89"/>
      <x:c r="O128" s="89"/>
      <x:c r="P128" s="89"/>
      <x:c r="Q128" s="89"/>
      <x:c r="R128" s="89"/>
      <x:c r="S128" s="89"/>
      <x:c r="T128" s="89"/>
      <x:c r="U128" s="89"/>
      <x:c r="V128" s="89"/>
      <x:c r="W128" s="89"/>
      <x:c r="X128" s="89"/>
      <x:c r="Y128" s="89"/>
      <x:c r="Z128" s="89"/>
    </x:row>
    <x:row r="129">
      <x:c r="A129" s="89"/>
      <x:c r="B129" s="89"/>
      <x:c r="C129" s="89"/>
      <x:c r="D129" s="89"/>
      <x:c r="E129" s="89"/>
      <x:c r="F129" s="89"/>
      <x:c r="G129" s="89"/>
      <x:c r="H129" s="89"/>
      <x:c r="I129" s="89"/>
      <x:c r="J129" s="89"/>
      <x:c r="K129" s="89"/>
      <x:c r="L129" s="89"/>
      <x:c r="M129" s="89"/>
      <x:c r="N129" s="89"/>
      <x:c r="O129" s="89"/>
      <x:c r="P129" s="89"/>
      <x:c r="Q129" s="89"/>
      <x:c r="R129" s="89"/>
      <x:c r="S129" s="89"/>
      <x:c r="T129" s="89"/>
      <x:c r="U129" s="89"/>
      <x:c r="V129" s="89"/>
      <x:c r="W129" s="89"/>
      <x:c r="X129" s="89"/>
      <x:c r="Y129" s="89"/>
      <x:c r="Z129" s="89"/>
    </x:row>
    <x:row r="130">
      <x:c r="A130" s="89"/>
      <x:c r="B130" s="89"/>
      <x:c r="C130" s="89"/>
      <x:c r="D130" s="89"/>
      <x:c r="E130" s="89"/>
      <x:c r="F130" s="89"/>
      <x:c r="G130" s="89"/>
      <x:c r="H130" s="89"/>
      <x:c r="I130" s="89"/>
      <x:c r="J130" s="89"/>
      <x:c r="K130" s="89"/>
      <x:c r="L130" s="89"/>
      <x:c r="M130" s="89"/>
      <x:c r="N130" s="89"/>
      <x:c r="O130" s="89"/>
      <x:c r="P130" s="89"/>
      <x:c r="Q130" s="89"/>
      <x:c r="R130" s="89"/>
      <x:c r="S130" s="89"/>
      <x:c r="T130" s="89"/>
      <x:c r="U130" s="89"/>
      <x:c r="V130" s="89"/>
      <x:c r="W130" s="89"/>
      <x:c r="X130" s="89"/>
      <x:c r="Y130" s="89"/>
      <x:c r="Z130" s="89"/>
    </x:row>
    <x:row r="131">
      <x:c r="A131" s="89"/>
      <x:c r="B131" s="89"/>
      <x:c r="C131" s="89"/>
      <x:c r="D131" s="89"/>
      <x:c r="E131" s="89"/>
      <x:c r="F131" s="89"/>
      <x:c r="G131" s="89"/>
      <x:c r="H131" s="89"/>
      <x:c r="I131" s="89"/>
      <x:c r="J131" s="89"/>
      <x:c r="K131" s="89"/>
      <x:c r="L131" s="89"/>
      <x:c r="M131" s="89"/>
      <x:c r="N131" s="89"/>
      <x:c r="O131" s="89"/>
      <x:c r="P131" s="89"/>
      <x:c r="Q131" s="89"/>
      <x:c r="R131" s="89"/>
      <x:c r="S131" s="89"/>
      <x:c r="T131" s="89"/>
      <x:c r="U131" s="89"/>
      <x:c r="V131" s="89"/>
      <x:c r="W131" s="89"/>
      <x:c r="X131" s="89"/>
      <x:c r="Y131" s="89"/>
      <x:c r="Z131" s="89"/>
    </x:row>
    <x:row r="132">
      <x:c r="A132" s="89"/>
      <x:c r="B132" s="89"/>
      <x:c r="C132" s="89"/>
      <x:c r="D132" s="89"/>
      <x:c r="E132" s="89"/>
      <x:c r="F132" s="89"/>
      <x:c r="G132" s="89"/>
      <x:c r="H132" s="89"/>
      <x:c r="I132" s="89"/>
      <x:c r="J132" s="89"/>
      <x:c r="K132" s="89"/>
      <x:c r="L132" s="89"/>
      <x:c r="M132" s="89"/>
      <x:c r="N132" s="89"/>
      <x:c r="O132" s="89"/>
      <x:c r="P132" s="89"/>
      <x:c r="Q132" s="89"/>
      <x:c r="R132" s="89"/>
      <x:c r="S132" s="89"/>
      <x:c r="T132" s="89"/>
      <x:c r="U132" s="89"/>
      <x:c r="V132" s="89"/>
      <x:c r="W132" s="89"/>
      <x:c r="X132" s="89"/>
      <x:c r="Y132" s="89"/>
      <x:c r="Z132" s="89"/>
    </x:row>
    <x:row r="133">
      <x:c r="A133" s="89"/>
      <x:c r="B133" s="89"/>
      <x:c r="C133" s="89"/>
      <x:c r="D133" s="89"/>
      <x:c r="E133" s="89"/>
      <x:c r="F133" s="89"/>
      <x:c r="G133" s="89"/>
      <x:c r="H133" s="89"/>
      <x:c r="I133" s="89"/>
      <x:c r="J133" s="89"/>
      <x:c r="K133" s="89"/>
      <x:c r="L133" s="89"/>
      <x:c r="M133" s="89"/>
      <x:c r="N133" s="89"/>
      <x:c r="O133" s="89"/>
      <x:c r="P133" s="89"/>
      <x:c r="Q133" s="89"/>
      <x:c r="R133" s="89"/>
      <x:c r="S133" s="89"/>
      <x:c r="T133" s="89"/>
      <x:c r="U133" s="89"/>
      <x:c r="V133" s="89"/>
      <x:c r="W133" s="89"/>
      <x:c r="X133" s="89"/>
      <x:c r="Y133" s="89"/>
      <x:c r="Z133" s="89"/>
    </x:row>
    <x:row r="134">
      <x:c r="A134" s="89"/>
      <x:c r="B134" s="89"/>
      <x:c r="C134" s="89"/>
      <x:c r="D134" s="89"/>
      <x:c r="E134" s="89"/>
      <x:c r="F134" s="89"/>
      <x:c r="G134" s="89"/>
      <x:c r="H134" s="89"/>
      <x:c r="I134" s="89"/>
      <x:c r="J134" s="89"/>
      <x:c r="K134" s="89"/>
      <x:c r="L134" s="89"/>
      <x:c r="M134" s="89"/>
      <x:c r="N134" s="89"/>
      <x:c r="O134" s="89"/>
      <x:c r="P134" s="89"/>
      <x:c r="Q134" s="89"/>
      <x:c r="R134" s="89"/>
      <x:c r="S134" s="89"/>
      <x:c r="T134" s="89"/>
      <x:c r="U134" s="89"/>
      <x:c r="V134" s="89"/>
      <x:c r="W134" s="89"/>
      <x:c r="X134" s="89"/>
      <x:c r="Y134" s="89"/>
      <x:c r="Z134" s="89"/>
    </x:row>
    <x:row r="135">
      <x:c r="A135" s="89"/>
      <x:c r="B135" s="89"/>
      <x:c r="C135" s="89"/>
      <x:c r="D135" s="89"/>
      <x:c r="E135" s="89"/>
      <x:c r="F135" s="89"/>
      <x:c r="G135" s="89"/>
      <x:c r="H135" s="89"/>
      <x:c r="I135" s="89"/>
      <x:c r="J135" s="89"/>
      <x:c r="K135" s="89"/>
      <x:c r="L135" s="89"/>
      <x:c r="M135" s="89"/>
      <x:c r="N135" s="89"/>
      <x:c r="O135" s="89"/>
      <x:c r="P135" s="89"/>
      <x:c r="Q135" s="89"/>
      <x:c r="R135" s="89"/>
      <x:c r="S135" s="89"/>
      <x:c r="T135" s="89"/>
      <x:c r="U135" s="89"/>
      <x:c r="V135" s="89"/>
      <x:c r="W135" s="89"/>
      <x:c r="X135" s="89"/>
      <x:c r="Y135" s="89"/>
      <x:c r="Z135" s="89"/>
    </x:row>
    <x:row r="136">
      <x:c r="A136" s="89"/>
      <x:c r="B136" s="89"/>
      <x:c r="C136" s="89"/>
      <x:c r="D136" s="89"/>
      <x:c r="E136" s="89"/>
      <x:c r="F136" s="89"/>
      <x:c r="G136" s="89"/>
      <x:c r="H136" s="89"/>
      <x:c r="I136" s="89"/>
      <x:c r="J136" s="89"/>
      <x:c r="K136" s="89"/>
      <x:c r="L136" s="89"/>
      <x:c r="M136" s="89"/>
      <x:c r="N136" s="89"/>
      <x:c r="O136" s="89"/>
      <x:c r="P136" s="89"/>
      <x:c r="Q136" s="89"/>
      <x:c r="R136" s="89"/>
      <x:c r="S136" s="89"/>
      <x:c r="T136" s="89"/>
      <x:c r="U136" s="89"/>
      <x:c r="V136" s="89"/>
      <x:c r="W136" s="89"/>
      <x:c r="X136" s="89"/>
      <x:c r="Y136" s="89"/>
      <x:c r="Z136" s="89"/>
    </x:row>
    <x:row r="137">
      <x:c r="A137" s="89"/>
      <x:c r="B137" s="89"/>
      <x:c r="C137" s="89"/>
      <x:c r="D137" s="89"/>
      <x:c r="E137" s="89"/>
      <x:c r="F137" s="89"/>
      <x:c r="G137" s="89"/>
      <x:c r="H137" s="89"/>
      <x:c r="I137" s="89"/>
      <x:c r="J137" s="89"/>
      <x:c r="K137" s="89"/>
      <x:c r="L137" s="89"/>
      <x:c r="M137" s="89"/>
      <x:c r="N137" s="89"/>
      <x:c r="O137" s="89"/>
      <x:c r="P137" s="89"/>
      <x:c r="Q137" s="89"/>
      <x:c r="R137" s="89"/>
      <x:c r="S137" s="89"/>
      <x:c r="T137" s="89"/>
      <x:c r="U137" s="89"/>
      <x:c r="V137" s="89"/>
      <x:c r="W137" s="89"/>
      <x:c r="X137" s="89"/>
      <x:c r="Y137" s="89"/>
      <x:c r="Z137" s="89"/>
    </x:row>
    <x:row r="138">
      <x:c r="A138" s="89"/>
      <x:c r="B138" s="89"/>
      <x:c r="C138" s="89"/>
      <x:c r="D138" s="89"/>
      <x:c r="E138" s="89"/>
      <x:c r="F138" s="89"/>
      <x:c r="G138" s="89"/>
      <x:c r="H138" s="89"/>
      <x:c r="I138" s="89"/>
      <x:c r="J138" s="89"/>
      <x:c r="K138" s="89"/>
      <x:c r="L138" s="89"/>
      <x:c r="M138" s="89"/>
      <x:c r="N138" s="89"/>
      <x:c r="O138" s="89"/>
      <x:c r="P138" s="89"/>
      <x:c r="Q138" s="89"/>
      <x:c r="R138" s="89"/>
      <x:c r="S138" s="89"/>
      <x:c r="T138" s="89"/>
      <x:c r="U138" s="89"/>
      <x:c r="V138" s="89"/>
      <x:c r="W138" s="89"/>
      <x:c r="X138" s="89"/>
      <x:c r="Y138" s="89"/>
      <x:c r="Z138" s="89"/>
    </x:row>
    <x:row r="139">
      <x:c r="A139" s="89"/>
      <x:c r="B139" s="89"/>
      <x:c r="C139" s="89"/>
      <x:c r="D139" s="89"/>
      <x:c r="E139" s="89"/>
      <x:c r="F139" s="89"/>
      <x:c r="G139" s="89"/>
      <x:c r="H139" s="89"/>
      <x:c r="I139" s="89"/>
      <x:c r="J139" s="89"/>
      <x:c r="K139" s="89"/>
      <x:c r="L139" s="89"/>
      <x:c r="M139" s="89"/>
      <x:c r="N139" s="89"/>
      <x:c r="O139" s="89"/>
      <x:c r="P139" s="89"/>
      <x:c r="Q139" s="89"/>
      <x:c r="R139" s="89"/>
      <x:c r="S139" s="89"/>
      <x:c r="T139" s="89"/>
      <x:c r="U139" s="89"/>
      <x:c r="V139" s="89"/>
      <x:c r="W139" s="89"/>
      <x:c r="X139" s="89"/>
      <x:c r="Y139" s="89"/>
      <x:c r="Z139" s="89"/>
    </x:row>
    <x:row r="140">
      <x:c r="A140" s="89"/>
      <x:c r="B140" s="89"/>
      <x:c r="C140" s="89"/>
      <x:c r="D140" s="89"/>
      <x:c r="E140" s="89"/>
      <x:c r="F140" s="89"/>
      <x:c r="G140" s="89"/>
      <x:c r="H140" s="89"/>
      <x:c r="I140" s="89"/>
      <x:c r="J140" s="89"/>
      <x:c r="K140" s="89"/>
      <x:c r="L140" s="89"/>
      <x:c r="M140" s="89"/>
      <x:c r="N140" s="89"/>
      <x:c r="O140" s="89"/>
      <x:c r="P140" s="89"/>
      <x:c r="Q140" s="89"/>
      <x:c r="R140" s="89"/>
      <x:c r="S140" s="89"/>
      <x:c r="T140" s="89"/>
      <x:c r="U140" s="89"/>
      <x:c r="V140" s="89"/>
      <x:c r="W140" s="89"/>
      <x:c r="X140" s="89"/>
      <x:c r="Y140" s="89"/>
      <x:c r="Z140" s="89"/>
    </x:row>
    <x:row r="141">
      <x:c r="A141" s="89"/>
      <x:c r="B141" s="89"/>
      <x:c r="C141" s="89"/>
      <x:c r="D141" s="89"/>
      <x:c r="E141" s="89"/>
      <x:c r="F141" s="89"/>
      <x:c r="G141" s="89"/>
      <x:c r="H141" s="89"/>
      <x:c r="I141" s="89"/>
      <x:c r="J141" s="89"/>
      <x:c r="K141" s="89"/>
      <x:c r="L141" s="89"/>
      <x:c r="M141" s="89"/>
      <x:c r="N141" s="89"/>
      <x:c r="O141" s="89"/>
      <x:c r="P141" s="89"/>
      <x:c r="Q141" s="89"/>
      <x:c r="R141" s="89"/>
      <x:c r="S141" s="89"/>
      <x:c r="T141" s="89"/>
      <x:c r="U141" s="89"/>
      <x:c r="V141" s="89"/>
      <x:c r="W141" s="89"/>
      <x:c r="X141" s="89"/>
      <x:c r="Y141" s="89"/>
      <x:c r="Z141" s="89"/>
    </x:row>
    <x:row r="142">
      <x:c r="A142" s="89"/>
      <x:c r="B142" s="89"/>
      <x:c r="C142" s="89"/>
      <x:c r="D142" s="89"/>
      <x:c r="E142" s="89"/>
      <x:c r="F142" s="89"/>
      <x:c r="G142" s="89"/>
      <x:c r="H142" s="89"/>
      <x:c r="I142" s="89"/>
      <x:c r="J142" s="89"/>
      <x:c r="K142" s="89"/>
      <x:c r="L142" s="89"/>
      <x:c r="M142" s="89"/>
      <x:c r="N142" s="89"/>
      <x:c r="O142" s="89"/>
      <x:c r="P142" s="89"/>
      <x:c r="Q142" s="89"/>
      <x:c r="R142" s="89"/>
      <x:c r="S142" s="89"/>
      <x:c r="T142" s="89"/>
      <x:c r="U142" s="89"/>
      <x:c r="V142" s="89"/>
      <x:c r="W142" s="89"/>
      <x:c r="X142" s="89"/>
      <x:c r="Y142" s="89"/>
      <x:c r="Z142" s="89"/>
    </x:row>
    <x:row r="143">
      <x:c r="A143" s="89"/>
      <x:c r="B143" s="89"/>
      <x:c r="C143" s="89"/>
      <x:c r="D143" s="89"/>
      <x:c r="E143" s="89"/>
      <x:c r="F143" s="89"/>
      <x:c r="G143" s="89"/>
      <x:c r="H143" s="89"/>
      <x:c r="I143" s="89"/>
      <x:c r="J143" s="89"/>
      <x:c r="K143" s="89"/>
      <x:c r="L143" s="89"/>
      <x:c r="M143" s="89"/>
      <x:c r="N143" s="89"/>
      <x:c r="O143" s="89"/>
      <x:c r="P143" s="89"/>
      <x:c r="Q143" s="89"/>
      <x:c r="R143" s="89"/>
      <x:c r="S143" s="89"/>
      <x:c r="T143" s="89"/>
      <x:c r="U143" s="89"/>
      <x:c r="V143" s="89"/>
      <x:c r="W143" s="89"/>
      <x:c r="X143" s="89"/>
      <x:c r="Y143" s="89"/>
      <x:c r="Z143" s="89"/>
    </x:row>
    <x:row r="144">
      <x:c r="A144" s="89"/>
      <x:c r="B144" s="89"/>
      <x:c r="C144" s="89"/>
      <x:c r="D144" s="89"/>
      <x:c r="E144" s="89"/>
      <x:c r="F144" s="89"/>
      <x:c r="G144" s="89"/>
      <x:c r="H144" s="89"/>
      <x:c r="I144" s="89"/>
      <x:c r="J144" s="89"/>
      <x:c r="K144" s="89"/>
      <x:c r="L144" s="89"/>
      <x:c r="M144" s="89"/>
      <x:c r="N144" s="89"/>
      <x:c r="O144" s="89"/>
      <x:c r="P144" s="89"/>
      <x:c r="Q144" s="89"/>
      <x:c r="R144" s="89"/>
      <x:c r="S144" s="89"/>
      <x:c r="T144" s="89"/>
      <x:c r="U144" s="89"/>
      <x:c r="V144" s="89"/>
      <x:c r="W144" s="89"/>
      <x:c r="X144" s="89"/>
      <x:c r="Y144" s="89"/>
      <x:c r="Z144" s="89"/>
    </x:row>
    <x:row r="145">
      <x:c r="A145" s="89"/>
      <x:c r="B145" s="89"/>
      <x:c r="C145" s="89"/>
      <x:c r="D145" s="89"/>
      <x:c r="E145" s="89"/>
      <x:c r="F145" s="89"/>
      <x:c r="G145" s="89"/>
      <x:c r="H145" s="89"/>
      <x:c r="I145" s="89"/>
      <x:c r="J145" s="89"/>
      <x:c r="K145" s="89"/>
      <x:c r="L145" s="89"/>
      <x:c r="M145" s="89"/>
      <x:c r="N145" s="89"/>
      <x:c r="O145" s="89"/>
      <x:c r="P145" s="89"/>
      <x:c r="Q145" s="89"/>
      <x:c r="R145" s="89"/>
      <x:c r="S145" s="89"/>
      <x:c r="T145" s="89"/>
      <x:c r="U145" s="89"/>
      <x:c r="V145" s="89"/>
      <x:c r="W145" s="89"/>
      <x:c r="X145" s="89"/>
      <x:c r="Y145" s="89"/>
      <x:c r="Z145" s="89"/>
    </x:row>
    <x:row r="146">
      <x:c r="A146" s="89"/>
      <x:c r="B146" s="89"/>
      <x:c r="C146" s="89"/>
      <x:c r="D146" s="89"/>
      <x:c r="E146" s="89"/>
      <x:c r="F146" s="89"/>
      <x:c r="G146" s="89"/>
      <x:c r="H146" s="89"/>
      <x:c r="I146" s="89"/>
      <x:c r="J146" s="89"/>
      <x:c r="K146" s="89"/>
      <x:c r="L146" s="89"/>
      <x:c r="M146" s="89"/>
      <x:c r="N146" s="89"/>
      <x:c r="O146" s="89"/>
      <x:c r="P146" s="89"/>
      <x:c r="Q146" s="89"/>
      <x:c r="R146" s="89"/>
      <x:c r="S146" s="89"/>
      <x:c r="T146" s="89"/>
      <x:c r="U146" s="89"/>
      <x:c r="V146" s="89"/>
      <x:c r="W146" s="89"/>
      <x:c r="X146" s="89"/>
      <x:c r="Y146" s="89"/>
      <x:c r="Z146" s="89"/>
    </x:row>
    <x:row r="147">
      <x:c r="A147" s="89"/>
      <x:c r="B147" s="89"/>
      <x:c r="C147" s="89"/>
      <x:c r="D147" s="89"/>
      <x:c r="E147" s="89"/>
      <x:c r="F147" s="89"/>
      <x:c r="G147" s="89"/>
      <x:c r="H147" s="89"/>
      <x:c r="I147" s="89"/>
      <x:c r="J147" s="89"/>
      <x:c r="K147" s="89"/>
      <x:c r="L147" s="89"/>
      <x:c r="M147" s="89"/>
      <x:c r="N147" s="89"/>
      <x:c r="O147" s="89"/>
      <x:c r="P147" s="89"/>
      <x:c r="Q147" s="89"/>
      <x:c r="R147" s="89"/>
      <x:c r="S147" s="89"/>
      <x:c r="T147" s="89"/>
      <x:c r="U147" s="89"/>
      <x:c r="V147" s="89"/>
      <x:c r="W147" s="89"/>
      <x:c r="X147" s="89"/>
      <x:c r="Y147" s="89"/>
      <x:c r="Z147" s="89"/>
    </x:row>
    <x:row r="148">
      <x:c r="A148" s="89"/>
      <x:c r="B148" s="89"/>
      <x:c r="C148" s="89"/>
      <x:c r="D148" s="89"/>
      <x:c r="E148" s="89"/>
      <x:c r="F148" s="89"/>
      <x:c r="G148" s="89"/>
      <x:c r="H148" s="89"/>
      <x:c r="I148" s="89"/>
      <x:c r="J148" s="89"/>
      <x:c r="K148" s="89"/>
      <x:c r="L148" s="89"/>
      <x:c r="M148" s="89"/>
      <x:c r="N148" s="89"/>
      <x:c r="O148" s="89"/>
      <x:c r="P148" s="89"/>
      <x:c r="Q148" s="89"/>
      <x:c r="R148" s="89"/>
      <x:c r="S148" s="89"/>
      <x:c r="T148" s="89"/>
      <x:c r="U148" s="89"/>
      <x:c r="V148" s="89"/>
      <x:c r="W148" s="89"/>
      <x:c r="X148" s="89"/>
      <x:c r="Y148" s="89"/>
      <x:c r="Z148" s="89"/>
    </x:row>
    <x:row r="149">
      <x:c r="A149" s="89"/>
      <x:c r="B149" s="89"/>
      <x:c r="C149" s="89"/>
      <x:c r="D149" s="89"/>
      <x:c r="E149" s="89"/>
      <x:c r="F149" s="89"/>
      <x:c r="G149" s="89"/>
      <x:c r="H149" s="89"/>
      <x:c r="I149" s="89"/>
      <x:c r="J149" s="89"/>
      <x:c r="K149" s="89"/>
      <x:c r="L149" s="89"/>
      <x:c r="M149" s="89"/>
      <x:c r="N149" s="89"/>
      <x:c r="O149" s="89"/>
      <x:c r="P149" s="89"/>
      <x:c r="Q149" s="89"/>
      <x:c r="R149" s="89"/>
      <x:c r="S149" s="89"/>
      <x:c r="T149" s="89"/>
      <x:c r="U149" s="89"/>
      <x:c r="V149" s="89"/>
      <x:c r="W149" s="89"/>
      <x:c r="X149" s="89"/>
      <x:c r="Y149" s="89"/>
      <x:c r="Z149" s="89"/>
    </x:row>
    <x:row r="150">
      <x:c r="A150" s="89"/>
      <x:c r="B150" s="89"/>
      <x:c r="C150" s="89"/>
      <x:c r="D150" s="89"/>
      <x:c r="E150" s="89"/>
      <x:c r="F150" s="89"/>
      <x:c r="G150" s="89"/>
      <x:c r="H150" s="89"/>
      <x:c r="I150" s="89"/>
      <x:c r="J150" s="89"/>
      <x:c r="K150" s="89"/>
      <x:c r="L150" s="89"/>
      <x:c r="M150" s="89"/>
      <x:c r="N150" s="89"/>
      <x:c r="O150" s="89"/>
      <x:c r="P150" s="89"/>
      <x:c r="Q150" s="89"/>
      <x:c r="R150" s="89"/>
      <x:c r="S150" s="89"/>
      <x:c r="T150" s="89"/>
      <x:c r="U150" s="89"/>
      <x:c r="V150" s="89"/>
      <x:c r="W150" s="89"/>
      <x:c r="X150" s="89"/>
      <x:c r="Y150" s="89"/>
      <x:c r="Z150" s="89"/>
    </x:row>
    <x:row r="151">
      <x:c r="A151" s="89"/>
      <x:c r="B151" s="89"/>
      <x:c r="C151" s="89"/>
      <x:c r="D151" s="89"/>
      <x:c r="E151" s="89"/>
      <x:c r="F151" s="89"/>
      <x:c r="G151" s="89"/>
      <x:c r="H151" s="89"/>
      <x:c r="I151" s="89"/>
      <x:c r="J151" s="89"/>
      <x:c r="K151" s="89"/>
      <x:c r="L151" s="89"/>
      <x:c r="M151" s="89"/>
      <x:c r="N151" s="89"/>
      <x:c r="O151" s="89"/>
      <x:c r="P151" s="89"/>
      <x:c r="Q151" s="89"/>
      <x:c r="R151" s="89"/>
      <x:c r="S151" s="89"/>
      <x:c r="T151" s="89"/>
      <x:c r="U151" s="89"/>
      <x:c r="V151" s="89"/>
      <x:c r="W151" s="89"/>
      <x:c r="X151" s="89"/>
      <x:c r="Y151" s="89"/>
      <x:c r="Z151" s="89"/>
    </x:row>
    <x:row r="152">
      <x:c r="A152" s="89"/>
      <x:c r="B152" s="89"/>
      <x:c r="C152" s="89"/>
      <x:c r="D152" s="89"/>
      <x:c r="E152" s="89"/>
      <x:c r="F152" s="89"/>
      <x:c r="G152" s="89"/>
      <x:c r="H152" s="89"/>
      <x:c r="I152" s="89"/>
      <x:c r="J152" s="89"/>
      <x:c r="K152" s="89"/>
      <x:c r="L152" s="89"/>
      <x:c r="M152" s="89"/>
      <x:c r="N152" s="89"/>
      <x:c r="O152" s="89"/>
      <x:c r="P152" s="89"/>
      <x:c r="Q152" s="89"/>
      <x:c r="R152" s="89"/>
      <x:c r="S152" s="89"/>
      <x:c r="T152" s="89"/>
      <x:c r="U152" s="89"/>
      <x:c r="V152" s="89"/>
      <x:c r="W152" s="89"/>
      <x:c r="X152" s="89"/>
      <x:c r="Y152" s="89"/>
      <x:c r="Z152" s="89"/>
    </x:row>
    <x:row r="153">
      <x:c r="A153" s="89"/>
      <x:c r="B153" s="89"/>
      <x:c r="C153" s="89"/>
      <x:c r="D153" s="89"/>
      <x:c r="E153" s="89"/>
      <x:c r="F153" s="89"/>
      <x:c r="G153" s="89"/>
      <x:c r="H153" s="89"/>
      <x:c r="I153" s="89"/>
      <x:c r="J153" s="89"/>
      <x:c r="K153" s="89"/>
      <x:c r="L153" s="89"/>
      <x:c r="M153" s="89"/>
      <x:c r="N153" s="89"/>
      <x:c r="O153" s="89"/>
      <x:c r="P153" s="89"/>
      <x:c r="Q153" s="89"/>
      <x:c r="R153" s="89"/>
      <x:c r="S153" s="89"/>
      <x:c r="T153" s="89"/>
      <x:c r="U153" s="89"/>
      <x:c r="V153" s="89"/>
      <x:c r="W153" s="89"/>
      <x:c r="X153" s="89"/>
      <x:c r="Y153" s="89"/>
      <x:c r="Z153" s="89"/>
    </x:row>
    <x:row r="154">
      <x:c r="A154" s="89"/>
      <x:c r="B154" s="89"/>
      <x:c r="C154" s="89"/>
      <x:c r="D154" s="89"/>
      <x:c r="E154" s="89"/>
      <x:c r="F154" s="89"/>
      <x:c r="G154" s="89"/>
      <x:c r="H154" s="89"/>
      <x:c r="I154" s="89"/>
      <x:c r="J154" s="89"/>
      <x:c r="K154" s="89"/>
      <x:c r="L154" s="89"/>
      <x:c r="M154" s="89"/>
      <x:c r="N154" s="89"/>
      <x:c r="O154" s="89"/>
      <x:c r="P154" s="89"/>
      <x:c r="Q154" s="89"/>
      <x:c r="R154" s="89"/>
      <x:c r="S154" s="89"/>
      <x:c r="T154" s="89"/>
      <x:c r="U154" s="89"/>
      <x:c r="V154" s="89"/>
      <x:c r="W154" s="89"/>
      <x:c r="X154" s="89"/>
      <x:c r="Y154" s="89"/>
      <x:c r="Z154" s="89"/>
    </x:row>
    <x:row r="155">
      <x:c r="A155" s="89"/>
      <x:c r="B155" s="89"/>
      <x:c r="C155" s="89"/>
      <x:c r="D155" s="89"/>
      <x:c r="E155" s="89"/>
      <x:c r="F155" s="89"/>
      <x:c r="G155" s="89"/>
      <x:c r="H155" s="89"/>
      <x:c r="I155" s="89"/>
      <x:c r="J155" s="89"/>
      <x:c r="K155" s="89"/>
      <x:c r="L155" s="89"/>
      <x:c r="M155" s="89"/>
      <x:c r="N155" s="89"/>
      <x:c r="O155" s="89"/>
      <x:c r="P155" s="89"/>
      <x:c r="Q155" s="89"/>
      <x:c r="R155" s="89"/>
      <x:c r="S155" s="89"/>
      <x:c r="T155" s="89"/>
      <x:c r="U155" s="89"/>
      <x:c r="V155" s="89"/>
      <x:c r="W155" s="89"/>
      <x:c r="X155" s="89"/>
      <x:c r="Y155" s="89"/>
      <x:c r="Z155" s="89"/>
    </x:row>
    <x:row r="156">
      <x:c r="A156" s="89"/>
      <x:c r="B156" s="89"/>
      <x:c r="C156" s="89"/>
      <x:c r="D156" s="89"/>
      <x:c r="E156" s="89"/>
      <x:c r="F156" s="89"/>
      <x:c r="G156" s="89"/>
      <x:c r="H156" s="89"/>
      <x:c r="I156" s="89"/>
      <x:c r="J156" s="89"/>
      <x:c r="K156" s="89"/>
      <x:c r="L156" s="89"/>
      <x:c r="M156" s="89"/>
      <x:c r="N156" s="89"/>
      <x:c r="O156" s="89"/>
      <x:c r="P156" s="89"/>
      <x:c r="Q156" s="89"/>
      <x:c r="R156" s="89"/>
      <x:c r="S156" s="89"/>
      <x:c r="T156" s="89"/>
      <x:c r="U156" s="89"/>
      <x:c r="V156" s="89"/>
      <x:c r="W156" s="89"/>
      <x:c r="X156" s="89"/>
      <x:c r="Y156" s="89"/>
      <x:c r="Z156" s="89"/>
    </x:row>
    <x:row r="157">
      <x:c r="A157" s="89"/>
      <x:c r="B157" s="89"/>
      <x:c r="C157" s="89"/>
      <x:c r="D157" s="89"/>
      <x:c r="E157" s="89"/>
      <x:c r="F157" s="89"/>
      <x:c r="G157" s="89"/>
      <x:c r="H157" s="89"/>
      <x:c r="I157" s="89"/>
      <x:c r="J157" s="89"/>
      <x:c r="K157" s="89"/>
      <x:c r="L157" s="89"/>
      <x:c r="M157" s="89"/>
      <x:c r="N157" s="89"/>
      <x:c r="O157" s="89"/>
      <x:c r="P157" s="89"/>
      <x:c r="Q157" s="89"/>
      <x:c r="R157" s="89"/>
      <x:c r="S157" s="89"/>
      <x:c r="T157" s="89"/>
      <x:c r="U157" s="89"/>
      <x:c r="V157" s="89"/>
      <x:c r="W157" s="89"/>
      <x:c r="X157" s="89"/>
      <x:c r="Y157" s="89"/>
      <x:c r="Z157" s="89"/>
    </x:row>
    <x:row r="158">
      <x:c r="A158" s="89"/>
      <x:c r="B158" s="89"/>
      <x:c r="C158" s="89"/>
      <x:c r="D158" s="89"/>
      <x:c r="E158" s="89"/>
      <x:c r="F158" s="89"/>
      <x:c r="G158" s="89"/>
      <x:c r="H158" s="89"/>
      <x:c r="I158" s="89"/>
      <x:c r="J158" s="89"/>
      <x:c r="K158" s="89"/>
      <x:c r="L158" s="89"/>
      <x:c r="M158" s="89"/>
      <x:c r="N158" s="89"/>
      <x:c r="O158" s="89"/>
      <x:c r="P158" s="89"/>
      <x:c r="Q158" s="89"/>
      <x:c r="R158" s="89"/>
      <x:c r="S158" s="89"/>
      <x:c r="T158" s="89"/>
      <x:c r="U158" s="89"/>
      <x:c r="V158" s="89"/>
      <x:c r="W158" s="89"/>
      <x:c r="X158" s="89"/>
      <x:c r="Y158" s="89"/>
      <x:c r="Z158" s="89"/>
    </x:row>
    <x:row r="159">
      <x:c r="A159" s="89"/>
      <x:c r="B159" s="89"/>
      <x:c r="C159" s="89"/>
      <x:c r="D159" s="89"/>
      <x:c r="E159" s="89"/>
      <x:c r="F159" s="89"/>
      <x:c r="G159" s="89"/>
      <x:c r="H159" s="89"/>
      <x:c r="I159" s="89"/>
      <x:c r="J159" s="89"/>
      <x:c r="K159" s="89"/>
      <x:c r="L159" s="89"/>
      <x:c r="M159" s="89"/>
      <x:c r="N159" s="89"/>
      <x:c r="O159" s="89"/>
      <x:c r="P159" s="89"/>
      <x:c r="Q159" s="89"/>
      <x:c r="R159" s="89"/>
      <x:c r="S159" s="89"/>
      <x:c r="T159" s="89"/>
      <x:c r="U159" s="89"/>
      <x:c r="V159" s="89"/>
      <x:c r="W159" s="89"/>
      <x:c r="X159" s="89"/>
      <x:c r="Y159" s="89"/>
      <x:c r="Z159" s="89"/>
    </x:row>
    <x:row r="160">
      <x:c r="A160" s="89"/>
      <x:c r="B160" s="89"/>
      <x:c r="C160" s="89"/>
      <x:c r="D160" s="89"/>
      <x:c r="E160" s="89"/>
      <x:c r="F160" s="89"/>
      <x:c r="G160" s="89"/>
      <x:c r="H160" s="89"/>
      <x:c r="I160" s="89"/>
      <x:c r="J160" s="89"/>
      <x:c r="K160" s="89"/>
      <x:c r="L160" s="89"/>
      <x:c r="M160" s="89"/>
      <x:c r="N160" s="89"/>
      <x:c r="O160" s="89"/>
      <x:c r="P160" s="89"/>
      <x:c r="Q160" s="89"/>
      <x:c r="R160" s="89"/>
      <x:c r="S160" s="89"/>
      <x:c r="T160" s="89"/>
      <x:c r="U160" s="89"/>
      <x:c r="V160" s="89"/>
      <x:c r="W160" s="89"/>
      <x:c r="X160" s="89"/>
      <x:c r="Y160" s="89"/>
      <x:c r="Z160" s="89"/>
    </x:row>
    <x:row r="161">
      <x:c r="A161" s="89"/>
      <x:c r="B161" s="89"/>
      <x:c r="C161" s="89"/>
      <x:c r="D161" s="89"/>
      <x:c r="E161" s="89"/>
      <x:c r="F161" s="89"/>
      <x:c r="G161" s="89"/>
      <x:c r="H161" s="89"/>
      <x:c r="I161" s="89"/>
      <x:c r="J161" s="89"/>
      <x:c r="K161" s="89"/>
      <x:c r="L161" s="89"/>
      <x:c r="M161" s="89"/>
      <x:c r="N161" s="89"/>
      <x:c r="O161" s="89"/>
      <x:c r="P161" s="89"/>
      <x:c r="Q161" s="89"/>
      <x:c r="R161" s="89"/>
      <x:c r="S161" s="89"/>
      <x:c r="T161" s="89"/>
      <x:c r="U161" s="89"/>
      <x:c r="V161" s="89"/>
      <x:c r="W161" s="89"/>
      <x:c r="X161" s="89"/>
      <x:c r="Y161" s="89"/>
      <x:c r="Z161" s="89"/>
    </x:row>
    <x:row r="162">
      <x:c r="A162" s="89"/>
      <x:c r="B162" s="89"/>
      <x:c r="C162" s="89"/>
      <x:c r="D162" s="89"/>
      <x:c r="E162" s="89"/>
      <x:c r="F162" s="89"/>
      <x:c r="G162" s="89"/>
      <x:c r="H162" s="89"/>
      <x:c r="I162" s="89"/>
      <x:c r="J162" s="89"/>
      <x:c r="K162" s="89"/>
      <x:c r="L162" s="89"/>
      <x:c r="M162" s="89"/>
      <x:c r="N162" s="89"/>
      <x:c r="O162" s="89"/>
      <x:c r="P162" s="89"/>
      <x:c r="Q162" s="89"/>
      <x:c r="R162" s="89"/>
      <x:c r="S162" s="89"/>
      <x:c r="T162" s="89"/>
      <x:c r="U162" s="89"/>
      <x:c r="V162" s="89"/>
      <x:c r="W162" s="89"/>
      <x:c r="X162" s="89"/>
      <x:c r="Y162" s="89"/>
      <x:c r="Z162" s="89"/>
    </x:row>
    <x:row r="163">
      <x:c r="A163" s="89"/>
      <x:c r="B163" s="89"/>
      <x:c r="C163" s="89"/>
      <x:c r="D163" s="89"/>
      <x:c r="E163" s="89"/>
      <x:c r="F163" s="89"/>
      <x:c r="G163" s="89"/>
      <x:c r="H163" s="89"/>
      <x:c r="I163" s="89"/>
      <x:c r="J163" s="89"/>
      <x:c r="K163" s="89"/>
      <x:c r="L163" s="89"/>
      <x:c r="M163" s="89"/>
      <x:c r="N163" s="89"/>
      <x:c r="O163" s="89"/>
      <x:c r="P163" s="89"/>
      <x:c r="Q163" s="89"/>
      <x:c r="R163" s="89"/>
      <x:c r="S163" s="89"/>
      <x:c r="T163" s="89"/>
      <x:c r="U163" s="89"/>
      <x:c r="V163" s="89"/>
      <x:c r="W163" s="89"/>
      <x:c r="X163" s="89"/>
      <x:c r="Y163" s="89"/>
      <x:c r="Z163" s="89"/>
    </x:row>
    <x:row r="164">
      <x:c r="A164" s="89"/>
      <x:c r="B164" s="89"/>
      <x:c r="C164" s="89"/>
      <x:c r="D164" s="89"/>
      <x:c r="E164" s="89"/>
      <x:c r="F164" s="89"/>
      <x:c r="G164" s="89"/>
      <x:c r="H164" s="89"/>
      <x:c r="I164" s="89"/>
      <x:c r="J164" s="89"/>
      <x:c r="K164" s="89"/>
      <x:c r="L164" s="89"/>
      <x:c r="M164" s="89"/>
      <x:c r="N164" s="89"/>
      <x:c r="O164" s="89"/>
      <x:c r="P164" s="89"/>
      <x:c r="Q164" s="89"/>
      <x:c r="R164" s="89"/>
      <x:c r="S164" s="89"/>
      <x:c r="T164" s="89"/>
      <x:c r="U164" s="89"/>
      <x:c r="V164" s="89"/>
      <x:c r="W164" s="89"/>
      <x:c r="X164" s="89"/>
      <x:c r="Y164" s="89"/>
      <x:c r="Z164" s="89"/>
    </x:row>
    <x:row r="165">
      <x:c r="A165" s="89"/>
      <x:c r="B165" s="89"/>
      <x:c r="C165" s="89"/>
      <x:c r="D165" s="89"/>
      <x:c r="E165" s="89"/>
      <x:c r="F165" s="89"/>
      <x:c r="G165" s="89"/>
      <x:c r="H165" s="89"/>
      <x:c r="I165" s="89"/>
      <x:c r="J165" s="89"/>
      <x:c r="K165" s="89"/>
      <x:c r="L165" s="89"/>
      <x:c r="M165" s="89"/>
      <x:c r="N165" s="89"/>
      <x:c r="O165" s="89"/>
      <x:c r="P165" s="89"/>
      <x:c r="Q165" s="89"/>
      <x:c r="R165" s="89"/>
      <x:c r="S165" s="89"/>
      <x:c r="T165" s="89"/>
      <x:c r="U165" s="89"/>
      <x:c r="V165" s="89"/>
      <x:c r="W165" s="89"/>
      <x:c r="X165" s="89"/>
      <x:c r="Y165" s="89"/>
      <x:c r="Z165" s="89"/>
    </x:row>
    <x:row r="166">
      <x:c r="A166" s="89"/>
      <x:c r="B166" s="89"/>
      <x:c r="C166" s="89"/>
      <x:c r="D166" s="89"/>
      <x:c r="E166" s="89"/>
      <x:c r="F166" s="89"/>
      <x:c r="G166" s="89"/>
      <x:c r="H166" s="89"/>
      <x:c r="I166" s="89"/>
      <x:c r="J166" s="89"/>
      <x:c r="K166" s="89"/>
      <x:c r="L166" s="89"/>
      <x:c r="M166" s="89"/>
      <x:c r="N166" s="89"/>
      <x:c r="O166" s="89"/>
      <x:c r="P166" s="89"/>
      <x:c r="Q166" s="89"/>
      <x:c r="R166" s="89"/>
      <x:c r="S166" s="89"/>
      <x:c r="T166" s="89"/>
      <x:c r="U166" s="89"/>
      <x:c r="V166" s="89"/>
      <x:c r="W166" s="89"/>
      <x:c r="X166" s="89"/>
      <x:c r="Y166" s="89"/>
      <x:c r="Z166" s="89"/>
    </x:row>
    <x:row r="167">
      <x:c r="A167" s="89"/>
      <x:c r="B167" s="89"/>
      <x:c r="C167" s="89"/>
      <x:c r="D167" s="89"/>
      <x:c r="E167" s="89"/>
      <x:c r="F167" s="89"/>
      <x:c r="G167" s="89"/>
      <x:c r="H167" s="89"/>
      <x:c r="I167" s="89"/>
      <x:c r="J167" s="89"/>
      <x:c r="K167" s="89"/>
      <x:c r="L167" s="89"/>
      <x:c r="M167" s="89"/>
      <x:c r="N167" s="89"/>
      <x:c r="O167" s="89"/>
      <x:c r="P167" s="89"/>
      <x:c r="Q167" s="89"/>
      <x:c r="R167" s="89"/>
      <x:c r="S167" s="89"/>
      <x:c r="T167" s="89"/>
      <x:c r="U167" s="89"/>
      <x:c r="V167" s="89"/>
      <x:c r="W167" s="89"/>
      <x:c r="X167" s="89"/>
      <x:c r="Y167" s="89"/>
      <x:c r="Z167" s="89"/>
    </x:row>
    <x:row r="168">
      <x:c r="A168" s="89"/>
      <x:c r="B168" s="89"/>
      <x:c r="C168" s="89"/>
      <x:c r="D168" s="89"/>
      <x:c r="E168" s="89"/>
      <x:c r="F168" s="89"/>
      <x:c r="G168" s="89"/>
      <x:c r="H168" s="89"/>
      <x:c r="I168" s="89"/>
      <x:c r="J168" s="89"/>
      <x:c r="K168" s="89"/>
      <x:c r="L168" s="89"/>
      <x:c r="M168" s="89"/>
      <x:c r="N168" s="89"/>
      <x:c r="O168" s="89"/>
      <x:c r="P168" s="89"/>
      <x:c r="Q168" s="89"/>
      <x:c r="R168" s="89"/>
      <x:c r="S168" s="89"/>
      <x:c r="T168" s="89"/>
      <x:c r="U168" s="89"/>
      <x:c r="V168" s="89"/>
      <x:c r="W168" s="89"/>
      <x:c r="X168" s="89"/>
      <x:c r="Y168" s="89"/>
      <x:c r="Z168" s="89"/>
    </x:row>
    <x:row r="169">
      <x:c r="A169" s="89"/>
      <x:c r="B169" s="89"/>
      <x:c r="C169" s="89"/>
      <x:c r="D169" s="89"/>
      <x:c r="E169" s="89"/>
      <x:c r="F169" s="89"/>
      <x:c r="G169" s="89"/>
      <x:c r="H169" s="89"/>
      <x:c r="I169" s="89"/>
      <x:c r="J169" s="89"/>
      <x:c r="K169" s="89"/>
      <x:c r="L169" s="89"/>
      <x:c r="M169" s="89"/>
      <x:c r="N169" s="89"/>
      <x:c r="O169" s="89"/>
      <x:c r="P169" s="89"/>
      <x:c r="Q169" s="89"/>
      <x:c r="R169" s="89"/>
      <x:c r="S169" s="89"/>
      <x:c r="T169" s="89"/>
      <x:c r="U169" s="89"/>
      <x:c r="V169" s="89"/>
      <x:c r="W169" s="89"/>
      <x:c r="X169" s="89"/>
      <x:c r="Y169" s="89"/>
      <x:c r="Z169" s="89"/>
    </x:row>
    <x:row r="170">
      <x:c r="A170" s="89"/>
      <x:c r="B170" s="89"/>
      <x:c r="C170" s="89"/>
      <x:c r="D170" s="89"/>
      <x:c r="E170" s="89"/>
      <x:c r="F170" s="89"/>
      <x:c r="G170" s="89"/>
      <x:c r="H170" s="89"/>
      <x:c r="I170" s="89"/>
      <x:c r="J170" s="89"/>
      <x:c r="K170" s="89"/>
      <x:c r="L170" s="89"/>
      <x:c r="M170" s="89"/>
      <x:c r="N170" s="89"/>
      <x:c r="O170" s="89"/>
      <x:c r="P170" s="89"/>
      <x:c r="Q170" s="89"/>
      <x:c r="R170" s="89"/>
      <x:c r="S170" s="89"/>
      <x:c r="T170" s="89"/>
      <x:c r="U170" s="89"/>
      <x:c r="V170" s="89"/>
      <x:c r="W170" s="89"/>
      <x:c r="X170" s="89"/>
      <x:c r="Y170" s="89"/>
      <x:c r="Z170" s="89"/>
    </x:row>
    <x:row r="171">
      <x:c r="A171" s="89"/>
      <x:c r="B171" s="89"/>
      <x:c r="C171" s="89"/>
      <x:c r="D171" s="89"/>
      <x:c r="E171" s="89"/>
      <x:c r="F171" s="89"/>
      <x:c r="G171" s="89"/>
      <x:c r="H171" s="89"/>
      <x:c r="I171" s="89"/>
      <x:c r="J171" s="89"/>
      <x:c r="K171" s="89"/>
      <x:c r="L171" s="89"/>
      <x:c r="M171" s="89"/>
      <x:c r="N171" s="89"/>
      <x:c r="O171" s="89"/>
      <x:c r="P171" s="89"/>
      <x:c r="Q171" s="89"/>
      <x:c r="R171" s="89"/>
      <x:c r="S171" s="89"/>
      <x:c r="T171" s="89"/>
      <x:c r="U171" s="89"/>
      <x:c r="V171" s="89"/>
      <x:c r="W171" s="89"/>
      <x:c r="X171" s="89"/>
      <x:c r="Y171" s="89"/>
      <x:c r="Z171" s="89"/>
    </x:row>
    <x:row r="172">
      <x:c r="A172" s="89"/>
      <x:c r="B172" s="89"/>
      <x:c r="C172" s="89"/>
      <x:c r="D172" s="89"/>
      <x:c r="E172" s="89"/>
      <x:c r="F172" s="89"/>
      <x:c r="G172" s="89"/>
      <x:c r="H172" s="89"/>
      <x:c r="I172" s="89"/>
      <x:c r="J172" s="89"/>
      <x:c r="K172" s="89"/>
      <x:c r="L172" s="89"/>
      <x:c r="M172" s="89"/>
      <x:c r="N172" s="89"/>
      <x:c r="O172" s="89"/>
      <x:c r="P172" s="89"/>
      <x:c r="Q172" s="89"/>
      <x:c r="R172" s="89"/>
      <x:c r="S172" s="89"/>
      <x:c r="T172" s="89"/>
      <x:c r="U172" s="89"/>
      <x:c r="V172" s="89"/>
      <x:c r="W172" s="89"/>
      <x:c r="X172" s="89"/>
      <x:c r="Y172" s="89"/>
      <x:c r="Z172" s="89"/>
    </x:row>
    <x:row r="173">
      <x:c r="A173" s="89"/>
      <x:c r="B173" s="89"/>
      <x:c r="C173" s="89"/>
      <x:c r="D173" s="89"/>
      <x:c r="E173" s="89"/>
      <x:c r="F173" s="89"/>
      <x:c r="G173" s="89"/>
      <x:c r="H173" s="89"/>
      <x:c r="I173" s="89"/>
      <x:c r="J173" s="89"/>
      <x:c r="K173" s="89"/>
      <x:c r="L173" s="89"/>
      <x:c r="M173" s="89"/>
      <x:c r="N173" s="89"/>
      <x:c r="O173" s="89"/>
      <x:c r="P173" s="89"/>
      <x:c r="Q173" s="89"/>
      <x:c r="R173" s="89"/>
      <x:c r="S173" s="89"/>
      <x:c r="T173" s="89"/>
      <x:c r="U173" s="89"/>
      <x:c r="V173" s="89"/>
      <x:c r="W173" s="89"/>
      <x:c r="X173" s="89"/>
      <x:c r="Y173" s="89"/>
      <x:c r="Z173" s="89"/>
    </x:row>
    <x:row r="174">
      <x:c r="A174" s="89"/>
      <x:c r="B174" s="89"/>
      <x:c r="C174" s="89"/>
      <x:c r="D174" s="89"/>
      <x:c r="E174" s="89"/>
      <x:c r="F174" s="89"/>
      <x:c r="G174" s="89"/>
      <x:c r="H174" s="89"/>
      <x:c r="I174" s="89"/>
      <x:c r="J174" s="89"/>
      <x:c r="K174" s="89"/>
      <x:c r="L174" s="89"/>
      <x:c r="M174" s="89"/>
      <x:c r="N174" s="89"/>
      <x:c r="O174" s="89"/>
      <x:c r="P174" s="89"/>
      <x:c r="Q174" s="89"/>
      <x:c r="R174" s="89"/>
      <x:c r="S174" s="89"/>
      <x:c r="T174" s="89"/>
      <x:c r="U174" s="89"/>
      <x:c r="V174" s="89"/>
      <x:c r="W174" s="89"/>
      <x:c r="X174" s="89"/>
      <x:c r="Y174" s="89"/>
      <x:c r="Z174" s="89"/>
    </x:row>
    <x:row r="175">
      <x:c r="A175" s="89"/>
      <x:c r="B175" s="89"/>
      <x:c r="C175" s="89"/>
      <x:c r="D175" s="89"/>
      <x:c r="E175" s="89"/>
      <x:c r="F175" s="89"/>
      <x:c r="G175" s="89"/>
      <x:c r="H175" s="89"/>
      <x:c r="I175" s="89"/>
      <x:c r="J175" s="89"/>
      <x:c r="K175" s="89"/>
      <x:c r="L175" s="89"/>
      <x:c r="M175" s="89"/>
      <x:c r="N175" s="89"/>
      <x:c r="O175" s="89"/>
      <x:c r="P175" s="89"/>
      <x:c r="Q175" s="89"/>
      <x:c r="R175" s="89"/>
      <x:c r="S175" s="89"/>
      <x:c r="T175" s="89"/>
      <x:c r="U175" s="89"/>
      <x:c r="V175" s="89"/>
      <x:c r="W175" s="89"/>
      <x:c r="X175" s="89"/>
      <x:c r="Y175" s="89"/>
      <x:c r="Z175" s="89"/>
    </x:row>
    <x:row r="176">
      <x:c r="A176" s="89"/>
      <x:c r="B176" s="89"/>
      <x:c r="C176" s="89"/>
      <x:c r="D176" s="89"/>
      <x:c r="E176" s="89"/>
      <x:c r="F176" s="89"/>
      <x:c r="G176" s="89"/>
      <x:c r="H176" s="89"/>
      <x:c r="I176" s="89"/>
      <x:c r="J176" s="89"/>
      <x:c r="K176" s="89"/>
      <x:c r="L176" s="89"/>
      <x:c r="M176" s="89"/>
      <x:c r="N176" s="89"/>
      <x:c r="O176" s="89"/>
      <x:c r="P176" s="89"/>
      <x:c r="Q176" s="89"/>
      <x:c r="R176" s="89"/>
      <x:c r="S176" s="89"/>
      <x:c r="T176" s="89"/>
      <x:c r="U176" s="89"/>
      <x:c r="V176" s="89"/>
      <x:c r="W176" s="89"/>
      <x:c r="X176" s="89"/>
      <x:c r="Y176" s="89"/>
      <x:c r="Z176" s="89"/>
    </x:row>
    <x:row r="177">
      <x:c r="A177" s="89"/>
      <x:c r="B177" s="89"/>
      <x:c r="C177" s="89"/>
      <x:c r="D177" s="89"/>
      <x:c r="E177" s="89"/>
      <x:c r="F177" s="89"/>
      <x:c r="G177" s="89"/>
      <x:c r="H177" s="89"/>
      <x:c r="I177" s="89"/>
      <x:c r="J177" s="89"/>
      <x:c r="K177" s="89"/>
      <x:c r="L177" s="89"/>
      <x:c r="M177" s="89"/>
      <x:c r="N177" s="89"/>
      <x:c r="O177" s="89"/>
      <x:c r="P177" s="89"/>
      <x:c r="Q177" s="89"/>
      <x:c r="R177" s="89"/>
      <x:c r="S177" s="89"/>
      <x:c r="T177" s="89"/>
      <x:c r="U177" s="89"/>
      <x:c r="V177" s="89"/>
      <x:c r="W177" s="89"/>
      <x:c r="X177" s="89"/>
      <x:c r="Y177" s="89"/>
      <x:c r="Z177" s="89"/>
    </x:row>
    <x:row r="178">
      <x:c r="A178" s="89"/>
      <x:c r="B178" s="89"/>
      <x:c r="C178" s="89"/>
      <x:c r="D178" s="89"/>
      <x:c r="E178" s="89"/>
      <x:c r="F178" s="89"/>
      <x:c r="G178" s="89"/>
      <x:c r="H178" s="89"/>
      <x:c r="I178" s="89"/>
      <x:c r="J178" s="89"/>
      <x:c r="K178" s="89"/>
      <x:c r="L178" s="89"/>
      <x:c r="M178" s="89"/>
      <x:c r="N178" s="89"/>
      <x:c r="O178" s="89"/>
      <x:c r="P178" s="89"/>
      <x:c r="Q178" s="89"/>
      <x:c r="R178" s="89"/>
      <x:c r="S178" s="89"/>
      <x:c r="T178" s="89"/>
      <x:c r="U178" s="89"/>
      <x:c r="V178" s="89"/>
      <x:c r="W178" s="89"/>
      <x:c r="X178" s="89"/>
      <x:c r="Y178" s="89"/>
      <x:c r="Z178" s="89"/>
    </x:row>
    <x:row r="179">
      <x:c r="A179" s="89"/>
      <x:c r="B179" s="89"/>
      <x:c r="C179" s="89"/>
      <x:c r="D179" s="89"/>
      <x:c r="E179" s="89"/>
      <x:c r="F179" s="89"/>
      <x:c r="G179" s="89"/>
      <x:c r="H179" s="89"/>
      <x:c r="I179" s="89"/>
      <x:c r="J179" s="89"/>
      <x:c r="K179" s="89"/>
      <x:c r="L179" s="89"/>
      <x:c r="M179" s="89"/>
      <x:c r="N179" s="89"/>
      <x:c r="O179" s="89"/>
      <x:c r="P179" s="89"/>
      <x:c r="Q179" s="89"/>
      <x:c r="R179" s="89"/>
      <x:c r="S179" s="89"/>
      <x:c r="T179" s="89"/>
      <x:c r="U179" s="89"/>
      <x:c r="V179" s="89"/>
      <x:c r="W179" s="89"/>
      <x:c r="X179" s="89"/>
      <x:c r="Y179" s="89"/>
      <x:c r="Z179" s="89"/>
    </x:row>
    <x:row r="180">
      <x:c r="A180" s="89"/>
      <x:c r="B180" s="89"/>
      <x:c r="C180" s="89"/>
      <x:c r="D180" s="89"/>
      <x:c r="E180" s="89"/>
      <x:c r="F180" s="89"/>
      <x:c r="G180" s="89"/>
      <x:c r="H180" s="89"/>
      <x:c r="I180" s="89"/>
      <x:c r="J180" s="89"/>
      <x:c r="K180" s="89"/>
      <x:c r="L180" s="89"/>
      <x:c r="M180" s="89"/>
      <x:c r="N180" s="89"/>
      <x:c r="O180" s="89"/>
      <x:c r="P180" s="89"/>
      <x:c r="Q180" s="89"/>
      <x:c r="R180" s="89"/>
      <x:c r="S180" s="89"/>
      <x:c r="T180" s="89"/>
      <x:c r="U180" s="89"/>
      <x:c r="V180" s="89"/>
      <x:c r="W180" s="89"/>
      <x:c r="X180" s="89"/>
      <x:c r="Y180" s="89"/>
      <x:c r="Z180" s="89"/>
    </x:row>
    <x:row r="181">
      <x:c r="A181" s="89"/>
      <x:c r="B181" s="89"/>
      <x:c r="C181" s="89"/>
      <x:c r="D181" s="89"/>
      <x:c r="E181" s="89"/>
      <x:c r="F181" s="89"/>
      <x:c r="G181" s="89"/>
      <x:c r="H181" s="89"/>
      <x:c r="I181" s="89"/>
      <x:c r="J181" s="89"/>
      <x:c r="K181" s="89"/>
      <x:c r="L181" s="89"/>
      <x:c r="M181" s="89"/>
      <x:c r="N181" s="89"/>
      <x:c r="O181" s="89"/>
      <x:c r="P181" s="89"/>
      <x:c r="Q181" s="89"/>
      <x:c r="R181" s="89"/>
      <x:c r="S181" s="89"/>
      <x:c r="T181" s="89"/>
      <x:c r="U181" s="89"/>
      <x:c r="V181" s="89"/>
      <x:c r="W181" s="89"/>
      <x:c r="X181" s="89"/>
      <x:c r="Y181" s="89"/>
      <x:c r="Z181" s="89"/>
    </x:row>
    <x:row r="182">
      <x:c r="A182" s="89"/>
      <x:c r="B182" s="89"/>
      <x:c r="C182" s="89"/>
      <x:c r="D182" s="89"/>
      <x:c r="E182" s="89"/>
      <x:c r="F182" s="89"/>
      <x:c r="G182" s="89"/>
      <x:c r="H182" s="89"/>
      <x:c r="I182" s="89"/>
      <x:c r="J182" s="89"/>
      <x:c r="K182" s="89"/>
      <x:c r="L182" s="89"/>
      <x:c r="M182" s="89"/>
      <x:c r="N182" s="89"/>
      <x:c r="O182" s="89"/>
      <x:c r="P182" s="89"/>
      <x:c r="Q182" s="89"/>
      <x:c r="R182" s="89"/>
      <x:c r="S182" s="89"/>
      <x:c r="T182" s="89"/>
      <x:c r="U182" s="89"/>
      <x:c r="V182" s="89"/>
      <x:c r="W182" s="89"/>
      <x:c r="X182" s="89"/>
      <x:c r="Y182" s="89"/>
      <x:c r="Z182" s="89"/>
    </x:row>
    <x:row r="183">
      <x:c r="A183" s="89"/>
      <x:c r="B183" s="89"/>
      <x:c r="C183" s="89"/>
      <x:c r="D183" s="89"/>
      <x:c r="E183" s="89"/>
      <x:c r="F183" s="89"/>
      <x:c r="G183" s="89"/>
      <x:c r="H183" s="89"/>
      <x:c r="I183" s="89"/>
      <x:c r="J183" s="89"/>
      <x:c r="K183" s="89"/>
      <x:c r="L183" s="89"/>
      <x:c r="M183" s="89"/>
      <x:c r="N183" s="89"/>
      <x:c r="O183" s="89"/>
      <x:c r="P183" s="89"/>
      <x:c r="Q183" s="89"/>
      <x:c r="R183" s="89"/>
      <x:c r="S183" s="89"/>
      <x:c r="T183" s="89"/>
      <x:c r="U183" s="89"/>
      <x:c r="V183" s="89"/>
      <x:c r="W183" s="89"/>
      <x:c r="X183" s="89"/>
      <x:c r="Y183" s="89"/>
      <x:c r="Z183" s="89"/>
    </x:row>
    <x:row r="184">
      <x:c r="A184" s="89"/>
      <x:c r="B184" s="89"/>
      <x:c r="C184" s="89"/>
      <x:c r="D184" s="89"/>
      <x:c r="E184" s="89"/>
      <x:c r="F184" s="89"/>
      <x:c r="G184" s="89"/>
      <x:c r="H184" s="89"/>
      <x:c r="I184" s="89"/>
      <x:c r="J184" s="89"/>
      <x:c r="K184" s="89"/>
      <x:c r="L184" s="89"/>
      <x:c r="M184" s="89"/>
      <x:c r="N184" s="89"/>
      <x:c r="O184" s="89"/>
      <x:c r="P184" s="89"/>
      <x:c r="Q184" s="89"/>
      <x:c r="R184" s="89"/>
      <x:c r="S184" s="89"/>
      <x:c r="T184" s="89"/>
      <x:c r="U184" s="89"/>
      <x:c r="V184" s="89"/>
      <x:c r="W184" s="89"/>
      <x:c r="X184" s="89"/>
      <x:c r="Y184" s="89"/>
      <x:c r="Z184" s="89"/>
    </x:row>
    <x:row r="185">
      <x:c r="A185" s="89"/>
      <x:c r="B185" s="89"/>
      <x:c r="C185" s="89"/>
      <x:c r="D185" s="89"/>
      <x:c r="E185" s="89"/>
      <x:c r="F185" s="89"/>
      <x:c r="G185" s="89"/>
      <x:c r="H185" s="89"/>
      <x:c r="I185" s="89"/>
      <x:c r="J185" s="89"/>
      <x:c r="K185" s="89"/>
      <x:c r="L185" s="89"/>
      <x:c r="M185" s="89"/>
      <x:c r="N185" s="89"/>
      <x:c r="O185" s="89"/>
      <x:c r="P185" s="89"/>
      <x:c r="Q185" s="89"/>
      <x:c r="R185" s="89"/>
      <x:c r="S185" s="89"/>
      <x:c r="T185" s="89"/>
      <x:c r="U185" s="89"/>
      <x:c r="V185" s="89"/>
      <x:c r="W185" s="89"/>
      <x:c r="X185" s="89"/>
      <x:c r="Y185" s="89"/>
      <x:c r="Z185" s="89"/>
    </x:row>
    <x:row r="186">
      <x:c r="A186" s="89"/>
      <x:c r="B186" s="89"/>
      <x:c r="C186" s="89"/>
      <x:c r="D186" s="89"/>
      <x:c r="E186" s="89"/>
      <x:c r="F186" s="89"/>
      <x:c r="G186" s="89"/>
      <x:c r="H186" s="89"/>
      <x:c r="I186" s="89"/>
      <x:c r="J186" s="89"/>
      <x:c r="K186" s="89"/>
      <x:c r="L186" s="89"/>
      <x:c r="M186" s="89"/>
      <x:c r="N186" s="89"/>
      <x:c r="O186" s="89"/>
      <x:c r="P186" s="89"/>
      <x:c r="Q186" s="89"/>
      <x:c r="R186" s="89"/>
      <x:c r="S186" s="89"/>
      <x:c r="T186" s="89"/>
      <x:c r="U186" s="89"/>
      <x:c r="V186" s="89"/>
      <x:c r="W186" s="89"/>
      <x:c r="X186" s="89"/>
      <x:c r="Y186" s="89"/>
      <x:c r="Z186" s="89"/>
    </x:row>
    <x:row r="187">
      <x:c r="A187" s="89"/>
      <x:c r="B187" s="89"/>
      <x:c r="C187" s="89"/>
      <x:c r="D187" s="89"/>
      <x:c r="E187" s="89"/>
      <x:c r="F187" s="89"/>
      <x:c r="G187" s="89"/>
      <x:c r="H187" s="89"/>
      <x:c r="I187" s="89"/>
      <x:c r="J187" s="89"/>
      <x:c r="K187" s="89"/>
      <x:c r="L187" s="89"/>
      <x:c r="M187" s="89"/>
      <x:c r="N187" s="89"/>
      <x:c r="O187" s="89"/>
      <x:c r="P187" s="89"/>
      <x:c r="Q187" s="89"/>
      <x:c r="R187" s="89"/>
      <x:c r="S187" s="89"/>
      <x:c r="T187" s="89"/>
      <x:c r="U187" s="89"/>
      <x:c r="V187" s="89"/>
      <x:c r="W187" s="89"/>
      <x:c r="X187" s="89"/>
      <x:c r="Y187" s="89"/>
      <x:c r="Z187" s="89"/>
    </x:row>
    <x:row r="188">
      <x:c r="A188" s="89"/>
      <x:c r="B188" s="89"/>
      <x:c r="C188" s="89"/>
      <x:c r="D188" s="89"/>
      <x:c r="E188" s="89"/>
      <x:c r="F188" s="89"/>
      <x:c r="G188" s="89"/>
      <x:c r="H188" s="89"/>
      <x:c r="I188" s="89"/>
      <x:c r="J188" s="89"/>
      <x:c r="K188" s="89"/>
      <x:c r="L188" s="89"/>
      <x:c r="M188" s="89"/>
      <x:c r="N188" s="89"/>
      <x:c r="O188" s="89"/>
      <x:c r="P188" s="89"/>
      <x:c r="Q188" s="89"/>
      <x:c r="R188" s="89"/>
      <x:c r="S188" s="89"/>
      <x:c r="T188" s="89"/>
      <x:c r="U188" s="89"/>
      <x:c r="V188" s="89"/>
      <x:c r="W188" s="89"/>
      <x:c r="X188" s="89"/>
      <x:c r="Y188" s="89"/>
      <x:c r="Z188" s="89"/>
    </x:row>
    <x:row r="189">
      <x:c r="A189" s="89"/>
      <x:c r="B189" s="89"/>
      <x:c r="C189" s="89"/>
      <x:c r="D189" s="89"/>
      <x:c r="E189" s="89"/>
      <x:c r="F189" s="89"/>
      <x:c r="G189" s="89"/>
      <x:c r="H189" s="89"/>
      <x:c r="I189" s="89"/>
      <x:c r="J189" s="89"/>
      <x:c r="K189" s="89"/>
      <x:c r="L189" s="89"/>
      <x:c r="M189" s="89"/>
      <x:c r="N189" s="89"/>
      <x:c r="O189" s="89"/>
      <x:c r="P189" s="89"/>
      <x:c r="Q189" s="89"/>
      <x:c r="R189" s="89"/>
      <x:c r="S189" s="89"/>
      <x:c r="T189" s="89"/>
      <x:c r="U189" s="89"/>
      <x:c r="V189" s="89"/>
      <x:c r="W189" s="89"/>
      <x:c r="X189" s="89"/>
      <x:c r="Y189" s="89"/>
      <x:c r="Z189" s="89"/>
    </x:row>
    <x:row r="190">
      <x:c r="A190" s="89"/>
      <x:c r="B190" s="89"/>
      <x:c r="C190" s="89"/>
      <x:c r="D190" s="89"/>
      <x:c r="E190" s="89"/>
      <x:c r="F190" s="89"/>
      <x:c r="G190" s="89"/>
      <x:c r="H190" s="89"/>
      <x:c r="I190" s="89"/>
      <x:c r="J190" s="89"/>
      <x:c r="K190" s="89"/>
      <x:c r="L190" s="89"/>
      <x:c r="M190" s="89"/>
      <x:c r="N190" s="89"/>
      <x:c r="O190" s="89"/>
      <x:c r="P190" s="89"/>
      <x:c r="Q190" s="89"/>
      <x:c r="R190" s="89"/>
      <x:c r="S190" s="89"/>
      <x:c r="T190" s="89"/>
      <x:c r="U190" s="89"/>
      <x:c r="V190" s="89"/>
      <x:c r="W190" s="89"/>
      <x:c r="X190" s="89"/>
      <x:c r="Y190" s="89"/>
      <x:c r="Z190" s="89"/>
    </x:row>
    <x:row r="191">
      <x:c r="A191" s="89"/>
      <x:c r="B191" s="89"/>
      <x:c r="C191" s="89"/>
      <x:c r="D191" s="89"/>
      <x:c r="E191" s="89"/>
      <x:c r="F191" s="89"/>
      <x:c r="G191" s="89"/>
      <x:c r="H191" s="89"/>
      <x:c r="I191" s="89"/>
      <x:c r="J191" s="89"/>
      <x:c r="K191" s="89"/>
      <x:c r="L191" s="89"/>
      <x:c r="M191" s="89"/>
      <x:c r="N191" s="89"/>
      <x:c r="O191" s="89"/>
      <x:c r="P191" s="89"/>
      <x:c r="Q191" s="89"/>
      <x:c r="R191" s="89"/>
      <x:c r="S191" s="89"/>
      <x:c r="T191" s="89"/>
      <x:c r="U191" s="89"/>
      <x:c r="V191" s="89"/>
      <x:c r="W191" s="89"/>
      <x:c r="X191" s="89"/>
      <x:c r="Y191" s="89"/>
      <x:c r="Z191" s="89"/>
    </x:row>
    <x:row r="192">
      <x:c r="A192" s="89"/>
      <x:c r="B192" s="89"/>
      <x:c r="C192" s="89"/>
      <x:c r="D192" s="89"/>
      <x:c r="E192" s="89"/>
      <x:c r="F192" s="89"/>
      <x:c r="G192" s="89"/>
      <x:c r="H192" s="89"/>
      <x:c r="I192" s="89"/>
      <x:c r="J192" s="89"/>
      <x:c r="K192" s="89"/>
      <x:c r="L192" s="89"/>
      <x:c r="M192" s="89"/>
      <x:c r="N192" s="89"/>
      <x:c r="O192" s="89"/>
      <x:c r="P192" s="89"/>
      <x:c r="Q192" s="89"/>
      <x:c r="R192" s="89"/>
      <x:c r="S192" s="89"/>
      <x:c r="T192" s="89"/>
      <x:c r="U192" s="89"/>
      <x:c r="V192" s="89"/>
      <x:c r="W192" s="89"/>
      <x:c r="X192" s="89"/>
      <x:c r="Y192" s="89"/>
      <x:c r="Z192" s="89"/>
    </x:row>
    <x:row r="193">
      <x:c r="A193" s="89"/>
      <x:c r="B193" s="89"/>
      <x:c r="C193" s="89"/>
      <x:c r="D193" s="89"/>
      <x:c r="E193" s="89"/>
      <x:c r="F193" s="89"/>
      <x:c r="G193" s="89"/>
      <x:c r="H193" s="89"/>
      <x:c r="I193" s="89"/>
      <x:c r="J193" s="89"/>
      <x:c r="K193" s="89"/>
      <x:c r="L193" s="89"/>
      <x:c r="M193" s="89"/>
      <x:c r="N193" s="89"/>
      <x:c r="O193" s="89"/>
      <x:c r="P193" s="89"/>
      <x:c r="Q193" s="89"/>
      <x:c r="R193" s="89"/>
      <x:c r="S193" s="89"/>
      <x:c r="T193" s="89"/>
      <x:c r="U193" s="89"/>
      <x:c r="V193" s="89"/>
      <x:c r="W193" s="89"/>
      <x:c r="X193" s="89"/>
      <x:c r="Y193" s="89"/>
      <x:c r="Z193" s="89"/>
    </x:row>
    <x:row r="194">
      <x:c r="A194" s="89"/>
      <x:c r="B194" s="89"/>
      <x:c r="C194" s="89"/>
      <x:c r="D194" s="89"/>
      <x:c r="E194" s="89"/>
      <x:c r="F194" s="89"/>
      <x:c r="G194" s="89"/>
      <x:c r="H194" s="89"/>
      <x:c r="I194" s="89"/>
      <x:c r="J194" s="89"/>
      <x:c r="K194" s="89"/>
      <x:c r="L194" s="89"/>
      <x:c r="M194" s="89"/>
      <x:c r="N194" s="89"/>
      <x:c r="O194" s="89"/>
      <x:c r="P194" s="89"/>
      <x:c r="Q194" s="89"/>
      <x:c r="R194" s="89"/>
      <x:c r="S194" s="89"/>
      <x:c r="T194" s="89"/>
      <x:c r="U194" s="89"/>
      <x:c r="V194" s="89"/>
      <x:c r="W194" s="89"/>
      <x:c r="X194" s="89"/>
      <x:c r="Y194" s="89"/>
      <x:c r="Z194" s="89"/>
    </x:row>
    <x:row r="195">
      <x:c r="A195" s="89"/>
      <x:c r="B195" s="89"/>
      <x:c r="C195" s="89"/>
      <x:c r="D195" s="89"/>
      <x:c r="E195" s="89"/>
      <x:c r="F195" s="89"/>
      <x:c r="G195" s="89"/>
      <x:c r="H195" s="89"/>
      <x:c r="I195" s="89"/>
      <x:c r="J195" s="89"/>
      <x:c r="K195" s="89"/>
      <x:c r="L195" s="89"/>
      <x:c r="M195" s="89"/>
      <x:c r="N195" s="89"/>
      <x:c r="O195" s="89"/>
      <x:c r="P195" s="89"/>
      <x:c r="Q195" s="89"/>
      <x:c r="R195" s="89"/>
      <x:c r="S195" s="89"/>
      <x:c r="T195" s="89"/>
      <x:c r="U195" s="89"/>
      <x:c r="V195" s="89"/>
      <x:c r="W195" s="89"/>
      <x:c r="X195" s="89"/>
      <x:c r="Y195" s="89"/>
      <x:c r="Z195" s="89"/>
    </x:row>
    <x:row r="196">
      <x:c r="A196" s="89"/>
      <x:c r="B196" s="89"/>
      <x:c r="C196" s="89"/>
      <x:c r="D196" s="89"/>
      <x:c r="E196" s="89"/>
      <x:c r="F196" s="89"/>
      <x:c r="G196" s="89"/>
      <x:c r="H196" s="89"/>
      <x:c r="I196" s="89"/>
      <x:c r="J196" s="89"/>
      <x:c r="K196" s="89"/>
      <x:c r="L196" s="89"/>
      <x:c r="M196" s="89"/>
      <x:c r="N196" s="89"/>
      <x:c r="O196" s="89"/>
      <x:c r="P196" s="89"/>
      <x:c r="Q196" s="89"/>
      <x:c r="R196" s="89"/>
      <x:c r="S196" s="89"/>
      <x:c r="T196" s="89"/>
      <x:c r="U196" s="89"/>
      <x:c r="V196" s="89"/>
      <x:c r="W196" s="89"/>
      <x:c r="X196" s="89"/>
      <x:c r="Y196" s="89"/>
      <x:c r="Z196" s="89"/>
    </x:row>
    <x:row r="197">
      <x:c r="A197" s="89"/>
      <x:c r="B197" s="89"/>
      <x:c r="C197" s="89"/>
      <x:c r="D197" s="89"/>
      <x:c r="E197" s="89"/>
      <x:c r="F197" s="89"/>
      <x:c r="G197" s="89"/>
      <x:c r="H197" s="89"/>
      <x:c r="I197" s="89"/>
      <x:c r="J197" s="89"/>
      <x:c r="K197" s="89"/>
      <x:c r="L197" s="89"/>
      <x:c r="M197" s="89"/>
      <x:c r="N197" s="89"/>
      <x:c r="O197" s="89"/>
      <x:c r="P197" s="89"/>
      <x:c r="Q197" s="89"/>
      <x:c r="R197" s="89"/>
      <x:c r="S197" s="89"/>
      <x:c r="T197" s="89"/>
      <x:c r="U197" s="89"/>
      <x:c r="V197" s="89"/>
      <x:c r="W197" s="89"/>
      <x:c r="X197" s="89"/>
      <x:c r="Y197" s="89"/>
      <x:c r="Z197" s="89"/>
    </x:row>
    <x:row r="198">
      <x:c r="A198" s="89"/>
      <x:c r="B198" s="89"/>
      <x:c r="C198" s="89"/>
      <x:c r="D198" s="89"/>
      <x:c r="E198" s="89"/>
      <x:c r="F198" s="89"/>
      <x:c r="G198" s="89"/>
      <x:c r="H198" s="89"/>
      <x:c r="I198" s="89"/>
      <x:c r="J198" s="89"/>
      <x:c r="K198" s="89"/>
      <x:c r="L198" s="89"/>
      <x:c r="M198" s="89"/>
      <x:c r="N198" s="89"/>
      <x:c r="O198" s="89"/>
      <x:c r="P198" s="89"/>
      <x:c r="Q198" s="89"/>
      <x:c r="R198" s="89"/>
      <x:c r="S198" s="89"/>
      <x:c r="T198" s="89"/>
      <x:c r="U198" s="89"/>
      <x:c r="V198" s="89"/>
      <x:c r="W198" s="89"/>
      <x:c r="X198" s="89"/>
      <x:c r="Y198" s="89"/>
      <x:c r="Z198" s="89"/>
    </x:row>
    <x:row r="199">
      <x:c r="A199" s="89"/>
      <x:c r="B199" s="89"/>
      <x:c r="C199" s="89"/>
      <x:c r="D199" s="89"/>
      <x:c r="E199" s="89"/>
      <x:c r="F199" s="89"/>
      <x:c r="G199" s="89"/>
      <x:c r="H199" s="89"/>
      <x:c r="I199" s="89"/>
      <x:c r="J199" s="89"/>
      <x:c r="K199" s="89"/>
      <x:c r="L199" s="89"/>
      <x:c r="M199" s="89"/>
      <x:c r="N199" s="89"/>
      <x:c r="O199" s="89"/>
      <x:c r="P199" s="89"/>
      <x:c r="Q199" s="89"/>
      <x:c r="R199" s="89"/>
      <x:c r="S199" s="89"/>
      <x:c r="T199" s="89"/>
      <x:c r="U199" s="89"/>
      <x:c r="V199" s="89"/>
      <x:c r="W199" s="89"/>
      <x:c r="X199" s="89"/>
      <x:c r="Y199" s="89"/>
      <x:c r="Z199" s="89"/>
    </x:row>
    <x:row r="200">
      <x:c r="A200" s="89"/>
      <x:c r="B200" s="89"/>
      <x:c r="C200" s="89"/>
      <x:c r="D200" s="89"/>
      <x:c r="E200" s="89"/>
      <x:c r="F200" s="89"/>
      <x:c r="G200" s="89"/>
      <x:c r="H200" s="89"/>
      <x:c r="I200" s="89"/>
      <x:c r="J200" s="89"/>
      <x:c r="K200" s="89"/>
      <x:c r="L200" s="89"/>
      <x:c r="M200" s="89"/>
      <x:c r="N200" s="89"/>
      <x:c r="O200" s="89"/>
      <x:c r="P200" s="89"/>
      <x:c r="Q200" s="89"/>
      <x:c r="R200" s="89"/>
      <x:c r="S200" s="89"/>
      <x:c r="T200" s="89"/>
      <x:c r="U200" s="89"/>
      <x:c r="V200" s="89"/>
      <x:c r="W200" s="89"/>
      <x:c r="X200" s="89"/>
      <x:c r="Y200" s="89"/>
      <x:c r="Z200" s="89"/>
    </x:row>
  </x:sheetData>
  <x:mergeCells>
    <x:mergeCell ref="A1:Q1"/>
  </x:mergeCells>
  <x:conditionalFormatting sqref="K3:K102">
    <x:cfRule type="expression" dxfId="4" priority="1">
      <x:formula>$K3="Baskıda"</x:formula>
    </x:cfRule>
    <x:cfRule type="expression" dxfId="5" priority="2">
      <x:formula>$K3="Teslim Edildi"</x:formula>
    </x:cfRule>
    <x:cfRule type="expression" dxfId="6" priority="3">
      <x:formula>$K3="İptal"</x:formula>
    </x:cfRule>
  </x:conditionalFormatting>
  <x:conditionalFormatting sqref="L3:L102">
    <x:cfRule type="expression" dxfId="7" priority="4">
      <x:formula>$L3="Acil"</x:formula>
    </x:cfRule>
  </x:conditionalFormatting>
  <x:dataValidations count="2">
    <x:dataValidation type="list" sqref="K3:K102">
      <x:formula1>'Ayarlar'!$I$4:$I$10</x:formula1>
    </x:dataValidation>
    <x:dataValidation type="list" sqref="L3:L102">
      <x:formula1>'Ayarlar'!$K$4:$K$7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aaf630ce71e5455a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4" hidden="0" customWidth="1"/>
    <x:col min="3" max="3" width="18" hidden="0" customWidth="1"/>
    <x:col min="4" max="4" width="18" hidden="0" customWidth="1"/>
    <x:col min="5" max="5" width="12" hidden="0" customWidth="1"/>
    <x:col min="6" max="6" width="12" hidden="0" customWidth="1"/>
    <x:col min="7" max="7" width="14" hidden="0" customWidth="1"/>
    <x:col min="8" max="8" width="12" hidden="0" customWidth="1"/>
    <x:col min="9" max="9" width="13" hidden="0" customWidth="1"/>
    <x:col min="10" max="10" width="13" hidden="0" customWidth="1"/>
    <x:col min="11" max="11" width="14" hidden="0" customWidth="1"/>
    <x:col min="12" max="12" width="34" hidden="0" customWidth="1"/>
  </x:cols>
  <x:sheetData>
    <x:row r="1">
      <x:c r="A1" s="126" t="str">
        <x:v>BunuDaBastık3D - Filament / Sarf Stok Takibi</x:v>
      </x:c>
      <x:c r="B1" s="126"/>
      <x:c r="C1" s="126"/>
      <x:c r="D1" s="126"/>
      <x:c r="E1" s="126"/>
      <x:c r="F1" s="126"/>
      <x:c r="G1" s="126"/>
      <x:c r="H1" s="126"/>
      <x:c r="I1" s="126"/>
      <x:c r="J1" s="126"/>
      <x:c r="K1" s="126"/>
      <x:c r="L1" s="126"/>
      <x:c r="M1" s="89"/>
      <x:c r="N1" s="89"/>
      <x:c r="O1" s="89"/>
      <x:c r="P1" s="89"/>
      <x:c r="Q1" s="89"/>
      <x:c r="R1" s="89"/>
      <x:c r="S1" s="89"/>
      <x:c r="T1" s="89"/>
      <x:c r="U1" s="89"/>
      <x:c r="V1" s="89"/>
      <x:c r="W1" s="89"/>
      <x:c r="X1" s="89"/>
      <x:c r="Y1" s="89"/>
      <x:c r="Z1" s="89"/>
    </x:row>
    <x:row r="2">
      <x:c r="A2" s="91" t="str">
        <x:v>Malzeme</x:v>
      </x:c>
      <x:c r="B2" s="91" t="str">
        <x:v>Renk</x:v>
      </x:c>
      <x:c r="C2" s="91" t="str">
        <x:v>Marka</x:v>
      </x:c>
      <x:c r="D2" s="91" t="str">
        <x:v>Makara Başlangıç (g)</x:v>
      </x:c>
      <x:c r="E2" s="91" t="str">
        <x:v>Kalan (g)</x:v>
      </x:c>
      <x:c r="F2" s="91" t="str">
        <x:v>Ayrılan (g)</x:v>
      </x:c>
      <x:c r="G2" s="91" t="str">
        <x:v>Kritik Eşik (g)</x:v>
      </x:c>
      <x:c r="H2" s="91" t="str">
        <x:v>Durum</x:v>
      </x:c>
      <x:c r="I2" s="91" t="str">
        <x:v>KG Fiyatı</x:v>
      </x:c>
      <x:c r="J2" s="91" t="str">
        <x:v>Gram Maliyeti</x:v>
      </x:c>
      <x:c r="K2" s="91" t="str">
        <x:v>Son Alım Tarihi</x:v>
      </x:c>
      <x:c r="L2" s="91" t="str">
        <x:v>Not</x:v>
      </x:c>
      <x:c r="M2" s="89"/>
      <x:c r="N2" s="89"/>
      <x:c r="O2" s="89"/>
      <x:c r="P2" s="89"/>
      <x:c r="Q2" s="89"/>
      <x:c r="R2" s="89"/>
      <x:c r="S2" s="89"/>
      <x:c r="T2" s="89"/>
      <x:c r="U2" s="89"/>
      <x:c r="V2" s="89"/>
      <x:c r="W2" s="89"/>
      <x:c r="X2" s="89"/>
      <x:c r="Y2" s="89"/>
      <x:c r="Z2" s="89"/>
    </x:row>
    <x:row r="3">
      <x:c r="A3" s="95" t="str">
        <x:v>PLA</x:v>
      </x:c>
      <x:c r="B3" s="95" t="str">
        <x:v>Siyah</x:v>
      </x:c>
      <x:c r="C3" s="95" t="str">
        <x:v>Bambu / Muadil</x:v>
      </x:c>
      <x:c r="D3" s="108" t="n">
        <x:v>1000</x:v>
      </x:c>
      <x:c r="E3" s="108" t="n">
        <x:v>850</x:v>
      </x:c>
      <x:c r="F3" s="108" t="n">
        <x:v>120</x:v>
      </x:c>
      <x:c r="G3" s="108" t="n">
        <x:v>200</x:v>
      </x:c>
      <x:c r="H3" s="95" t="str">
        <x:f>IF($A3="","",IF($E3&lt;=$G3,"Kritik",IF($E3&lt;=$G3*2,"Azalıyor","Yeterli")))</x:f>
        <x:v>Yeterli</x:v>
      </x:c>
      <x:c r="I3" s="124" t="n">
        <x:f>IF($A3="","",IFERROR(VLOOKUP($A3,'Ayarlar'!$A$16:$C$22,2,FALSE),""))</x:f>
        <x:v>600</x:v>
      </x:c>
      <x:c r="J3" s="124" t="n">
        <x:f>IF($A3="","",IFERROR($I3/1000,""))</x:f>
        <x:v>0.6</x:v>
      </x:c>
      <x:c r="K3" s="114" t="n">
        <x:v>46182</x:v>
      </x:c>
      <x:c r="L3" s="95" t="str">
        <x:v>En çok giden stok.</x:v>
      </x:c>
      <x:c r="M3" s="89"/>
      <x:c r="N3" s="89"/>
      <x:c r="O3" s="89"/>
      <x:c r="P3" s="89"/>
      <x:c r="Q3" s="89"/>
      <x:c r="R3" s="89"/>
      <x:c r="S3" s="89"/>
      <x:c r="T3" s="89"/>
      <x:c r="U3" s="89"/>
      <x:c r="V3" s="89"/>
      <x:c r="W3" s="89"/>
      <x:c r="X3" s="89"/>
      <x:c r="Y3" s="89"/>
      <x:c r="Z3" s="89"/>
    </x:row>
    <x:row r="4">
      <x:c r="A4" s="95" t="str">
        <x:v>PLA</x:v>
      </x:c>
      <x:c r="B4" s="95" t="str">
        <x:v>Beyaz</x:v>
      </x:c>
      <x:c r="C4" s="95" t="str">
        <x:v>Bambu / Muadil</x:v>
      </x:c>
      <x:c r="D4" s="108" t="n">
        <x:v>1000</x:v>
      </x:c>
      <x:c r="E4" s="108" t="n">
        <x:v>920</x:v>
      </x:c>
      <x:c r="F4" s="108" t="n">
        <x:v>0</x:v>
      </x:c>
      <x:c r="G4" s="108" t="n">
        <x:v>200</x:v>
      </x:c>
      <x:c r="H4" s="95" t="str">
        <x:f>IF($A4="","",IF($E4&lt;=$G4,"Kritik",IF($E4&lt;=$G4*2,"Azalıyor","Yeterli")))</x:f>
        <x:v>Yeterli</x:v>
      </x:c>
      <x:c r="I4" s="124" t="n">
        <x:f>IF($A4="","",IFERROR(VLOOKUP($A4,'Ayarlar'!$A$16:$C$22,2,FALSE),""))</x:f>
        <x:v>600</x:v>
      </x:c>
      <x:c r="J4" s="124" t="n">
        <x:f>IF($A4="","",IFERROR($I4/1000,""))</x:f>
        <x:v>0.6</x:v>
      </x:c>
      <x:c r="K4" s="114" t="n">
        <x:v>46182</x:v>
      </x:c>
      <x:c r="L4" s="95" t="str"/>
      <x:c r="M4" s="89"/>
      <x:c r="N4" s="89"/>
      <x:c r="O4" s="89"/>
      <x:c r="P4" s="89"/>
      <x:c r="Q4" s="89"/>
      <x:c r="R4" s="89"/>
      <x:c r="S4" s="89"/>
      <x:c r="T4" s="89"/>
      <x:c r="U4" s="89"/>
      <x:c r="V4" s="89"/>
      <x:c r="W4" s="89"/>
      <x:c r="X4" s="89"/>
      <x:c r="Y4" s="89"/>
      <x:c r="Z4" s="89"/>
    </x:row>
    <x:row r="5">
      <x:c r="A5" s="95" t="str">
        <x:v>PETG</x:v>
      </x:c>
      <x:c r="B5" s="95" t="str">
        <x:v>Siyah</x:v>
      </x:c>
      <x:c r="C5" s="95" t="str">
        <x:v>Bambu / Muadil</x:v>
      </x:c>
      <x:c r="D5" s="108" t="n">
        <x:v>1000</x:v>
      </x:c>
      <x:c r="E5" s="108" t="n">
        <x:v>650</x:v>
      </x:c>
      <x:c r="F5" s="108" t="n">
        <x:v>80</x:v>
      </x:c>
      <x:c r="G5" s="108" t="n">
        <x:v>250</x:v>
      </x:c>
      <x:c r="H5" s="95" t="str">
        <x:f>IF($A5="","",IF($E5&lt;=$G5,"Kritik",IF($E5&lt;=$G5*2,"Azalıyor","Yeterli")))</x:f>
        <x:v>Yeterli</x:v>
      </x:c>
      <x:c r="I5" s="124" t="n">
        <x:f>IF($A5="","",IFERROR(VLOOKUP($A5,'Ayarlar'!$A$16:$C$22,2,FALSE),""))</x:f>
        <x:v>750</x:v>
      </x:c>
      <x:c r="J5" s="124" t="n">
        <x:f>IF($A5="","",IFERROR($I5/1000,""))</x:f>
        <x:v>0.75</x:v>
      </x:c>
      <x:c r="K5" s="114" t="n">
        <x:v>46182</x:v>
      </x:c>
      <x:c r="L5" s="95" t="str">
        <x:v>Aparat işleri için.</x:v>
      </x:c>
      <x:c r="M5" s="89"/>
      <x:c r="N5" s="89"/>
      <x:c r="O5" s="89"/>
      <x:c r="P5" s="89"/>
      <x:c r="Q5" s="89"/>
      <x:c r="R5" s="89"/>
      <x:c r="S5" s="89"/>
      <x:c r="T5" s="89"/>
      <x:c r="U5" s="89"/>
      <x:c r="V5" s="89"/>
      <x:c r="W5" s="89"/>
      <x:c r="X5" s="89"/>
      <x:c r="Y5" s="89"/>
      <x:c r="Z5" s="89"/>
    </x:row>
    <x:row r="6">
      <x:c r="A6" s="95" t="str">
        <x:v>ASA</x:v>
      </x:c>
      <x:c r="B6" s="95" t="str">
        <x:v>Siyah</x:v>
      </x:c>
      <x:c r="C6" s="95" t="str">
        <x:v>Bambu / Muadil</x:v>
      </x:c>
      <x:c r="D6" s="108" t="n">
        <x:v>1000</x:v>
      </x:c>
      <x:c r="E6" s="108" t="n">
        <x:v>420</x:v>
      </x:c>
      <x:c r="F6" s="108" t="n">
        <x:v>0</x:v>
      </x:c>
      <x:c r="G6" s="108" t="n">
        <x:v>250</x:v>
      </x:c>
      <x:c r="H6" s="95" t="str">
        <x:f>IF($A6="","",IF($E6&lt;=$G6,"Kritik",IF($E6&lt;=$G6*2,"Azalıyor","Yeterli")))</x:f>
        <x:v>Azalıyor</x:v>
      </x:c>
      <x:c r="I6" s="124" t="n">
        <x:f>IF($A6="","",IFERROR(VLOOKUP($A6,'Ayarlar'!$A$16:$C$22,2,FALSE),""))</x:f>
        <x:v>950</x:v>
      </x:c>
      <x:c r="J6" s="124" t="n">
        <x:f>IF($A6="","",IFERROR($I6/1000,""))</x:f>
        <x:v>0.95</x:v>
      </x:c>
      <x:c r="K6" s="114" t="n">
        <x:v>46182</x:v>
      </x:c>
      <x:c r="L6" s="95" t="str">
        <x:v>Dış ortam parçaları.</x:v>
      </x:c>
      <x:c r="M6" s="89"/>
      <x:c r="N6" s="89"/>
      <x:c r="O6" s="89"/>
      <x:c r="P6" s="89"/>
      <x:c r="Q6" s="89"/>
      <x:c r="R6" s="89"/>
      <x:c r="S6" s="89"/>
      <x:c r="T6" s="89"/>
      <x:c r="U6" s="89"/>
      <x:c r="V6" s="89"/>
      <x:c r="W6" s="89"/>
      <x:c r="X6" s="89"/>
      <x:c r="Y6" s="89"/>
      <x:c r="Z6" s="89"/>
    </x:row>
    <x:row r="7">
      <x:c r="A7" s="95" t="str">
        <x:v>TPU 95A</x:v>
      </x:c>
      <x:c r="B7" s="95" t="str">
        <x:v>Siyah</x:v>
      </x:c>
      <x:c r="C7" s="95" t="str">
        <x:v>Bambu / Muadil</x:v>
      </x:c>
      <x:c r="D7" s="108" t="n">
        <x:v>1000</x:v>
      </x:c>
      <x:c r="E7" s="108" t="n">
        <x:v>300</x:v>
      </x:c>
      <x:c r="F7" s="108" t="n">
        <x:v>0</x:v>
      </x:c>
      <x:c r="G7" s="108" t="n">
        <x:v>250</x:v>
      </x:c>
      <x:c r="H7" s="95" t="str">
        <x:f>IF($A7="","",IF($E7&lt;=$G7,"Kritik",IF($E7&lt;=$G7*2,"Azalıyor","Yeterli")))</x:f>
        <x:v>Azalıyor</x:v>
      </x:c>
      <x:c r="I7" s="124" t="n">
        <x:f>IF($A7="","",IFERROR(VLOOKUP($A7,'Ayarlar'!$A$16:$C$22,2,FALSE),""))</x:f>
        <x:v>1000</x:v>
      </x:c>
      <x:c r="J7" s="124" t="n">
        <x:f>IF($A7="","",IFERROR($I7/1000,""))</x:f>
        <x:v>1</x:v>
      </x:c>
      <x:c r="K7" s="114" t="n">
        <x:v>46182</x:v>
      </x:c>
      <x:c r="L7" s="95" t="str">
        <x:v>Esnek parça.</x:v>
      </x:c>
      <x:c r="M7" s="89"/>
      <x:c r="N7" s="89"/>
      <x:c r="O7" s="89"/>
      <x:c r="P7" s="89"/>
      <x:c r="Q7" s="89"/>
      <x:c r="R7" s="89"/>
      <x:c r="S7" s="89"/>
      <x:c r="T7" s="89"/>
      <x:c r="U7" s="89"/>
      <x:c r="V7" s="89"/>
      <x:c r="W7" s="89"/>
      <x:c r="X7" s="89"/>
      <x:c r="Y7" s="89"/>
      <x:c r="Z7" s="89"/>
    </x:row>
    <x:row r="8">
      <x:c r="A8" s="95" t="str">
        <x:v>Support</x:v>
      </x:c>
      <x:c r="B8" s="95" t="str">
        <x:v>Doğal</x:v>
      </x:c>
      <x:c r="C8" s="95" t="str">
        <x:v>Bambu / Muadil</x:v>
      </x:c>
      <x:c r="D8" s="108" t="n">
        <x:v>500</x:v>
      </x:c>
      <x:c r="E8" s="108" t="n">
        <x:v>180</x:v>
      </x:c>
      <x:c r="F8" s="108" t="n">
        <x:v>0</x:v>
      </x:c>
      <x:c r="G8" s="108" t="n">
        <x:v>150</x:v>
      </x:c>
      <x:c r="H8" s="95" t="str">
        <x:f>IF($A8="","",IF($E8&lt;=$G8,"Kritik",IF($E8&lt;=$G8*2,"Azalıyor","Yeterli")))</x:f>
        <x:v>Azalıyor</x:v>
      </x:c>
      <x:c r="I8" s="124" t="n">
        <x:f>IF($A8="","",IFERROR(VLOOKUP($A8,'Ayarlar'!$A$16:$C$22,2,FALSE),""))</x:f>
        <x:v>1200</x:v>
      </x:c>
      <x:c r="J8" s="124" t="n">
        <x:f>IF($A8="","",IFERROR($I8/1000,""))</x:f>
        <x:v>1.2</x:v>
      </x:c>
      <x:c r="K8" s="114" t="n">
        <x:v>46182</x:v>
      </x:c>
      <x:c r="L8" s="95" t="str">
        <x:v>Destek malzemesi.</x:v>
      </x:c>
      <x:c r="M8" s="89"/>
      <x:c r="N8" s="89"/>
      <x:c r="O8" s="89"/>
      <x:c r="P8" s="89"/>
      <x:c r="Q8" s="89"/>
      <x:c r="R8" s="89"/>
      <x:c r="S8" s="89"/>
      <x:c r="T8" s="89"/>
      <x:c r="U8" s="89"/>
      <x:c r="V8" s="89"/>
      <x:c r="W8" s="89"/>
      <x:c r="X8" s="89"/>
      <x:c r="Y8" s="89"/>
      <x:c r="Z8" s="89"/>
    </x:row>
    <x:row r="9">
      <x:c r="A9" s="95"/>
      <x:c r="B9" s="95"/>
      <x:c r="C9" s="95"/>
      <x:c r="D9" s="108"/>
      <x:c r="E9" s="108"/>
      <x:c r="F9" s="108"/>
      <x:c r="G9" s="108"/>
      <x:c r="H9" s="95" t="str">
        <x:f>IF($A9="","",IF($E9&lt;=$G9,"Kritik",IF($E9&lt;=$G9*2,"Azalıyor","Yeterli")))</x:f>
      </x:c>
      <x:c r="I9" s="124" t="str">
        <x:f>IF($A9="","",IFERROR(VLOOKUP($A9,'Ayarlar'!$A$16:$C$22,2,FALSE),""))</x:f>
      </x:c>
      <x:c r="J9" s="124" t="str">
        <x:f>IF($A9="","",IFERROR($I9/1000,""))</x:f>
      </x:c>
      <x:c r="K9" s="114"/>
      <x:c r="L9" s="95"/>
      <x:c r="M9" s="89"/>
      <x:c r="N9" s="89"/>
      <x:c r="O9" s="89"/>
      <x:c r="P9" s="89"/>
      <x:c r="Q9" s="89"/>
      <x:c r="R9" s="89"/>
      <x:c r="S9" s="89"/>
      <x:c r="T9" s="89"/>
      <x:c r="U9" s="89"/>
      <x:c r="V9" s="89"/>
      <x:c r="W9" s="89"/>
      <x:c r="X9" s="89"/>
      <x:c r="Y9" s="89"/>
      <x:c r="Z9" s="89"/>
    </x:row>
    <x:row r="10">
      <x:c r="A10" s="95"/>
      <x:c r="B10" s="95"/>
      <x:c r="C10" s="95"/>
      <x:c r="D10" s="108"/>
      <x:c r="E10" s="108"/>
      <x:c r="F10" s="108"/>
      <x:c r="G10" s="108"/>
      <x:c r="H10" s="95" t="str">
        <x:f>IF($A10="","",IF($E10&lt;=$G10,"Kritik",IF($E10&lt;=$G10*2,"Azalıyor","Yeterli")))</x:f>
      </x:c>
      <x:c r="I10" s="124" t="str">
        <x:f>IF($A10="","",IFERROR(VLOOKUP($A10,'Ayarlar'!$A$16:$C$22,2,FALSE),""))</x:f>
      </x:c>
      <x:c r="J10" s="124" t="str">
        <x:f>IF($A10="","",IFERROR($I10/1000,""))</x:f>
      </x:c>
      <x:c r="K10" s="114"/>
      <x:c r="L10" s="95"/>
      <x:c r="M10" s="89"/>
      <x:c r="N10" s="89"/>
      <x:c r="O10" s="89"/>
      <x:c r="P10" s="89"/>
      <x:c r="Q10" s="89"/>
      <x:c r="R10" s="89"/>
      <x:c r="S10" s="89"/>
      <x:c r="T10" s="89"/>
      <x:c r="U10" s="89"/>
      <x:c r="V10" s="89"/>
      <x:c r="W10" s="89"/>
      <x:c r="X10" s="89"/>
      <x:c r="Y10" s="89"/>
      <x:c r="Z10" s="89"/>
    </x:row>
    <x:row r="11">
      <x:c r="A11" s="95"/>
      <x:c r="B11" s="95"/>
      <x:c r="C11" s="95"/>
      <x:c r="D11" s="108"/>
      <x:c r="E11" s="108"/>
      <x:c r="F11" s="108"/>
      <x:c r="G11" s="108"/>
      <x:c r="H11" s="95" t="str">
        <x:f>IF($A11="","",IF($E11&lt;=$G11,"Kritik",IF($E11&lt;=$G11*2,"Azalıyor","Yeterli")))</x:f>
      </x:c>
      <x:c r="I11" s="124" t="str">
        <x:f>IF($A11="","",IFERROR(VLOOKUP($A11,'Ayarlar'!$A$16:$C$22,2,FALSE),""))</x:f>
      </x:c>
      <x:c r="J11" s="124" t="str">
        <x:f>IF($A11="","",IFERROR($I11/1000,""))</x:f>
      </x:c>
      <x:c r="K11" s="114"/>
      <x:c r="L11" s="95"/>
      <x:c r="M11" s="89"/>
      <x:c r="N11" s="89"/>
      <x:c r="O11" s="89"/>
      <x:c r="P11" s="89"/>
      <x:c r="Q11" s="89"/>
      <x:c r="R11" s="89"/>
      <x:c r="S11" s="89"/>
      <x:c r="T11" s="89"/>
      <x:c r="U11" s="89"/>
      <x:c r="V11" s="89"/>
      <x:c r="W11" s="89"/>
      <x:c r="X11" s="89"/>
      <x:c r="Y11" s="89"/>
      <x:c r="Z11" s="89"/>
    </x:row>
    <x:row r="12">
      <x:c r="A12" s="95"/>
      <x:c r="B12" s="95"/>
      <x:c r="C12" s="95"/>
      <x:c r="D12" s="108"/>
      <x:c r="E12" s="108"/>
      <x:c r="F12" s="108"/>
      <x:c r="G12" s="108"/>
      <x:c r="H12" s="95" t="str">
        <x:f>IF($A12="","",IF($E12&lt;=$G12,"Kritik",IF($E12&lt;=$G12*2,"Azalıyor","Yeterli")))</x:f>
      </x:c>
      <x:c r="I12" s="124" t="str">
        <x:f>IF($A12="","",IFERROR(VLOOKUP($A12,'Ayarlar'!$A$16:$C$22,2,FALSE),""))</x:f>
      </x:c>
      <x:c r="J12" s="124" t="str">
        <x:f>IF($A12="","",IFERROR($I12/1000,""))</x:f>
      </x:c>
      <x:c r="K12" s="114"/>
      <x:c r="L12" s="95"/>
      <x:c r="M12" s="89"/>
      <x:c r="N12" s="89"/>
      <x:c r="O12" s="89"/>
      <x:c r="P12" s="89"/>
      <x:c r="Q12" s="89"/>
      <x:c r="R12" s="89"/>
      <x:c r="S12" s="89"/>
      <x:c r="T12" s="89"/>
      <x:c r="U12" s="89"/>
      <x:c r="V12" s="89"/>
      <x:c r="W12" s="89"/>
      <x:c r="X12" s="89"/>
      <x:c r="Y12" s="89"/>
      <x:c r="Z12" s="89"/>
    </x:row>
    <x:row r="13">
      <x:c r="A13" s="95"/>
      <x:c r="B13" s="95"/>
      <x:c r="C13" s="95"/>
      <x:c r="D13" s="108"/>
      <x:c r="E13" s="108"/>
      <x:c r="F13" s="108"/>
      <x:c r="G13" s="108"/>
      <x:c r="H13" s="95" t="str">
        <x:f>IF($A13="","",IF($E13&lt;=$G13,"Kritik",IF($E13&lt;=$G13*2,"Azalıyor","Yeterli")))</x:f>
      </x:c>
      <x:c r="I13" s="124" t="str">
        <x:f>IF($A13="","",IFERROR(VLOOKUP($A13,'Ayarlar'!$A$16:$C$22,2,FALSE),""))</x:f>
      </x:c>
      <x:c r="J13" s="124" t="str">
        <x:f>IF($A13="","",IFERROR($I13/1000,""))</x:f>
      </x:c>
      <x:c r="K13" s="114"/>
      <x:c r="L13" s="95"/>
      <x:c r="M13" s="89"/>
      <x:c r="N13" s="89"/>
      <x:c r="O13" s="89"/>
      <x:c r="P13" s="89"/>
      <x:c r="Q13" s="89"/>
      <x:c r="R13" s="89"/>
      <x:c r="S13" s="89"/>
      <x:c r="T13" s="89"/>
      <x:c r="U13" s="89"/>
      <x:c r="V13" s="89"/>
      <x:c r="W13" s="89"/>
      <x:c r="X13" s="89"/>
      <x:c r="Y13" s="89"/>
      <x:c r="Z13" s="89"/>
    </x:row>
    <x:row r="14">
      <x:c r="A14" s="95"/>
      <x:c r="B14" s="95"/>
      <x:c r="C14" s="95"/>
      <x:c r="D14" s="108"/>
      <x:c r="E14" s="108"/>
      <x:c r="F14" s="108"/>
      <x:c r="G14" s="108"/>
      <x:c r="H14" s="95" t="str">
        <x:f>IF($A14="","",IF($E14&lt;=$G14,"Kritik",IF($E14&lt;=$G14*2,"Azalıyor","Yeterli")))</x:f>
      </x:c>
      <x:c r="I14" s="124" t="str">
        <x:f>IF($A14="","",IFERROR(VLOOKUP($A14,'Ayarlar'!$A$16:$C$22,2,FALSE),""))</x:f>
      </x:c>
      <x:c r="J14" s="124" t="str">
        <x:f>IF($A14="","",IFERROR($I14/1000,""))</x:f>
      </x:c>
      <x:c r="K14" s="114"/>
      <x:c r="L14" s="95"/>
      <x:c r="M14" s="89"/>
      <x:c r="N14" s="89"/>
      <x:c r="O14" s="89"/>
      <x:c r="P14" s="89"/>
      <x:c r="Q14" s="89"/>
      <x:c r="R14" s="89"/>
      <x:c r="S14" s="89"/>
      <x:c r="T14" s="89"/>
      <x:c r="U14" s="89"/>
      <x:c r="V14" s="89"/>
      <x:c r="W14" s="89"/>
      <x:c r="X14" s="89"/>
      <x:c r="Y14" s="89"/>
      <x:c r="Z14" s="89"/>
    </x:row>
    <x:row r="15">
      <x:c r="A15" s="95"/>
      <x:c r="B15" s="95"/>
      <x:c r="C15" s="95"/>
      <x:c r="D15" s="108"/>
      <x:c r="E15" s="108"/>
      <x:c r="F15" s="108"/>
      <x:c r="G15" s="108"/>
      <x:c r="H15" s="95" t="str">
        <x:f>IF($A15="","",IF($E15&lt;=$G15,"Kritik",IF($E15&lt;=$G15*2,"Azalıyor","Yeterli")))</x:f>
      </x:c>
      <x:c r="I15" s="124" t="str">
        <x:f>IF($A15="","",IFERROR(VLOOKUP($A15,'Ayarlar'!$A$16:$C$22,2,FALSE),""))</x:f>
      </x:c>
      <x:c r="J15" s="124" t="str">
        <x:f>IF($A15="","",IFERROR($I15/1000,""))</x:f>
      </x:c>
      <x:c r="K15" s="114"/>
      <x:c r="L15" s="95"/>
      <x:c r="M15" s="89"/>
      <x:c r="N15" s="89"/>
      <x:c r="O15" s="89"/>
      <x:c r="P15" s="89"/>
      <x:c r="Q15" s="89"/>
      <x:c r="R15" s="89"/>
      <x:c r="S15" s="89"/>
      <x:c r="T15" s="89"/>
      <x:c r="U15" s="89"/>
      <x:c r="V15" s="89"/>
      <x:c r="W15" s="89"/>
      <x:c r="X15" s="89"/>
      <x:c r="Y15" s="89"/>
      <x:c r="Z15" s="89"/>
    </x:row>
    <x:row r="16">
      <x:c r="A16" s="95"/>
      <x:c r="B16" s="95"/>
      <x:c r="C16" s="95"/>
      <x:c r="D16" s="108"/>
      <x:c r="E16" s="108"/>
      <x:c r="F16" s="108"/>
      <x:c r="G16" s="108"/>
      <x:c r="H16" s="95" t="str">
        <x:f>IF($A16="","",IF($E16&lt;=$G16,"Kritik",IF($E16&lt;=$G16*2,"Azalıyor","Yeterli")))</x:f>
      </x:c>
      <x:c r="I16" s="124" t="str">
        <x:f>IF($A16="","",IFERROR(VLOOKUP($A16,'Ayarlar'!$A$16:$C$22,2,FALSE),""))</x:f>
      </x:c>
      <x:c r="J16" s="124" t="str">
        <x:f>IF($A16="","",IFERROR($I16/1000,""))</x:f>
      </x:c>
      <x:c r="K16" s="114"/>
      <x:c r="L16" s="95"/>
      <x:c r="M16" s="89"/>
      <x:c r="N16" s="89"/>
      <x:c r="O16" s="89"/>
      <x:c r="P16" s="89"/>
      <x:c r="Q16" s="89"/>
      <x:c r="R16" s="89"/>
      <x:c r="S16" s="89"/>
      <x:c r="T16" s="89"/>
      <x:c r="U16" s="89"/>
      <x:c r="V16" s="89"/>
      <x:c r="W16" s="89"/>
      <x:c r="X16" s="89"/>
      <x:c r="Y16" s="89"/>
      <x:c r="Z16" s="89"/>
    </x:row>
    <x:row r="17">
      <x:c r="A17" s="95"/>
      <x:c r="B17" s="95"/>
      <x:c r="C17" s="95"/>
      <x:c r="D17" s="108"/>
      <x:c r="E17" s="108"/>
      <x:c r="F17" s="108"/>
      <x:c r="G17" s="108"/>
      <x:c r="H17" s="95" t="str">
        <x:f>IF($A17="","",IF($E17&lt;=$G17,"Kritik",IF($E17&lt;=$G17*2,"Azalıyor","Yeterli")))</x:f>
      </x:c>
      <x:c r="I17" s="124" t="str">
        <x:f>IF($A17="","",IFERROR(VLOOKUP($A17,'Ayarlar'!$A$16:$C$22,2,FALSE),""))</x:f>
      </x:c>
      <x:c r="J17" s="124" t="str">
        <x:f>IF($A17="","",IFERROR($I17/1000,""))</x:f>
      </x:c>
      <x:c r="K17" s="114"/>
      <x:c r="L17" s="95"/>
      <x:c r="M17" s="89"/>
      <x:c r="N17" s="89"/>
      <x:c r="O17" s="89"/>
      <x:c r="P17" s="89"/>
      <x:c r="Q17" s="89"/>
      <x:c r="R17" s="89"/>
      <x:c r="S17" s="89"/>
      <x:c r="T17" s="89"/>
      <x:c r="U17" s="89"/>
      <x:c r="V17" s="89"/>
      <x:c r="W17" s="89"/>
      <x:c r="X17" s="89"/>
      <x:c r="Y17" s="89"/>
      <x:c r="Z17" s="89"/>
    </x:row>
    <x:row r="18">
      <x:c r="A18" s="95"/>
      <x:c r="B18" s="95"/>
      <x:c r="C18" s="95"/>
      <x:c r="D18" s="108"/>
      <x:c r="E18" s="108"/>
      <x:c r="F18" s="108"/>
      <x:c r="G18" s="108"/>
      <x:c r="H18" s="95" t="str">
        <x:f>IF($A18="","",IF($E18&lt;=$G18,"Kritik",IF($E18&lt;=$G18*2,"Azalıyor","Yeterli")))</x:f>
      </x:c>
      <x:c r="I18" s="124" t="str">
        <x:f>IF($A18="","",IFERROR(VLOOKUP($A18,'Ayarlar'!$A$16:$C$22,2,FALSE),""))</x:f>
      </x:c>
      <x:c r="J18" s="124" t="str">
        <x:f>IF($A18="","",IFERROR($I18/1000,""))</x:f>
      </x:c>
      <x:c r="K18" s="114"/>
      <x:c r="L18" s="95"/>
      <x:c r="M18" s="89"/>
      <x:c r="N18" s="89"/>
      <x:c r="O18" s="89"/>
      <x:c r="P18" s="89"/>
      <x:c r="Q18" s="89"/>
      <x:c r="R18" s="89"/>
      <x:c r="S18" s="89"/>
      <x:c r="T18" s="89"/>
      <x:c r="U18" s="89"/>
      <x:c r="V18" s="89"/>
      <x:c r="W18" s="89"/>
      <x:c r="X18" s="89"/>
      <x:c r="Y18" s="89"/>
      <x:c r="Z18" s="89"/>
    </x:row>
    <x:row r="19">
      <x:c r="A19" s="95"/>
      <x:c r="B19" s="95"/>
      <x:c r="C19" s="95"/>
      <x:c r="D19" s="108"/>
      <x:c r="E19" s="108"/>
      <x:c r="F19" s="108"/>
      <x:c r="G19" s="108"/>
      <x:c r="H19" s="95" t="str">
        <x:f>IF($A19="","",IF($E19&lt;=$G19,"Kritik",IF($E19&lt;=$G19*2,"Azalıyor","Yeterli")))</x:f>
      </x:c>
      <x:c r="I19" s="124" t="str">
        <x:f>IF($A19="","",IFERROR(VLOOKUP($A19,'Ayarlar'!$A$16:$C$22,2,FALSE),""))</x:f>
      </x:c>
      <x:c r="J19" s="124" t="str">
        <x:f>IF($A19="","",IFERROR($I19/1000,""))</x:f>
      </x:c>
      <x:c r="K19" s="114"/>
      <x:c r="L19" s="95"/>
      <x:c r="M19" s="89"/>
      <x:c r="N19" s="89"/>
      <x:c r="O19" s="89"/>
      <x:c r="P19" s="89"/>
      <x:c r="Q19" s="89"/>
      <x:c r="R19" s="89"/>
      <x:c r="S19" s="89"/>
      <x:c r="T19" s="89"/>
      <x:c r="U19" s="89"/>
      <x:c r="V19" s="89"/>
      <x:c r="W19" s="89"/>
      <x:c r="X19" s="89"/>
      <x:c r="Y19" s="89"/>
      <x:c r="Z19" s="89"/>
    </x:row>
    <x:row r="20">
      <x:c r="A20" s="95"/>
      <x:c r="B20" s="95"/>
      <x:c r="C20" s="95"/>
      <x:c r="D20" s="108"/>
      <x:c r="E20" s="108"/>
      <x:c r="F20" s="108"/>
      <x:c r="G20" s="108"/>
      <x:c r="H20" s="95" t="str">
        <x:f>IF($A20="","",IF($E20&lt;=$G20,"Kritik",IF($E20&lt;=$G20*2,"Azalıyor","Yeterli")))</x:f>
      </x:c>
      <x:c r="I20" s="124" t="str">
        <x:f>IF($A20="","",IFERROR(VLOOKUP($A20,'Ayarlar'!$A$16:$C$22,2,FALSE),""))</x:f>
      </x:c>
      <x:c r="J20" s="124" t="str">
        <x:f>IF($A20="","",IFERROR($I20/1000,""))</x:f>
      </x:c>
      <x:c r="K20" s="114"/>
      <x:c r="L20" s="95"/>
      <x:c r="M20" s="89"/>
      <x:c r="N20" s="89"/>
      <x:c r="O20" s="89"/>
      <x:c r="P20" s="89"/>
      <x:c r="Q20" s="89"/>
      <x:c r="R20" s="89"/>
      <x:c r="S20" s="89"/>
      <x:c r="T20" s="89"/>
      <x:c r="U20" s="89"/>
      <x:c r="V20" s="89"/>
      <x:c r="W20" s="89"/>
      <x:c r="X20" s="89"/>
      <x:c r="Y20" s="89"/>
      <x:c r="Z20" s="89"/>
    </x:row>
    <x:row r="21">
      <x:c r="A21" s="95"/>
      <x:c r="B21" s="95"/>
      <x:c r="C21" s="95"/>
      <x:c r="D21" s="108"/>
      <x:c r="E21" s="108"/>
      <x:c r="F21" s="108"/>
      <x:c r="G21" s="108"/>
      <x:c r="H21" s="95" t="str">
        <x:f>IF($A21="","",IF($E21&lt;=$G21,"Kritik",IF($E21&lt;=$G21*2,"Azalıyor","Yeterli")))</x:f>
      </x:c>
      <x:c r="I21" s="124" t="str">
        <x:f>IF($A21="","",IFERROR(VLOOKUP($A21,'Ayarlar'!$A$16:$C$22,2,FALSE),""))</x:f>
      </x:c>
      <x:c r="J21" s="124" t="str">
        <x:f>IF($A21="","",IFERROR($I21/1000,""))</x:f>
      </x:c>
      <x:c r="K21" s="114"/>
      <x:c r="L21" s="95"/>
      <x:c r="M21" s="89"/>
      <x:c r="N21" s="89"/>
      <x:c r="O21" s="89"/>
      <x:c r="P21" s="89"/>
      <x:c r="Q21" s="89"/>
      <x:c r="R21" s="89"/>
      <x:c r="S21" s="89"/>
      <x:c r="T21" s="89"/>
      <x:c r="U21" s="89"/>
      <x:c r="V21" s="89"/>
      <x:c r="W21" s="89"/>
      <x:c r="X21" s="89"/>
      <x:c r="Y21" s="89"/>
      <x:c r="Z21" s="89"/>
    </x:row>
    <x:row r="22">
      <x:c r="A22" s="95"/>
      <x:c r="B22" s="95"/>
      <x:c r="C22" s="95"/>
      <x:c r="D22" s="108"/>
      <x:c r="E22" s="108"/>
      <x:c r="F22" s="108"/>
      <x:c r="G22" s="108"/>
      <x:c r="H22" s="95" t="str">
        <x:f>IF($A22="","",IF($E22&lt;=$G22,"Kritik",IF($E22&lt;=$G22*2,"Azalıyor","Yeterli")))</x:f>
      </x:c>
      <x:c r="I22" s="124" t="str">
        <x:f>IF($A22="","",IFERROR(VLOOKUP($A22,'Ayarlar'!$A$16:$C$22,2,FALSE),""))</x:f>
      </x:c>
      <x:c r="J22" s="124" t="str">
        <x:f>IF($A22="","",IFERROR($I22/1000,""))</x:f>
      </x:c>
      <x:c r="K22" s="114"/>
      <x:c r="L22" s="95"/>
      <x:c r="M22" s="89"/>
      <x:c r="N22" s="89"/>
      <x:c r="O22" s="89"/>
      <x:c r="P22" s="89"/>
      <x:c r="Q22" s="89"/>
      <x:c r="R22" s="89"/>
      <x:c r="S22" s="89"/>
      <x:c r="T22" s="89"/>
      <x:c r="U22" s="89"/>
      <x:c r="V22" s="89"/>
      <x:c r="W22" s="89"/>
      <x:c r="X22" s="89"/>
      <x:c r="Y22" s="89"/>
      <x:c r="Z22" s="89"/>
    </x:row>
    <x:row r="23">
      <x:c r="A23" s="95"/>
      <x:c r="B23" s="95"/>
      <x:c r="C23" s="95"/>
      <x:c r="D23" s="108"/>
      <x:c r="E23" s="108"/>
      <x:c r="F23" s="108"/>
      <x:c r="G23" s="108"/>
      <x:c r="H23" s="95" t="str">
        <x:f>IF($A23="","",IF($E23&lt;=$G23,"Kritik",IF($E23&lt;=$G23*2,"Azalıyor","Yeterli")))</x:f>
      </x:c>
      <x:c r="I23" s="124" t="str">
        <x:f>IF($A23="","",IFERROR(VLOOKUP($A23,'Ayarlar'!$A$16:$C$22,2,FALSE),""))</x:f>
      </x:c>
      <x:c r="J23" s="124" t="str">
        <x:f>IF($A23="","",IFERROR($I23/1000,""))</x:f>
      </x:c>
      <x:c r="K23" s="114"/>
      <x:c r="L23" s="95"/>
      <x:c r="M23" s="89"/>
      <x:c r="N23" s="89"/>
      <x:c r="O23" s="89"/>
      <x:c r="P23" s="89"/>
      <x:c r="Q23" s="89"/>
      <x:c r="R23" s="89"/>
      <x:c r="S23" s="89"/>
      <x:c r="T23" s="89"/>
      <x:c r="U23" s="89"/>
      <x:c r="V23" s="89"/>
      <x:c r="W23" s="89"/>
      <x:c r="X23" s="89"/>
      <x:c r="Y23" s="89"/>
      <x:c r="Z23" s="89"/>
    </x:row>
    <x:row r="24">
      <x:c r="A24" s="95"/>
      <x:c r="B24" s="95"/>
      <x:c r="C24" s="95"/>
      <x:c r="D24" s="108"/>
      <x:c r="E24" s="108"/>
      <x:c r="F24" s="108"/>
      <x:c r="G24" s="108"/>
      <x:c r="H24" s="95" t="str">
        <x:f>IF($A24="","",IF($E24&lt;=$G24,"Kritik",IF($E24&lt;=$G24*2,"Azalıyor","Yeterli")))</x:f>
      </x:c>
      <x:c r="I24" s="124" t="str">
        <x:f>IF($A24="","",IFERROR(VLOOKUP($A24,'Ayarlar'!$A$16:$C$22,2,FALSE),""))</x:f>
      </x:c>
      <x:c r="J24" s="124" t="str">
        <x:f>IF($A24="","",IFERROR($I24/1000,""))</x:f>
      </x:c>
      <x:c r="K24" s="114"/>
      <x:c r="L24" s="95"/>
      <x:c r="M24" s="89"/>
      <x:c r="N24" s="89"/>
      <x:c r="O24" s="89"/>
      <x:c r="P24" s="89"/>
      <x:c r="Q24" s="89"/>
      <x:c r="R24" s="89"/>
      <x:c r="S24" s="89"/>
      <x:c r="T24" s="89"/>
      <x:c r="U24" s="89"/>
      <x:c r="V24" s="89"/>
      <x:c r="W24" s="89"/>
      <x:c r="X24" s="89"/>
      <x:c r="Y24" s="89"/>
      <x:c r="Z24" s="89"/>
    </x:row>
    <x:row r="25">
      <x:c r="A25" s="95"/>
      <x:c r="B25" s="95"/>
      <x:c r="C25" s="95"/>
      <x:c r="D25" s="108"/>
      <x:c r="E25" s="108"/>
      <x:c r="F25" s="108"/>
      <x:c r="G25" s="108"/>
      <x:c r="H25" s="95" t="str">
        <x:f>IF($A25="","",IF($E25&lt;=$G25,"Kritik",IF($E25&lt;=$G25*2,"Azalıyor","Yeterli")))</x:f>
      </x:c>
      <x:c r="I25" s="124" t="str">
        <x:f>IF($A25="","",IFERROR(VLOOKUP($A25,'Ayarlar'!$A$16:$C$22,2,FALSE),""))</x:f>
      </x:c>
      <x:c r="J25" s="124" t="str">
        <x:f>IF($A25="","",IFERROR($I25/1000,""))</x:f>
      </x:c>
      <x:c r="K25" s="114"/>
      <x:c r="L25" s="95"/>
      <x:c r="M25" s="89"/>
      <x:c r="N25" s="89"/>
      <x:c r="O25" s="89"/>
      <x:c r="P25" s="89"/>
      <x:c r="Q25" s="89"/>
      <x:c r="R25" s="89"/>
      <x:c r="S25" s="89"/>
      <x:c r="T25" s="89"/>
      <x:c r="U25" s="89"/>
      <x:c r="V25" s="89"/>
      <x:c r="W25" s="89"/>
      <x:c r="X25" s="89"/>
      <x:c r="Y25" s="89"/>
      <x:c r="Z25" s="89"/>
    </x:row>
    <x:row r="26">
      <x:c r="A26" s="95"/>
      <x:c r="B26" s="95"/>
      <x:c r="C26" s="95"/>
      <x:c r="D26" s="108"/>
      <x:c r="E26" s="108"/>
      <x:c r="F26" s="108"/>
      <x:c r="G26" s="108"/>
      <x:c r="H26" s="95" t="str">
        <x:f>IF($A26="","",IF($E26&lt;=$G26,"Kritik",IF($E26&lt;=$G26*2,"Azalıyor","Yeterli")))</x:f>
      </x:c>
      <x:c r="I26" s="124" t="str">
        <x:f>IF($A26="","",IFERROR(VLOOKUP($A26,'Ayarlar'!$A$16:$C$22,2,FALSE),""))</x:f>
      </x:c>
      <x:c r="J26" s="124" t="str">
        <x:f>IF($A26="","",IFERROR($I26/1000,""))</x:f>
      </x:c>
      <x:c r="K26" s="114"/>
      <x:c r="L26" s="95"/>
      <x:c r="M26" s="89"/>
      <x:c r="N26" s="89"/>
      <x:c r="O26" s="89"/>
      <x:c r="P26" s="89"/>
      <x:c r="Q26" s="89"/>
      <x:c r="R26" s="89"/>
      <x:c r="S26" s="89"/>
      <x:c r="T26" s="89"/>
      <x:c r="U26" s="89"/>
      <x:c r="V26" s="89"/>
      <x:c r="W26" s="89"/>
      <x:c r="X26" s="89"/>
      <x:c r="Y26" s="89"/>
      <x:c r="Z26" s="89"/>
    </x:row>
    <x:row r="27">
      <x:c r="A27" s="95"/>
      <x:c r="B27" s="95"/>
      <x:c r="C27" s="95"/>
      <x:c r="D27" s="108"/>
      <x:c r="E27" s="108"/>
      <x:c r="F27" s="108"/>
      <x:c r="G27" s="108"/>
      <x:c r="H27" s="95" t="str">
        <x:f>IF($A27="","",IF($E27&lt;=$G27,"Kritik",IF($E27&lt;=$G27*2,"Azalıyor","Yeterli")))</x:f>
      </x:c>
      <x:c r="I27" s="124" t="str">
        <x:f>IF($A27="","",IFERROR(VLOOKUP($A27,'Ayarlar'!$A$16:$C$22,2,FALSE),""))</x:f>
      </x:c>
      <x:c r="J27" s="124" t="str">
        <x:f>IF($A27="","",IFERROR($I27/1000,""))</x:f>
      </x:c>
      <x:c r="K27" s="114"/>
      <x:c r="L27" s="95"/>
      <x:c r="M27" s="89"/>
      <x:c r="N27" s="89"/>
      <x:c r="O27" s="89"/>
      <x:c r="P27" s="89"/>
      <x:c r="Q27" s="89"/>
      <x:c r="R27" s="89"/>
      <x:c r="S27" s="89"/>
      <x:c r="T27" s="89"/>
      <x:c r="U27" s="89"/>
      <x:c r="V27" s="89"/>
      <x:c r="W27" s="89"/>
      <x:c r="X27" s="89"/>
      <x:c r="Y27" s="89"/>
      <x:c r="Z27" s="89"/>
    </x:row>
    <x:row r="28">
      <x:c r="A28" s="95"/>
      <x:c r="B28" s="95"/>
      <x:c r="C28" s="95"/>
      <x:c r="D28" s="108"/>
      <x:c r="E28" s="108"/>
      <x:c r="F28" s="108"/>
      <x:c r="G28" s="108"/>
      <x:c r="H28" s="95" t="str">
        <x:f>IF($A28="","",IF($E28&lt;=$G28,"Kritik",IF($E28&lt;=$G28*2,"Azalıyor","Yeterli")))</x:f>
      </x:c>
      <x:c r="I28" s="124" t="str">
        <x:f>IF($A28="","",IFERROR(VLOOKUP($A28,'Ayarlar'!$A$16:$C$22,2,FALSE),""))</x:f>
      </x:c>
      <x:c r="J28" s="124" t="str">
        <x:f>IF($A28="","",IFERROR($I28/1000,""))</x:f>
      </x:c>
      <x:c r="K28" s="114"/>
      <x:c r="L28" s="95"/>
      <x:c r="M28" s="89"/>
      <x:c r="N28" s="89"/>
      <x:c r="O28" s="89"/>
      <x:c r="P28" s="89"/>
      <x:c r="Q28" s="89"/>
      <x:c r="R28" s="89"/>
      <x:c r="S28" s="89"/>
      <x:c r="T28" s="89"/>
      <x:c r="U28" s="89"/>
      <x:c r="V28" s="89"/>
      <x:c r="W28" s="89"/>
      <x:c r="X28" s="89"/>
      <x:c r="Y28" s="89"/>
      <x:c r="Z28" s="89"/>
    </x:row>
    <x:row r="29">
      <x:c r="A29" s="95"/>
      <x:c r="B29" s="95"/>
      <x:c r="C29" s="95"/>
      <x:c r="D29" s="108"/>
      <x:c r="E29" s="108"/>
      <x:c r="F29" s="108"/>
      <x:c r="G29" s="108"/>
      <x:c r="H29" s="95" t="str">
        <x:f>IF($A29="","",IF($E29&lt;=$G29,"Kritik",IF($E29&lt;=$G29*2,"Azalıyor","Yeterli")))</x:f>
      </x:c>
      <x:c r="I29" s="124" t="str">
        <x:f>IF($A29="","",IFERROR(VLOOKUP($A29,'Ayarlar'!$A$16:$C$22,2,FALSE),""))</x:f>
      </x:c>
      <x:c r="J29" s="124" t="str">
        <x:f>IF($A29="","",IFERROR($I29/1000,""))</x:f>
      </x:c>
      <x:c r="K29" s="114"/>
      <x:c r="L29" s="95"/>
      <x:c r="M29" s="89"/>
      <x:c r="N29" s="89"/>
      <x:c r="O29" s="89"/>
      <x:c r="P29" s="89"/>
      <x:c r="Q29" s="89"/>
      <x:c r="R29" s="89"/>
      <x:c r="S29" s="89"/>
      <x:c r="T29" s="89"/>
      <x:c r="U29" s="89"/>
      <x:c r="V29" s="89"/>
      <x:c r="W29" s="89"/>
      <x:c r="X29" s="89"/>
      <x:c r="Y29" s="89"/>
      <x:c r="Z29" s="89"/>
    </x:row>
    <x:row r="30">
      <x:c r="A30" s="95"/>
      <x:c r="B30" s="95"/>
      <x:c r="C30" s="95"/>
      <x:c r="D30" s="108"/>
      <x:c r="E30" s="108"/>
      <x:c r="F30" s="108"/>
      <x:c r="G30" s="108"/>
      <x:c r="H30" s="95" t="str">
        <x:f>IF($A30="","",IF($E30&lt;=$G30,"Kritik",IF($E30&lt;=$G30*2,"Azalıyor","Yeterli")))</x:f>
      </x:c>
      <x:c r="I30" s="124" t="str">
        <x:f>IF($A30="","",IFERROR(VLOOKUP($A30,'Ayarlar'!$A$16:$C$22,2,FALSE),""))</x:f>
      </x:c>
      <x:c r="J30" s="124" t="str">
        <x:f>IF($A30="","",IFERROR($I30/1000,""))</x:f>
      </x:c>
      <x:c r="K30" s="114"/>
      <x:c r="L30" s="95"/>
      <x:c r="M30" s="89"/>
      <x:c r="N30" s="89"/>
      <x:c r="O30" s="89"/>
      <x:c r="P30" s="89"/>
      <x:c r="Q30" s="89"/>
      <x:c r="R30" s="89"/>
      <x:c r="S30" s="89"/>
      <x:c r="T30" s="89"/>
      <x:c r="U30" s="89"/>
      <x:c r="V30" s="89"/>
      <x:c r="W30" s="89"/>
      <x:c r="X30" s="89"/>
      <x:c r="Y30" s="89"/>
      <x:c r="Z30" s="89"/>
    </x:row>
    <x:row r="31">
      <x:c r="A31" s="95"/>
      <x:c r="B31" s="95"/>
      <x:c r="C31" s="95"/>
      <x:c r="D31" s="108"/>
      <x:c r="E31" s="108"/>
      <x:c r="F31" s="108"/>
      <x:c r="G31" s="108"/>
      <x:c r="H31" s="95" t="str">
        <x:f>IF($A31="","",IF($E31&lt;=$G31,"Kritik",IF($E31&lt;=$G31*2,"Azalıyor","Yeterli")))</x:f>
      </x:c>
      <x:c r="I31" s="124" t="str">
        <x:f>IF($A31="","",IFERROR(VLOOKUP($A31,'Ayarlar'!$A$16:$C$22,2,FALSE),""))</x:f>
      </x:c>
      <x:c r="J31" s="124" t="str">
        <x:f>IF($A31="","",IFERROR($I31/1000,""))</x:f>
      </x:c>
      <x:c r="K31" s="114"/>
      <x:c r="L31" s="95"/>
      <x:c r="M31" s="89"/>
      <x:c r="N31" s="89"/>
      <x:c r="O31" s="89"/>
      <x:c r="P31" s="89"/>
      <x:c r="Q31" s="89"/>
      <x:c r="R31" s="89"/>
      <x:c r="S31" s="89"/>
      <x:c r="T31" s="89"/>
      <x:c r="U31" s="89"/>
      <x:c r="V31" s="89"/>
      <x:c r="W31" s="89"/>
      <x:c r="X31" s="89"/>
      <x:c r="Y31" s="89"/>
      <x:c r="Z31" s="89"/>
    </x:row>
    <x:row r="32">
      <x:c r="A32" s="95"/>
      <x:c r="B32" s="95"/>
      <x:c r="C32" s="95"/>
      <x:c r="D32" s="108"/>
      <x:c r="E32" s="108"/>
      <x:c r="F32" s="108"/>
      <x:c r="G32" s="108"/>
      <x:c r="H32" s="95" t="str">
        <x:f>IF($A32="","",IF($E32&lt;=$G32,"Kritik",IF($E32&lt;=$G32*2,"Azalıyor","Yeterli")))</x:f>
      </x:c>
      <x:c r="I32" s="124" t="str">
        <x:f>IF($A32="","",IFERROR(VLOOKUP($A32,'Ayarlar'!$A$16:$C$22,2,FALSE),""))</x:f>
      </x:c>
      <x:c r="J32" s="124" t="str">
        <x:f>IF($A32="","",IFERROR($I32/1000,""))</x:f>
      </x:c>
      <x:c r="K32" s="114"/>
      <x:c r="L32" s="95"/>
      <x:c r="M32" s="89"/>
      <x:c r="N32" s="89"/>
      <x:c r="O32" s="89"/>
      <x:c r="P32" s="89"/>
      <x:c r="Q32" s="89"/>
      <x:c r="R32" s="89"/>
      <x:c r="S32" s="89"/>
      <x:c r="T32" s="89"/>
      <x:c r="U32" s="89"/>
      <x:c r="V32" s="89"/>
      <x:c r="W32" s="89"/>
      <x:c r="X32" s="89"/>
      <x:c r="Y32" s="89"/>
      <x:c r="Z32" s="89"/>
    </x:row>
    <x:row r="33">
      <x:c r="A33" s="95"/>
      <x:c r="B33" s="95"/>
      <x:c r="C33" s="95"/>
      <x:c r="D33" s="108"/>
      <x:c r="E33" s="108"/>
      <x:c r="F33" s="108"/>
      <x:c r="G33" s="108"/>
      <x:c r="H33" s="95" t="str">
        <x:f>IF($A33="","",IF($E33&lt;=$G33,"Kritik",IF($E33&lt;=$G33*2,"Azalıyor","Yeterli")))</x:f>
      </x:c>
      <x:c r="I33" s="124" t="str">
        <x:f>IF($A33="","",IFERROR(VLOOKUP($A33,'Ayarlar'!$A$16:$C$22,2,FALSE),""))</x:f>
      </x:c>
      <x:c r="J33" s="124" t="str">
        <x:f>IF($A33="","",IFERROR($I33/1000,""))</x:f>
      </x:c>
      <x:c r="K33" s="114"/>
      <x:c r="L33" s="95"/>
      <x:c r="M33" s="89"/>
      <x:c r="N33" s="89"/>
      <x:c r="O33" s="89"/>
      <x:c r="P33" s="89"/>
      <x:c r="Q33" s="89"/>
      <x:c r="R33" s="89"/>
      <x:c r="S33" s="89"/>
      <x:c r="T33" s="89"/>
      <x:c r="U33" s="89"/>
      <x:c r="V33" s="89"/>
      <x:c r="W33" s="89"/>
      <x:c r="X33" s="89"/>
      <x:c r="Y33" s="89"/>
      <x:c r="Z33" s="89"/>
    </x:row>
    <x:row r="34">
      <x:c r="A34" s="95"/>
      <x:c r="B34" s="95"/>
      <x:c r="C34" s="95"/>
      <x:c r="D34" s="108"/>
      <x:c r="E34" s="108"/>
      <x:c r="F34" s="108"/>
      <x:c r="G34" s="108"/>
      <x:c r="H34" s="95" t="str">
        <x:f>IF($A34="","",IF($E34&lt;=$G34,"Kritik",IF($E34&lt;=$G34*2,"Azalıyor","Yeterli")))</x:f>
      </x:c>
      <x:c r="I34" s="124" t="str">
        <x:f>IF($A34="","",IFERROR(VLOOKUP($A34,'Ayarlar'!$A$16:$C$22,2,FALSE),""))</x:f>
      </x:c>
      <x:c r="J34" s="124" t="str">
        <x:f>IF($A34="","",IFERROR($I34/1000,""))</x:f>
      </x:c>
      <x:c r="K34" s="114"/>
      <x:c r="L34" s="95"/>
      <x:c r="M34" s="89"/>
      <x:c r="N34" s="89"/>
      <x:c r="O34" s="89"/>
      <x:c r="P34" s="89"/>
      <x:c r="Q34" s="89"/>
      <x:c r="R34" s="89"/>
      <x:c r="S34" s="89"/>
      <x:c r="T34" s="89"/>
      <x:c r="U34" s="89"/>
      <x:c r="V34" s="89"/>
      <x:c r="W34" s="89"/>
      <x:c r="X34" s="89"/>
      <x:c r="Y34" s="89"/>
      <x:c r="Z34" s="89"/>
    </x:row>
    <x:row r="35">
      <x:c r="A35" s="95"/>
      <x:c r="B35" s="95"/>
      <x:c r="C35" s="95"/>
      <x:c r="D35" s="108"/>
      <x:c r="E35" s="108"/>
      <x:c r="F35" s="108"/>
      <x:c r="G35" s="108"/>
      <x:c r="H35" s="95" t="str">
        <x:f>IF($A35="","",IF($E35&lt;=$G35,"Kritik",IF($E35&lt;=$G35*2,"Azalıyor","Yeterli")))</x:f>
      </x:c>
      <x:c r="I35" s="124" t="str">
        <x:f>IF($A35="","",IFERROR(VLOOKUP($A35,'Ayarlar'!$A$16:$C$22,2,FALSE),""))</x:f>
      </x:c>
      <x:c r="J35" s="124" t="str">
        <x:f>IF($A35="","",IFERROR($I35/1000,""))</x:f>
      </x:c>
      <x:c r="K35" s="114"/>
      <x:c r="L35" s="95"/>
      <x:c r="M35" s="89"/>
      <x:c r="N35" s="89"/>
      <x:c r="O35" s="89"/>
      <x:c r="P35" s="89"/>
      <x:c r="Q35" s="89"/>
      <x:c r="R35" s="89"/>
      <x:c r="S35" s="89"/>
      <x:c r="T35" s="89"/>
      <x:c r="U35" s="89"/>
      <x:c r="V35" s="89"/>
      <x:c r="W35" s="89"/>
      <x:c r="X35" s="89"/>
      <x:c r="Y35" s="89"/>
      <x:c r="Z35" s="89"/>
    </x:row>
    <x:row r="36">
      <x:c r="A36" s="95"/>
      <x:c r="B36" s="95"/>
      <x:c r="C36" s="95"/>
      <x:c r="D36" s="108"/>
      <x:c r="E36" s="108"/>
      <x:c r="F36" s="108"/>
      <x:c r="G36" s="108"/>
      <x:c r="H36" s="95" t="str">
        <x:f>IF($A36="","",IF($E36&lt;=$G36,"Kritik",IF($E36&lt;=$G36*2,"Azalıyor","Yeterli")))</x:f>
      </x:c>
      <x:c r="I36" s="124" t="str">
        <x:f>IF($A36="","",IFERROR(VLOOKUP($A36,'Ayarlar'!$A$16:$C$22,2,FALSE),""))</x:f>
      </x:c>
      <x:c r="J36" s="124" t="str">
        <x:f>IF($A36="","",IFERROR($I36/1000,""))</x:f>
      </x:c>
      <x:c r="K36" s="114"/>
      <x:c r="L36" s="95"/>
      <x:c r="M36" s="89"/>
      <x:c r="N36" s="89"/>
      <x:c r="O36" s="89"/>
      <x:c r="P36" s="89"/>
      <x:c r="Q36" s="89"/>
      <x:c r="R36" s="89"/>
      <x:c r="S36" s="89"/>
      <x:c r="T36" s="89"/>
      <x:c r="U36" s="89"/>
      <x:c r="V36" s="89"/>
      <x:c r="W36" s="89"/>
      <x:c r="X36" s="89"/>
      <x:c r="Y36" s="89"/>
      <x:c r="Z36" s="89"/>
    </x:row>
    <x:row r="37">
      <x:c r="A37" s="95"/>
      <x:c r="B37" s="95"/>
      <x:c r="C37" s="95"/>
      <x:c r="D37" s="108"/>
      <x:c r="E37" s="108"/>
      <x:c r="F37" s="108"/>
      <x:c r="G37" s="108"/>
      <x:c r="H37" s="95" t="str">
        <x:f>IF($A37="","",IF($E37&lt;=$G37,"Kritik",IF($E37&lt;=$G37*2,"Azalıyor","Yeterli")))</x:f>
      </x:c>
      <x:c r="I37" s="124" t="str">
        <x:f>IF($A37="","",IFERROR(VLOOKUP($A37,'Ayarlar'!$A$16:$C$22,2,FALSE),""))</x:f>
      </x:c>
      <x:c r="J37" s="124" t="str">
        <x:f>IF($A37="","",IFERROR($I37/1000,""))</x:f>
      </x:c>
      <x:c r="K37" s="114"/>
      <x:c r="L37" s="95"/>
      <x:c r="M37" s="89"/>
      <x:c r="N37" s="89"/>
      <x:c r="O37" s="89"/>
      <x:c r="P37" s="89"/>
      <x:c r="Q37" s="89"/>
      <x:c r="R37" s="89"/>
      <x:c r="S37" s="89"/>
      <x:c r="T37" s="89"/>
      <x:c r="U37" s="89"/>
      <x:c r="V37" s="89"/>
      <x:c r="W37" s="89"/>
      <x:c r="X37" s="89"/>
      <x:c r="Y37" s="89"/>
      <x:c r="Z37" s="89"/>
    </x:row>
    <x:row r="38">
      <x:c r="A38" s="95"/>
      <x:c r="B38" s="95"/>
      <x:c r="C38" s="95"/>
      <x:c r="D38" s="108"/>
      <x:c r="E38" s="108"/>
      <x:c r="F38" s="108"/>
      <x:c r="G38" s="108"/>
      <x:c r="H38" s="95" t="str">
        <x:f>IF($A38="","",IF($E38&lt;=$G38,"Kritik",IF($E38&lt;=$G38*2,"Azalıyor","Yeterli")))</x:f>
      </x:c>
      <x:c r="I38" s="124" t="str">
        <x:f>IF($A38="","",IFERROR(VLOOKUP($A38,'Ayarlar'!$A$16:$C$22,2,FALSE),""))</x:f>
      </x:c>
      <x:c r="J38" s="124" t="str">
        <x:f>IF($A38="","",IFERROR($I38/1000,""))</x:f>
      </x:c>
      <x:c r="K38" s="114"/>
      <x:c r="L38" s="95"/>
      <x:c r="M38" s="89"/>
      <x:c r="N38" s="89"/>
      <x:c r="O38" s="89"/>
      <x:c r="P38" s="89"/>
      <x:c r="Q38" s="89"/>
      <x:c r="R38" s="89"/>
      <x:c r="S38" s="89"/>
      <x:c r="T38" s="89"/>
      <x:c r="U38" s="89"/>
      <x:c r="V38" s="89"/>
      <x:c r="W38" s="89"/>
      <x:c r="X38" s="89"/>
      <x:c r="Y38" s="89"/>
      <x:c r="Z38" s="89"/>
    </x:row>
    <x:row r="39">
      <x:c r="A39" s="95"/>
      <x:c r="B39" s="95"/>
      <x:c r="C39" s="95"/>
      <x:c r="D39" s="108"/>
      <x:c r="E39" s="108"/>
      <x:c r="F39" s="108"/>
      <x:c r="G39" s="108"/>
      <x:c r="H39" s="95" t="str">
        <x:f>IF($A39="","",IF($E39&lt;=$G39,"Kritik",IF($E39&lt;=$G39*2,"Azalıyor","Yeterli")))</x:f>
      </x:c>
      <x:c r="I39" s="124" t="str">
        <x:f>IF($A39="","",IFERROR(VLOOKUP($A39,'Ayarlar'!$A$16:$C$22,2,FALSE),""))</x:f>
      </x:c>
      <x:c r="J39" s="124" t="str">
        <x:f>IF($A39="","",IFERROR($I39/1000,""))</x:f>
      </x:c>
      <x:c r="K39" s="114"/>
      <x:c r="L39" s="95"/>
      <x:c r="M39" s="89"/>
      <x:c r="N39" s="89"/>
      <x:c r="O39" s="89"/>
      <x:c r="P39" s="89"/>
      <x:c r="Q39" s="89"/>
      <x:c r="R39" s="89"/>
      <x:c r="S39" s="89"/>
      <x:c r="T39" s="89"/>
      <x:c r="U39" s="89"/>
      <x:c r="V39" s="89"/>
      <x:c r="W39" s="89"/>
      <x:c r="X39" s="89"/>
      <x:c r="Y39" s="89"/>
      <x:c r="Z39" s="89"/>
    </x:row>
    <x:row r="40">
      <x:c r="A40" s="95"/>
      <x:c r="B40" s="95"/>
      <x:c r="C40" s="95"/>
      <x:c r="D40" s="108"/>
      <x:c r="E40" s="108"/>
      <x:c r="F40" s="108"/>
      <x:c r="G40" s="108"/>
      <x:c r="H40" s="95" t="str">
        <x:f>IF($A40="","",IF($E40&lt;=$G40,"Kritik",IF($E40&lt;=$G40*2,"Azalıyor","Yeterli")))</x:f>
      </x:c>
      <x:c r="I40" s="124" t="str">
        <x:f>IF($A40="","",IFERROR(VLOOKUP($A40,'Ayarlar'!$A$16:$C$22,2,FALSE),""))</x:f>
      </x:c>
      <x:c r="J40" s="124" t="str">
        <x:f>IF($A40="","",IFERROR($I40/1000,""))</x:f>
      </x:c>
      <x:c r="K40" s="114"/>
      <x:c r="L40" s="95"/>
      <x:c r="M40" s="89"/>
      <x:c r="N40" s="89"/>
      <x:c r="O40" s="89"/>
      <x:c r="P40" s="89"/>
      <x:c r="Q40" s="89"/>
      <x:c r="R40" s="89"/>
      <x:c r="S40" s="89"/>
      <x:c r="T40" s="89"/>
      <x:c r="U40" s="89"/>
      <x:c r="V40" s="89"/>
      <x:c r="W40" s="89"/>
      <x:c r="X40" s="89"/>
      <x:c r="Y40" s="89"/>
      <x:c r="Z40" s="89"/>
    </x:row>
    <x:row r="41">
      <x:c r="A41" s="95"/>
      <x:c r="B41" s="95"/>
      <x:c r="C41" s="95"/>
      <x:c r="D41" s="108"/>
      <x:c r="E41" s="108"/>
      <x:c r="F41" s="108"/>
      <x:c r="G41" s="108"/>
      <x:c r="H41" s="95" t="str">
        <x:f>IF($A41="","",IF($E41&lt;=$G41,"Kritik",IF($E41&lt;=$G41*2,"Azalıyor","Yeterli")))</x:f>
      </x:c>
      <x:c r="I41" s="124" t="str">
        <x:f>IF($A41="","",IFERROR(VLOOKUP($A41,'Ayarlar'!$A$16:$C$22,2,FALSE),""))</x:f>
      </x:c>
      <x:c r="J41" s="124" t="str">
        <x:f>IF($A41="","",IFERROR($I41/1000,""))</x:f>
      </x:c>
      <x:c r="K41" s="114"/>
      <x:c r="L41" s="95"/>
      <x:c r="M41" s="89"/>
      <x:c r="N41" s="89"/>
      <x:c r="O41" s="89"/>
      <x:c r="P41" s="89"/>
      <x:c r="Q41" s="89"/>
      <x:c r="R41" s="89"/>
      <x:c r="S41" s="89"/>
      <x:c r="T41" s="89"/>
      <x:c r="U41" s="89"/>
      <x:c r="V41" s="89"/>
      <x:c r="W41" s="89"/>
      <x:c r="X41" s="89"/>
      <x:c r="Y41" s="89"/>
      <x:c r="Z41" s="89"/>
    </x:row>
    <x:row r="42">
      <x:c r="A42" s="95"/>
      <x:c r="B42" s="95"/>
      <x:c r="C42" s="95"/>
      <x:c r="D42" s="108"/>
      <x:c r="E42" s="108"/>
      <x:c r="F42" s="108"/>
      <x:c r="G42" s="108"/>
      <x:c r="H42" s="95" t="str">
        <x:f>IF($A42="","",IF($E42&lt;=$G42,"Kritik",IF($E42&lt;=$G42*2,"Azalıyor","Yeterli")))</x:f>
      </x:c>
      <x:c r="I42" s="124" t="str">
        <x:f>IF($A42="","",IFERROR(VLOOKUP($A42,'Ayarlar'!$A$16:$C$22,2,FALSE),""))</x:f>
      </x:c>
      <x:c r="J42" s="124" t="str">
        <x:f>IF($A42="","",IFERROR($I42/1000,""))</x:f>
      </x:c>
      <x:c r="K42" s="114"/>
      <x:c r="L42" s="95"/>
      <x:c r="M42" s="89"/>
      <x:c r="N42" s="89"/>
      <x:c r="O42" s="89"/>
      <x:c r="P42" s="89"/>
      <x:c r="Q42" s="89"/>
      <x:c r="R42" s="89"/>
      <x:c r="S42" s="89"/>
      <x:c r="T42" s="89"/>
      <x:c r="U42" s="89"/>
      <x:c r="V42" s="89"/>
      <x:c r="W42" s="89"/>
      <x:c r="X42" s="89"/>
      <x:c r="Y42" s="89"/>
      <x:c r="Z42" s="89"/>
    </x:row>
    <x:row r="43">
      <x:c r="A43" s="95"/>
      <x:c r="B43" s="95"/>
      <x:c r="C43" s="95"/>
      <x:c r="D43" s="108"/>
      <x:c r="E43" s="108"/>
      <x:c r="F43" s="108"/>
      <x:c r="G43" s="108"/>
      <x:c r="H43" s="95" t="str">
        <x:f>IF($A43="","",IF($E43&lt;=$G43,"Kritik",IF($E43&lt;=$G43*2,"Azalıyor","Yeterli")))</x:f>
      </x:c>
      <x:c r="I43" s="124" t="str">
        <x:f>IF($A43="","",IFERROR(VLOOKUP($A43,'Ayarlar'!$A$16:$C$22,2,FALSE),""))</x:f>
      </x:c>
      <x:c r="J43" s="124" t="str">
        <x:f>IF($A43="","",IFERROR($I43/1000,""))</x:f>
      </x:c>
      <x:c r="K43" s="114"/>
      <x:c r="L43" s="95"/>
      <x:c r="M43" s="89"/>
      <x:c r="N43" s="89"/>
      <x:c r="O43" s="89"/>
      <x:c r="P43" s="89"/>
      <x:c r="Q43" s="89"/>
      <x:c r="R43" s="89"/>
      <x:c r="S43" s="89"/>
      <x:c r="T43" s="89"/>
      <x:c r="U43" s="89"/>
      <x:c r="V43" s="89"/>
      <x:c r="W43" s="89"/>
      <x:c r="X43" s="89"/>
      <x:c r="Y43" s="89"/>
      <x:c r="Z43" s="89"/>
    </x:row>
    <x:row r="44">
      <x:c r="A44" s="95"/>
      <x:c r="B44" s="95"/>
      <x:c r="C44" s="95"/>
      <x:c r="D44" s="108"/>
      <x:c r="E44" s="108"/>
      <x:c r="F44" s="108"/>
      <x:c r="G44" s="108"/>
      <x:c r="H44" s="95" t="str">
        <x:f>IF($A44="","",IF($E44&lt;=$G44,"Kritik",IF($E44&lt;=$G44*2,"Azalıyor","Yeterli")))</x:f>
      </x:c>
      <x:c r="I44" s="124" t="str">
        <x:f>IF($A44="","",IFERROR(VLOOKUP($A44,'Ayarlar'!$A$16:$C$22,2,FALSE),""))</x:f>
      </x:c>
      <x:c r="J44" s="124" t="str">
        <x:f>IF($A44="","",IFERROR($I44/1000,""))</x:f>
      </x:c>
      <x:c r="K44" s="114"/>
      <x:c r="L44" s="95"/>
      <x:c r="M44" s="89"/>
      <x:c r="N44" s="89"/>
      <x:c r="O44" s="89"/>
      <x:c r="P44" s="89"/>
      <x:c r="Q44" s="89"/>
      <x:c r="R44" s="89"/>
      <x:c r="S44" s="89"/>
      <x:c r="T44" s="89"/>
      <x:c r="U44" s="89"/>
      <x:c r="V44" s="89"/>
      <x:c r="W44" s="89"/>
      <x:c r="X44" s="89"/>
      <x:c r="Y44" s="89"/>
      <x:c r="Z44" s="89"/>
    </x:row>
    <x:row r="45">
      <x:c r="A45" s="95"/>
      <x:c r="B45" s="95"/>
      <x:c r="C45" s="95"/>
      <x:c r="D45" s="108"/>
      <x:c r="E45" s="108"/>
      <x:c r="F45" s="108"/>
      <x:c r="G45" s="108"/>
      <x:c r="H45" s="95" t="str">
        <x:f>IF($A45="","",IF($E45&lt;=$G45,"Kritik",IF($E45&lt;=$G45*2,"Azalıyor","Yeterli")))</x:f>
      </x:c>
      <x:c r="I45" s="124" t="str">
        <x:f>IF($A45="","",IFERROR(VLOOKUP($A45,'Ayarlar'!$A$16:$C$22,2,FALSE),""))</x:f>
      </x:c>
      <x:c r="J45" s="124" t="str">
        <x:f>IF($A45="","",IFERROR($I45/1000,""))</x:f>
      </x:c>
      <x:c r="K45" s="114"/>
      <x:c r="L45" s="95"/>
      <x:c r="M45" s="89"/>
      <x:c r="N45" s="89"/>
      <x:c r="O45" s="89"/>
      <x:c r="P45" s="89"/>
      <x:c r="Q45" s="89"/>
      <x:c r="R45" s="89"/>
      <x:c r="S45" s="89"/>
      <x:c r="T45" s="89"/>
      <x:c r="U45" s="89"/>
      <x:c r="V45" s="89"/>
      <x:c r="W45" s="89"/>
      <x:c r="X45" s="89"/>
      <x:c r="Y45" s="89"/>
      <x:c r="Z45" s="89"/>
    </x:row>
    <x:row r="46">
      <x:c r="A46" s="95"/>
      <x:c r="B46" s="95"/>
      <x:c r="C46" s="95"/>
      <x:c r="D46" s="108"/>
      <x:c r="E46" s="108"/>
      <x:c r="F46" s="108"/>
      <x:c r="G46" s="108"/>
      <x:c r="H46" s="95" t="str">
        <x:f>IF($A46="","",IF($E46&lt;=$G46,"Kritik",IF($E46&lt;=$G46*2,"Azalıyor","Yeterli")))</x:f>
      </x:c>
      <x:c r="I46" s="124" t="str">
        <x:f>IF($A46="","",IFERROR(VLOOKUP($A46,'Ayarlar'!$A$16:$C$22,2,FALSE),""))</x:f>
      </x:c>
      <x:c r="J46" s="124" t="str">
        <x:f>IF($A46="","",IFERROR($I46/1000,""))</x:f>
      </x:c>
      <x:c r="K46" s="114"/>
      <x:c r="L46" s="95"/>
      <x:c r="M46" s="89"/>
      <x:c r="N46" s="89"/>
      <x:c r="O46" s="89"/>
      <x:c r="P46" s="89"/>
      <x:c r="Q46" s="89"/>
      <x:c r="R46" s="89"/>
      <x:c r="S46" s="89"/>
      <x:c r="T46" s="89"/>
      <x:c r="U46" s="89"/>
      <x:c r="V46" s="89"/>
      <x:c r="W46" s="89"/>
      <x:c r="X46" s="89"/>
      <x:c r="Y46" s="89"/>
      <x:c r="Z46" s="89"/>
    </x:row>
    <x:row r="47">
      <x:c r="A47" s="95"/>
      <x:c r="B47" s="95"/>
      <x:c r="C47" s="95"/>
      <x:c r="D47" s="108"/>
      <x:c r="E47" s="108"/>
      <x:c r="F47" s="108"/>
      <x:c r="G47" s="108"/>
      <x:c r="H47" s="95" t="str">
        <x:f>IF($A47="","",IF($E47&lt;=$G47,"Kritik",IF($E47&lt;=$G47*2,"Azalıyor","Yeterli")))</x:f>
      </x:c>
      <x:c r="I47" s="124" t="str">
        <x:f>IF($A47="","",IFERROR(VLOOKUP($A47,'Ayarlar'!$A$16:$C$22,2,FALSE),""))</x:f>
      </x:c>
      <x:c r="J47" s="124" t="str">
        <x:f>IF($A47="","",IFERROR($I47/1000,""))</x:f>
      </x:c>
      <x:c r="K47" s="114"/>
      <x:c r="L47" s="95"/>
      <x:c r="M47" s="89"/>
      <x:c r="N47" s="89"/>
      <x:c r="O47" s="89"/>
      <x:c r="P47" s="89"/>
      <x:c r="Q47" s="89"/>
      <x:c r="R47" s="89"/>
      <x:c r="S47" s="89"/>
      <x:c r="T47" s="89"/>
      <x:c r="U47" s="89"/>
      <x:c r="V47" s="89"/>
      <x:c r="W47" s="89"/>
      <x:c r="X47" s="89"/>
      <x:c r="Y47" s="89"/>
      <x:c r="Z47" s="89"/>
    </x:row>
    <x:row r="48">
      <x:c r="A48" s="95"/>
      <x:c r="B48" s="95"/>
      <x:c r="C48" s="95"/>
      <x:c r="D48" s="108"/>
      <x:c r="E48" s="108"/>
      <x:c r="F48" s="108"/>
      <x:c r="G48" s="108"/>
      <x:c r="H48" s="95" t="str">
        <x:f>IF($A48="","",IF($E48&lt;=$G48,"Kritik",IF($E48&lt;=$G48*2,"Azalıyor","Yeterli")))</x:f>
      </x:c>
      <x:c r="I48" s="124" t="str">
        <x:f>IF($A48="","",IFERROR(VLOOKUP($A48,'Ayarlar'!$A$16:$C$22,2,FALSE),""))</x:f>
      </x:c>
      <x:c r="J48" s="124" t="str">
        <x:f>IF($A48="","",IFERROR($I48/1000,""))</x:f>
      </x:c>
      <x:c r="K48" s="114"/>
      <x:c r="L48" s="95"/>
      <x:c r="M48" s="89"/>
      <x:c r="N48" s="89"/>
      <x:c r="O48" s="89"/>
      <x:c r="P48" s="89"/>
      <x:c r="Q48" s="89"/>
      <x:c r="R48" s="89"/>
      <x:c r="S48" s="89"/>
      <x:c r="T48" s="89"/>
      <x:c r="U48" s="89"/>
      <x:c r="V48" s="89"/>
      <x:c r="W48" s="89"/>
      <x:c r="X48" s="89"/>
      <x:c r="Y48" s="89"/>
      <x:c r="Z48" s="89"/>
    </x:row>
    <x:row r="49">
      <x:c r="A49" s="95"/>
      <x:c r="B49" s="95"/>
      <x:c r="C49" s="95"/>
      <x:c r="D49" s="108"/>
      <x:c r="E49" s="108"/>
      <x:c r="F49" s="108"/>
      <x:c r="G49" s="108"/>
      <x:c r="H49" s="95" t="str">
        <x:f>IF($A49="","",IF($E49&lt;=$G49,"Kritik",IF($E49&lt;=$G49*2,"Azalıyor","Yeterli")))</x:f>
      </x:c>
      <x:c r="I49" s="124" t="str">
        <x:f>IF($A49="","",IFERROR(VLOOKUP($A49,'Ayarlar'!$A$16:$C$22,2,FALSE),""))</x:f>
      </x:c>
      <x:c r="J49" s="124" t="str">
        <x:f>IF($A49="","",IFERROR($I49/1000,""))</x:f>
      </x:c>
      <x:c r="K49" s="114"/>
      <x:c r="L49" s="95"/>
      <x:c r="M49" s="89"/>
      <x:c r="N49" s="89"/>
      <x:c r="O49" s="89"/>
      <x:c r="P49" s="89"/>
      <x:c r="Q49" s="89"/>
      <x:c r="R49" s="89"/>
      <x:c r="S49" s="89"/>
      <x:c r="T49" s="89"/>
      <x:c r="U49" s="89"/>
      <x:c r="V49" s="89"/>
      <x:c r="W49" s="89"/>
      <x:c r="X49" s="89"/>
      <x:c r="Y49" s="89"/>
      <x:c r="Z49" s="89"/>
    </x:row>
    <x:row r="50">
      <x:c r="A50" s="95"/>
      <x:c r="B50" s="95"/>
      <x:c r="C50" s="95"/>
      <x:c r="D50" s="108"/>
      <x:c r="E50" s="108"/>
      <x:c r="F50" s="108"/>
      <x:c r="G50" s="108"/>
      <x:c r="H50" s="95" t="str">
        <x:f>IF($A50="","",IF($E50&lt;=$G50,"Kritik",IF($E50&lt;=$G50*2,"Azalıyor","Yeterli")))</x:f>
      </x:c>
      <x:c r="I50" s="124" t="str">
        <x:f>IF($A50="","",IFERROR(VLOOKUP($A50,'Ayarlar'!$A$16:$C$22,2,FALSE),""))</x:f>
      </x:c>
      <x:c r="J50" s="124" t="str">
        <x:f>IF($A50="","",IFERROR($I50/1000,""))</x:f>
      </x:c>
      <x:c r="K50" s="114"/>
      <x:c r="L50" s="95"/>
      <x:c r="M50" s="89"/>
      <x:c r="N50" s="89"/>
      <x:c r="O50" s="89"/>
      <x:c r="P50" s="89"/>
      <x:c r="Q50" s="89"/>
      <x:c r="R50" s="89"/>
      <x:c r="S50" s="89"/>
      <x:c r="T50" s="89"/>
      <x:c r="U50" s="89"/>
      <x:c r="V50" s="89"/>
      <x:c r="W50" s="89"/>
      <x:c r="X50" s="89"/>
      <x:c r="Y50" s="89"/>
      <x:c r="Z50" s="89"/>
    </x:row>
    <x:row r="51">
      <x:c r="A51" s="95"/>
      <x:c r="B51" s="95"/>
      <x:c r="C51" s="95"/>
      <x:c r="D51" s="108"/>
      <x:c r="E51" s="108"/>
      <x:c r="F51" s="108"/>
      <x:c r="G51" s="108"/>
      <x:c r="H51" s="95" t="str">
        <x:f>IF($A51="","",IF($E51&lt;=$G51,"Kritik",IF($E51&lt;=$G51*2,"Azalıyor","Yeterli")))</x:f>
      </x:c>
      <x:c r="I51" s="124" t="str">
        <x:f>IF($A51="","",IFERROR(VLOOKUP($A51,'Ayarlar'!$A$16:$C$22,2,FALSE),""))</x:f>
      </x:c>
      <x:c r="J51" s="124" t="str">
        <x:f>IF($A51="","",IFERROR($I51/1000,""))</x:f>
      </x:c>
      <x:c r="K51" s="114"/>
      <x:c r="L51" s="95"/>
      <x:c r="M51" s="89"/>
      <x:c r="N51" s="89"/>
      <x:c r="O51" s="89"/>
      <x:c r="P51" s="89"/>
      <x:c r="Q51" s="89"/>
      <x:c r="R51" s="89"/>
      <x:c r="S51" s="89"/>
      <x:c r="T51" s="89"/>
      <x:c r="U51" s="89"/>
      <x:c r="V51" s="89"/>
      <x:c r="W51" s="89"/>
      <x:c r="X51" s="89"/>
      <x:c r="Y51" s="89"/>
      <x:c r="Z51" s="89"/>
    </x:row>
    <x:row r="52">
      <x:c r="A52" s="95"/>
      <x:c r="B52" s="95"/>
      <x:c r="C52" s="95"/>
      <x:c r="D52" s="108"/>
      <x:c r="E52" s="108"/>
      <x:c r="F52" s="108"/>
      <x:c r="G52" s="108"/>
      <x:c r="H52" s="95" t="str">
        <x:f>IF($A52="","",IF($E52&lt;=$G52,"Kritik",IF($E52&lt;=$G52*2,"Azalıyor","Yeterli")))</x:f>
      </x:c>
      <x:c r="I52" s="124" t="str">
        <x:f>IF($A52="","",IFERROR(VLOOKUP($A52,'Ayarlar'!$A$16:$C$22,2,FALSE),""))</x:f>
      </x:c>
      <x:c r="J52" s="124" t="str">
        <x:f>IF($A52="","",IFERROR($I52/1000,""))</x:f>
      </x:c>
      <x:c r="K52" s="114"/>
      <x:c r="L52" s="95"/>
      <x:c r="M52" s="89"/>
      <x:c r="N52" s="89"/>
      <x:c r="O52" s="89"/>
      <x:c r="P52" s="89"/>
      <x:c r="Q52" s="89"/>
      <x:c r="R52" s="89"/>
      <x:c r="S52" s="89"/>
      <x:c r="T52" s="89"/>
      <x:c r="U52" s="89"/>
      <x:c r="V52" s="89"/>
      <x:c r="W52" s="89"/>
      <x:c r="X52" s="89"/>
      <x:c r="Y52" s="89"/>
      <x:c r="Z52" s="89"/>
    </x:row>
    <x:row r="53">
      <x:c r="A53" s="95"/>
      <x:c r="B53" s="95"/>
      <x:c r="C53" s="95"/>
      <x:c r="D53" s="108"/>
      <x:c r="E53" s="108"/>
      <x:c r="F53" s="108"/>
      <x:c r="G53" s="108"/>
      <x:c r="H53" s="95" t="str">
        <x:f>IF($A53="","",IF($E53&lt;=$G53,"Kritik",IF($E53&lt;=$G53*2,"Azalıyor","Yeterli")))</x:f>
      </x:c>
      <x:c r="I53" s="124" t="str">
        <x:f>IF($A53="","",IFERROR(VLOOKUP($A53,'Ayarlar'!$A$16:$C$22,2,FALSE),""))</x:f>
      </x:c>
      <x:c r="J53" s="124" t="str">
        <x:f>IF($A53="","",IFERROR($I53/1000,""))</x:f>
      </x:c>
      <x:c r="K53" s="114"/>
      <x:c r="L53" s="95"/>
      <x:c r="M53" s="89"/>
      <x:c r="N53" s="89"/>
      <x:c r="O53" s="89"/>
      <x:c r="P53" s="89"/>
      <x:c r="Q53" s="89"/>
      <x:c r="R53" s="89"/>
      <x:c r="S53" s="89"/>
      <x:c r="T53" s="89"/>
      <x:c r="U53" s="89"/>
      <x:c r="V53" s="89"/>
      <x:c r="W53" s="89"/>
      <x:c r="X53" s="89"/>
      <x:c r="Y53" s="89"/>
      <x:c r="Z53" s="89"/>
    </x:row>
    <x:row r="54">
      <x:c r="A54" s="95"/>
      <x:c r="B54" s="95"/>
      <x:c r="C54" s="95"/>
      <x:c r="D54" s="108"/>
      <x:c r="E54" s="108"/>
      <x:c r="F54" s="108"/>
      <x:c r="G54" s="108"/>
      <x:c r="H54" s="95" t="str">
        <x:f>IF($A54="","",IF($E54&lt;=$G54,"Kritik",IF($E54&lt;=$G54*2,"Azalıyor","Yeterli")))</x:f>
      </x:c>
      <x:c r="I54" s="124" t="str">
        <x:f>IF($A54="","",IFERROR(VLOOKUP($A54,'Ayarlar'!$A$16:$C$22,2,FALSE),""))</x:f>
      </x:c>
      <x:c r="J54" s="124" t="str">
        <x:f>IF($A54="","",IFERROR($I54/1000,""))</x:f>
      </x:c>
      <x:c r="K54" s="114"/>
      <x:c r="L54" s="95"/>
      <x:c r="M54" s="89"/>
      <x:c r="N54" s="89"/>
      <x:c r="O54" s="89"/>
      <x:c r="P54" s="89"/>
      <x:c r="Q54" s="89"/>
      <x:c r="R54" s="89"/>
      <x:c r="S54" s="89"/>
      <x:c r="T54" s="89"/>
      <x:c r="U54" s="89"/>
      <x:c r="V54" s="89"/>
      <x:c r="W54" s="89"/>
      <x:c r="X54" s="89"/>
      <x:c r="Y54" s="89"/>
      <x:c r="Z54" s="89"/>
    </x:row>
    <x:row r="55">
      <x:c r="A55" s="95"/>
      <x:c r="B55" s="95"/>
      <x:c r="C55" s="95"/>
      <x:c r="D55" s="108"/>
      <x:c r="E55" s="108"/>
      <x:c r="F55" s="108"/>
      <x:c r="G55" s="108"/>
      <x:c r="H55" s="95" t="str">
        <x:f>IF($A55="","",IF($E55&lt;=$G55,"Kritik",IF($E55&lt;=$G55*2,"Azalıyor","Yeterli")))</x:f>
      </x:c>
      <x:c r="I55" s="124" t="str">
        <x:f>IF($A55="","",IFERROR(VLOOKUP($A55,'Ayarlar'!$A$16:$C$22,2,FALSE),""))</x:f>
      </x:c>
      <x:c r="J55" s="124" t="str">
        <x:f>IF($A55="","",IFERROR($I55/1000,""))</x:f>
      </x:c>
      <x:c r="K55" s="114"/>
      <x:c r="L55" s="95"/>
      <x:c r="M55" s="89"/>
      <x:c r="N55" s="89"/>
      <x:c r="O55" s="89"/>
      <x:c r="P55" s="89"/>
      <x:c r="Q55" s="89"/>
      <x:c r="R55" s="89"/>
      <x:c r="S55" s="89"/>
      <x:c r="T55" s="89"/>
      <x:c r="U55" s="89"/>
      <x:c r="V55" s="89"/>
      <x:c r="W55" s="89"/>
      <x:c r="X55" s="89"/>
      <x:c r="Y55" s="89"/>
      <x:c r="Z55" s="89"/>
    </x:row>
    <x:row r="56">
      <x:c r="A56" s="95"/>
      <x:c r="B56" s="95"/>
      <x:c r="C56" s="95"/>
      <x:c r="D56" s="108"/>
      <x:c r="E56" s="108"/>
      <x:c r="F56" s="108"/>
      <x:c r="G56" s="108"/>
      <x:c r="H56" s="95" t="str">
        <x:f>IF($A56="","",IF($E56&lt;=$G56,"Kritik",IF($E56&lt;=$G56*2,"Azalıyor","Yeterli")))</x:f>
      </x:c>
      <x:c r="I56" s="124" t="str">
        <x:f>IF($A56="","",IFERROR(VLOOKUP($A56,'Ayarlar'!$A$16:$C$22,2,FALSE),""))</x:f>
      </x:c>
      <x:c r="J56" s="124" t="str">
        <x:f>IF($A56="","",IFERROR($I56/1000,""))</x:f>
      </x:c>
      <x:c r="K56" s="114"/>
      <x:c r="L56" s="95"/>
      <x:c r="M56" s="89"/>
      <x:c r="N56" s="89"/>
      <x:c r="O56" s="89"/>
      <x:c r="P56" s="89"/>
      <x:c r="Q56" s="89"/>
      <x:c r="R56" s="89"/>
      <x:c r="S56" s="89"/>
      <x:c r="T56" s="89"/>
      <x:c r="U56" s="89"/>
      <x:c r="V56" s="89"/>
      <x:c r="W56" s="89"/>
      <x:c r="X56" s="89"/>
      <x:c r="Y56" s="89"/>
      <x:c r="Z56" s="89"/>
    </x:row>
    <x:row r="57">
      <x:c r="A57" s="95"/>
      <x:c r="B57" s="95"/>
      <x:c r="C57" s="95"/>
      <x:c r="D57" s="108"/>
      <x:c r="E57" s="108"/>
      <x:c r="F57" s="108"/>
      <x:c r="G57" s="108"/>
      <x:c r="H57" s="95" t="str">
        <x:f>IF($A57="","",IF($E57&lt;=$G57,"Kritik",IF($E57&lt;=$G57*2,"Azalıyor","Yeterli")))</x:f>
      </x:c>
      <x:c r="I57" s="124" t="str">
        <x:f>IF($A57="","",IFERROR(VLOOKUP($A57,'Ayarlar'!$A$16:$C$22,2,FALSE),""))</x:f>
      </x:c>
      <x:c r="J57" s="124" t="str">
        <x:f>IF($A57="","",IFERROR($I57/1000,""))</x:f>
      </x:c>
      <x:c r="K57" s="114"/>
      <x:c r="L57" s="95"/>
      <x:c r="M57" s="89"/>
      <x:c r="N57" s="89"/>
      <x:c r="O57" s="89"/>
      <x:c r="P57" s="89"/>
      <x:c r="Q57" s="89"/>
      <x:c r="R57" s="89"/>
      <x:c r="S57" s="89"/>
      <x:c r="T57" s="89"/>
      <x:c r="U57" s="89"/>
      <x:c r="V57" s="89"/>
      <x:c r="W57" s="89"/>
      <x:c r="X57" s="89"/>
      <x:c r="Y57" s="89"/>
      <x:c r="Z57" s="89"/>
    </x:row>
    <x:row r="58">
      <x:c r="A58" s="95"/>
      <x:c r="B58" s="95"/>
      <x:c r="C58" s="95"/>
      <x:c r="D58" s="108"/>
      <x:c r="E58" s="108"/>
      <x:c r="F58" s="108"/>
      <x:c r="G58" s="108"/>
      <x:c r="H58" s="95" t="str">
        <x:f>IF($A58="","",IF($E58&lt;=$G58,"Kritik",IF($E58&lt;=$G58*2,"Azalıyor","Yeterli")))</x:f>
      </x:c>
      <x:c r="I58" s="124" t="str">
        <x:f>IF($A58="","",IFERROR(VLOOKUP($A58,'Ayarlar'!$A$16:$C$22,2,FALSE),""))</x:f>
      </x:c>
      <x:c r="J58" s="124" t="str">
        <x:f>IF($A58="","",IFERROR($I58/1000,""))</x:f>
      </x:c>
      <x:c r="K58" s="114"/>
      <x:c r="L58" s="95"/>
      <x:c r="M58" s="89"/>
      <x:c r="N58" s="89"/>
      <x:c r="O58" s="89"/>
      <x:c r="P58" s="89"/>
      <x:c r="Q58" s="89"/>
      <x:c r="R58" s="89"/>
      <x:c r="S58" s="89"/>
      <x:c r="T58" s="89"/>
      <x:c r="U58" s="89"/>
      <x:c r="V58" s="89"/>
      <x:c r="W58" s="89"/>
      <x:c r="X58" s="89"/>
      <x:c r="Y58" s="89"/>
      <x:c r="Z58" s="89"/>
    </x:row>
    <x:row r="59">
      <x:c r="A59" s="95"/>
      <x:c r="B59" s="95"/>
      <x:c r="C59" s="95"/>
      <x:c r="D59" s="108"/>
      <x:c r="E59" s="108"/>
      <x:c r="F59" s="108"/>
      <x:c r="G59" s="108"/>
      <x:c r="H59" s="95" t="str">
        <x:f>IF($A59="","",IF($E59&lt;=$G59,"Kritik",IF($E59&lt;=$G59*2,"Azalıyor","Yeterli")))</x:f>
      </x:c>
      <x:c r="I59" s="124" t="str">
        <x:f>IF($A59="","",IFERROR(VLOOKUP($A59,'Ayarlar'!$A$16:$C$22,2,FALSE),""))</x:f>
      </x:c>
      <x:c r="J59" s="124" t="str">
        <x:f>IF($A59="","",IFERROR($I59/1000,""))</x:f>
      </x:c>
      <x:c r="K59" s="114"/>
      <x:c r="L59" s="95"/>
      <x:c r="M59" s="89"/>
      <x:c r="N59" s="89"/>
      <x:c r="O59" s="89"/>
      <x:c r="P59" s="89"/>
      <x:c r="Q59" s="89"/>
      <x:c r="R59" s="89"/>
      <x:c r="S59" s="89"/>
      <x:c r="T59" s="89"/>
      <x:c r="U59" s="89"/>
      <x:c r="V59" s="89"/>
      <x:c r="W59" s="89"/>
      <x:c r="X59" s="89"/>
      <x:c r="Y59" s="89"/>
      <x:c r="Z59" s="89"/>
    </x:row>
    <x:row r="60">
      <x:c r="A60" s="95"/>
      <x:c r="B60" s="95"/>
      <x:c r="C60" s="95"/>
      <x:c r="D60" s="108"/>
      <x:c r="E60" s="108"/>
      <x:c r="F60" s="108"/>
      <x:c r="G60" s="108"/>
      <x:c r="H60" s="95" t="str">
        <x:f>IF($A60="","",IF($E60&lt;=$G60,"Kritik",IF($E60&lt;=$G60*2,"Azalıyor","Yeterli")))</x:f>
      </x:c>
      <x:c r="I60" s="124" t="str">
        <x:f>IF($A60="","",IFERROR(VLOOKUP($A60,'Ayarlar'!$A$16:$C$22,2,FALSE),""))</x:f>
      </x:c>
      <x:c r="J60" s="124" t="str">
        <x:f>IF($A60="","",IFERROR($I60/1000,""))</x:f>
      </x:c>
      <x:c r="K60" s="114"/>
      <x:c r="L60" s="95"/>
      <x:c r="M60" s="89"/>
      <x:c r="N60" s="89"/>
      <x:c r="O60" s="89"/>
      <x:c r="P60" s="89"/>
      <x:c r="Q60" s="89"/>
      <x:c r="R60" s="89"/>
      <x:c r="S60" s="89"/>
      <x:c r="T60" s="89"/>
      <x:c r="U60" s="89"/>
      <x:c r="V60" s="89"/>
      <x:c r="W60" s="89"/>
      <x:c r="X60" s="89"/>
      <x:c r="Y60" s="89"/>
      <x:c r="Z60" s="89"/>
    </x:row>
    <x:row r="61">
      <x:c r="A61" s="95"/>
      <x:c r="B61" s="95"/>
      <x:c r="C61" s="95"/>
      <x:c r="D61" s="108"/>
      <x:c r="E61" s="108"/>
      <x:c r="F61" s="108"/>
      <x:c r="G61" s="108"/>
      <x:c r="H61" s="95" t="str">
        <x:f>IF($A61="","",IF($E61&lt;=$G61,"Kritik",IF($E61&lt;=$G61*2,"Azalıyor","Yeterli")))</x:f>
      </x:c>
      <x:c r="I61" s="124" t="str">
        <x:f>IF($A61="","",IFERROR(VLOOKUP($A61,'Ayarlar'!$A$16:$C$22,2,FALSE),""))</x:f>
      </x:c>
      <x:c r="J61" s="124" t="str">
        <x:f>IF($A61="","",IFERROR($I61/1000,""))</x:f>
      </x:c>
      <x:c r="K61" s="114"/>
      <x:c r="L61" s="95"/>
      <x:c r="M61" s="89"/>
      <x:c r="N61" s="89"/>
      <x:c r="O61" s="89"/>
      <x:c r="P61" s="89"/>
      <x:c r="Q61" s="89"/>
      <x:c r="R61" s="89"/>
      <x:c r="S61" s="89"/>
      <x:c r="T61" s="89"/>
      <x:c r="U61" s="89"/>
      <x:c r="V61" s="89"/>
      <x:c r="W61" s="89"/>
      <x:c r="X61" s="89"/>
      <x:c r="Y61" s="89"/>
      <x:c r="Z61" s="89"/>
    </x:row>
    <x:row r="62">
      <x:c r="A62" s="95"/>
      <x:c r="B62" s="95"/>
      <x:c r="C62" s="95"/>
      <x:c r="D62" s="108"/>
      <x:c r="E62" s="108"/>
      <x:c r="F62" s="108"/>
      <x:c r="G62" s="108"/>
      <x:c r="H62" s="95" t="str">
        <x:f>IF($A62="","",IF($E62&lt;=$G62,"Kritik",IF($E62&lt;=$G62*2,"Azalıyor","Yeterli")))</x:f>
      </x:c>
      <x:c r="I62" s="124" t="str">
        <x:f>IF($A62="","",IFERROR(VLOOKUP($A62,'Ayarlar'!$A$16:$C$22,2,FALSE),""))</x:f>
      </x:c>
      <x:c r="J62" s="124" t="str">
        <x:f>IF($A62="","",IFERROR($I62/1000,""))</x:f>
      </x:c>
      <x:c r="K62" s="114"/>
      <x:c r="L62" s="95"/>
      <x:c r="M62" s="89"/>
      <x:c r="N62" s="89"/>
      <x:c r="O62" s="89"/>
      <x:c r="P62" s="89"/>
      <x:c r="Q62" s="89"/>
      <x:c r="R62" s="89"/>
      <x:c r="S62" s="89"/>
      <x:c r="T62" s="89"/>
      <x:c r="U62" s="89"/>
      <x:c r="V62" s="89"/>
      <x:c r="W62" s="89"/>
      <x:c r="X62" s="89"/>
      <x:c r="Y62" s="89"/>
      <x:c r="Z62" s="89"/>
    </x:row>
    <x:row r="63">
      <x:c r="A63" s="95"/>
      <x:c r="B63" s="95"/>
      <x:c r="C63" s="95"/>
      <x:c r="D63" s="108"/>
      <x:c r="E63" s="108"/>
      <x:c r="F63" s="108"/>
      <x:c r="G63" s="108"/>
      <x:c r="H63" s="95" t="str">
        <x:f>IF($A63="","",IF($E63&lt;=$G63,"Kritik",IF($E63&lt;=$G63*2,"Azalıyor","Yeterli")))</x:f>
      </x:c>
      <x:c r="I63" s="124" t="str">
        <x:f>IF($A63="","",IFERROR(VLOOKUP($A63,'Ayarlar'!$A$16:$C$22,2,FALSE),""))</x:f>
      </x:c>
      <x:c r="J63" s="124" t="str">
        <x:f>IF($A63="","",IFERROR($I63/1000,""))</x:f>
      </x:c>
      <x:c r="K63" s="114"/>
      <x:c r="L63" s="95"/>
      <x:c r="M63" s="89"/>
      <x:c r="N63" s="89"/>
      <x:c r="O63" s="89"/>
      <x:c r="P63" s="89"/>
      <x:c r="Q63" s="89"/>
      <x:c r="R63" s="89"/>
      <x:c r="S63" s="89"/>
      <x:c r="T63" s="89"/>
      <x:c r="U63" s="89"/>
      <x:c r="V63" s="89"/>
      <x:c r="W63" s="89"/>
      <x:c r="X63" s="89"/>
      <x:c r="Y63" s="89"/>
      <x:c r="Z63" s="89"/>
    </x:row>
    <x:row r="64">
      <x:c r="A64" s="95"/>
      <x:c r="B64" s="95"/>
      <x:c r="C64" s="95"/>
      <x:c r="D64" s="108"/>
      <x:c r="E64" s="108"/>
      <x:c r="F64" s="108"/>
      <x:c r="G64" s="108"/>
      <x:c r="H64" s="95" t="str">
        <x:f>IF($A64="","",IF($E64&lt;=$G64,"Kritik",IF($E64&lt;=$G64*2,"Azalıyor","Yeterli")))</x:f>
      </x:c>
      <x:c r="I64" s="124" t="str">
        <x:f>IF($A64="","",IFERROR(VLOOKUP($A64,'Ayarlar'!$A$16:$C$22,2,FALSE),""))</x:f>
      </x:c>
      <x:c r="J64" s="124" t="str">
        <x:f>IF($A64="","",IFERROR($I64/1000,""))</x:f>
      </x:c>
      <x:c r="K64" s="114"/>
      <x:c r="L64" s="95"/>
      <x:c r="M64" s="89"/>
      <x:c r="N64" s="89"/>
      <x:c r="O64" s="89"/>
      <x:c r="P64" s="89"/>
      <x:c r="Q64" s="89"/>
      <x:c r="R64" s="89"/>
      <x:c r="S64" s="89"/>
      <x:c r="T64" s="89"/>
      <x:c r="U64" s="89"/>
      <x:c r="V64" s="89"/>
      <x:c r="W64" s="89"/>
      <x:c r="X64" s="89"/>
      <x:c r="Y64" s="89"/>
      <x:c r="Z64" s="89"/>
    </x:row>
    <x:row r="65">
      <x:c r="A65" s="95"/>
      <x:c r="B65" s="95"/>
      <x:c r="C65" s="95"/>
      <x:c r="D65" s="108"/>
      <x:c r="E65" s="108"/>
      <x:c r="F65" s="108"/>
      <x:c r="G65" s="108"/>
      <x:c r="H65" s="95" t="str">
        <x:f>IF($A65="","",IF($E65&lt;=$G65,"Kritik",IF($E65&lt;=$G65*2,"Azalıyor","Yeterli")))</x:f>
      </x:c>
      <x:c r="I65" s="124" t="str">
        <x:f>IF($A65="","",IFERROR(VLOOKUP($A65,'Ayarlar'!$A$16:$C$22,2,FALSE),""))</x:f>
      </x:c>
      <x:c r="J65" s="124" t="str">
        <x:f>IF($A65="","",IFERROR($I65/1000,""))</x:f>
      </x:c>
      <x:c r="K65" s="114"/>
      <x:c r="L65" s="95"/>
      <x:c r="M65" s="89"/>
      <x:c r="N65" s="89"/>
      <x:c r="O65" s="89"/>
      <x:c r="P65" s="89"/>
      <x:c r="Q65" s="89"/>
      <x:c r="R65" s="89"/>
      <x:c r="S65" s="89"/>
      <x:c r="T65" s="89"/>
      <x:c r="U65" s="89"/>
      <x:c r="V65" s="89"/>
      <x:c r="W65" s="89"/>
      <x:c r="X65" s="89"/>
      <x:c r="Y65" s="89"/>
      <x:c r="Z65" s="89"/>
    </x:row>
    <x:row r="66">
      <x:c r="A66" s="95"/>
      <x:c r="B66" s="95"/>
      <x:c r="C66" s="95"/>
      <x:c r="D66" s="108"/>
      <x:c r="E66" s="108"/>
      <x:c r="F66" s="108"/>
      <x:c r="G66" s="108"/>
      <x:c r="H66" s="95" t="str">
        <x:f>IF($A66="","",IF($E66&lt;=$G66,"Kritik",IF($E66&lt;=$G66*2,"Azalıyor","Yeterli")))</x:f>
      </x:c>
      <x:c r="I66" s="124" t="str">
        <x:f>IF($A66="","",IFERROR(VLOOKUP($A66,'Ayarlar'!$A$16:$C$22,2,FALSE),""))</x:f>
      </x:c>
      <x:c r="J66" s="124" t="str">
        <x:f>IF($A66="","",IFERROR($I66/1000,""))</x:f>
      </x:c>
      <x:c r="K66" s="114"/>
      <x:c r="L66" s="95"/>
      <x:c r="M66" s="89"/>
      <x:c r="N66" s="89"/>
      <x:c r="O66" s="89"/>
      <x:c r="P66" s="89"/>
      <x:c r="Q66" s="89"/>
      <x:c r="R66" s="89"/>
      <x:c r="S66" s="89"/>
      <x:c r="T66" s="89"/>
      <x:c r="U66" s="89"/>
      <x:c r="V66" s="89"/>
      <x:c r="W66" s="89"/>
      <x:c r="X66" s="89"/>
      <x:c r="Y66" s="89"/>
      <x:c r="Z66" s="89"/>
    </x:row>
    <x:row r="67">
      <x:c r="A67" s="95"/>
      <x:c r="B67" s="95"/>
      <x:c r="C67" s="95"/>
      <x:c r="D67" s="108"/>
      <x:c r="E67" s="108"/>
      <x:c r="F67" s="108"/>
      <x:c r="G67" s="108"/>
      <x:c r="H67" s="95" t="str">
        <x:f>IF($A67="","",IF($E67&lt;=$G67,"Kritik",IF($E67&lt;=$G67*2,"Azalıyor","Yeterli")))</x:f>
      </x:c>
      <x:c r="I67" s="124" t="str">
        <x:f>IF($A67="","",IFERROR(VLOOKUP($A67,'Ayarlar'!$A$16:$C$22,2,FALSE),""))</x:f>
      </x:c>
      <x:c r="J67" s="124" t="str">
        <x:f>IF($A67="","",IFERROR($I67/1000,""))</x:f>
      </x:c>
      <x:c r="K67" s="114"/>
      <x:c r="L67" s="95"/>
      <x:c r="M67" s="89"/>
      <x:c r="N67" s="89"/>
      <x:c r="O67" s="89"/>
      <x:c r="P67" s="89"/>
      <x:c r="Q67" s="89"/>
      <x:c r="R67" s="89"/>
      <x:c r="S67" s="89"/>
      <x:c r="T67" s="89"/>
      <x:c r="U67" s="89"/>
      <x:c r="V67" s="89"/>
      <x:c r="W67" s="89"/>
      <x:c r="X67" s="89"/>
      <x:c r="Y67" s="89"/>
      <x:c r="Z67" s="89"/>
    </x:row>
    <x:row r="68">
      <x:c r="A68" s="95"/>
      <x:c r="B68" s="95"/>
      <x:c r="C68" s="95"/>
      <x:c r="D68" s="108"/>
      <x:c r="E68" s="108"/>
      <x:c r="F68" s="108"/>
      <x:c r="G68" s="108"/>
      <x:c r="H68" s="95" t="str">
        <x:f>IF($A68="","",IF($E68&lt;=$G68,"Kritik",IF($E68&lt;=$G68*2,"Azalıyor","Yeterli")))</x:f>
      </x:c>
      <x:c r="I68" s="124" t="str">
        <x:f>IF($A68="","",IFERROR(VLOOKUP($A68,'Ayarlar'!$A$16:$C$22,2,FALSE),""))</x:f>
      </x:c>
      <x:c r="J68" s="124" t="str">
        <x:f>IF($A68="","",IFERROR($I68/1000,""))</x:f>
      </x:c>
      <x:c r="K68" s="114"/>
      <x:c r="L68" s="95"/>
      <x:c r="M68" s="89"/>
      <x:c r="N68" s="89"/>
      <x:c r="O68" s="89"/>
      <x:c r="P68" s="89"/>
      <x:c r="Q68" s="89"/>
      <x:c r="R68" s="89"/>
      <x:c r="S68" s="89"/>
      <x:c r="T68" s="89"/>
      <x:c r="U68" s="89"/>
      <x:c r="V68" s="89"/>
      <x:c r="W68" s="89"/>
      <x:c r="X68" s="89"/>
      <x:c r="Y68" s="89"/>
      <x:c r="Z68" s="89"/>
    </x:row>
    <x:row r="69">
      <x:c r="A69" s="95"/>
      <x:c r="B69" s="95"/>
      <x:c r="C69" s="95"/>
      <x:c r="D69" s="108"/>
      <x:c r="E69" s="108"/>
      <x:c r="F69" s="108"/>
      <x:c r="G69" s="108"/>
      <x:c r="H69" s="95" t="str">
        <x:f>IF($A69="","",IF($E69&lt;=$G69,"Kritik",IF($E69&lt;=$G69*2,"Azalıyor","Yeterli")))</x:f>
      </x:c>
      <x:c r="I69" s="124" t="str">
        <x:f>IF($A69="","",IFERROR(VLOOKUP($A69,'Ayarlar'!$A$16:$C$22,2,FALSE),""))</x:f>
      </x:c>
      <x:c r="J69" s="124" t="str">
        <x:f>IF($A69="","",IFERROR($I69/1000,""))</x:f>
      </x:c>
      <x:c r="K69" s="114"/>
      <x:c r="L69" s="95"/>
      <x:c r="M69" s="89"/>
      <x:c r="N69" s="89"/>
      <x:c r="O69" s="89"/>
      <x:c r="P69" s="89"/>
      <x:c r="Q69" s="89"/>
      <x:c r="R69" s="89"/>
      <x:c r="S69" s="89"/>
      <x:c r="T69" s="89"/>
      <x:c r="U69" s="89"/>
      <x:c r="V69" s="89"/>
      <x:c r="W69" s="89"/>
      <x:c r="X69" s="89"/>
      <x:c r="Y69" s="89"/>
      <x:c r="Z69" s="89"/>
    </x:row>
    <x:row r="70">
      <x:c r="A70" s="95"/>
      <x:c r="B70" s="95"/>
      <x:c r="C70" s="95"/>
      <x:c r="D70" s="108"/>
      <x:c r="E70" s="108"/>
      <x:c r="F70" s="108"/>
      <x:c r="G70" s="108"/>
      <x:c r="H70" s="95" t="str">
        <x:f>IF($A70="","",IF($E70&lt;=$G70,"Kritik",IF($E70&lt;=$G70*2,"Azalıyor","Yeterli")))</x:f>
      </x:c>
      <x:c r="I70" s="124" t="str">
        <x:f>IF($A70="","",IFERROR(VLOOKUP($A70,'Ayarlar'!$A$16:$C$22,2,FALSE),""))</x:f>
      </x:c>
      <x:c r="J70" s="124" t="str">
        <x:f>IF($A70="","",IFERROR($I70/1000,""))</x:f>
      </x:c>
      <x:c r="K70" s="114"/>
      <x:c r="L70" s="95"/>
      <x:c r="M70" s="89"/>
      <x:c r="N70" s="89"/>
      <x:c r="O70" s="89"/>
      <x:c r="P70" s="89"/>
      <x:c r="Q70" s="89"/>
      <x:c r="R70" s="89"/>
      <x:c r="S70" s="89"/>
      <x:c r="T70" s="89"/>
      <x:c r="U70" s="89"/>
      <x:c r="V70" s="89"/>
      <x:c r="W70" s="89"/>
      <x:c r="X70" s="89"/>
      <x:c r="Y70" s="89"/>
      <x:c r="Z70" s="89"/>
    </x:row>
    <x:row r="71">
      <x:c r="A71" s="95"/>
      <x:c r="B71" s="95"/>
      <x:c r="C71" s="95"/>
      <x:c r="D71" s="108"/>
      <x:c r="E71" s="108"/>
      <x:c r="F71" s="108"/>
      <x:c r="G71" s="108"/>
      <x:c r="H71" s="95" t="str">
        <x:f>IF($A71="","",IF($E71&lt;=$G71,"Kritik",IF($E71&lt;=$G71*2,"Azalıyor","Yeterli")))</x:f>
      </x:c>
      <x:c r="I71" s="124" t="str">
        <x:f>IF($A71="","",IFERROR(VLOOKUP($A71,'Ayarlar'!$A$16:$C$22,2,FALSE),""))</x:f>
      </x:c>
      <x:c r="J71" s="124" t="str">
        <x:f>IF($A71="","",IFERROR($I71/1000,""))</x:f>
      </x:c>
      <x:c r="K71" s="114"/>
      <x:c r="L71" s="95"/>
      <x:c r="M71" s="89"/>
      <x:c r="N71" s="89"/>
      <x:c r="O71" s="89"/>
      <x:c r="P71" s="89"/>
      <x:c r="Q71" s="89"/>
      <x:c r="R71" s="89"/>
      <x:c r="S71" s="89"/>
      <x:c r="T71" s="89"/>
      <x:c r="U71" s="89"/>
      <x:c r="V71" s="89"/>
      <x:c r="W71" s="89"/>
      <x:c r="X71" s="89"/>
      <x:c r="Y71" s="89"/>
      <x:c r="Z71" s="89"/>
    </x:row>
    <x:row r="72">
      <x:c r="A72" s="95"/>
      <x:c r="B72" s="95"/>
      <x:c r="C72" s="95"/>
      <x:c r="D72" s="108"/>
      <x:c r="E72" s="108"/>
      <x:c r="F72" s="108"/>
      <x:c r="G72" s="108"/>
      <x:c r="H72" s="95" t="str">
        <x:f>IF($A72="","",IF($E72&lt;=$G72,"Kritik",IF($E72&lt;=$G72*2,"Azalıyor","Yeterli")))</x:f>
      </x:c>
      <x:c r="I72" s="124" t="str">
        <x:f>IF($A72="","",IFERROR(VLOOKUP($A72,'Ayarlar'!$A$16:$C$22,2,FALSE),""))</x:f>
      </x:c>
      <x:c r="J72" s="124" t="str">
        <x:f>IF($A72="","",IFERROR($I72/1000,""))</x:f>
      </x:c>
      <x:c r="K72" s="114"/>
      <x:c r="L72" s="95"/>
      <x:c r="M72" s="89"/>
      <x:c r="N72" s="89"/>
      <x:c r="O72" s="89"/>
      <x:c r="P72" s="89"/>
      <x:c r="Q72" s="89"/>
      <x:c r="R72" s="89"/>
      <x:c r="S72" s="89"/>
      <x:c r="T72" s="89"/>
      <x:c r="U72" s="89"/>
      <x:c r="V72" s="89"/>
      <x:c r="W72" s="89"/>
      <x:c r="X72" s="89"/>
      <x:c r="Y72" s="89"/>
      <x:c r="Z72" s="89"/>
    </x:row>
    <x:row r="73">
      <x:c r="A73" s="95"/>
      <x:c r="B73" s="95"/>
      <x:c r="C73" s="95"/>
      <x:c r="D73" s="108"/>
      <x:c r="E73" s="108"/>
      <x:c r="F73" s="108"/>
      <x:c r="G73" s="108"/>
      <x:c r="H73" s="95" t="str">
        <x:f>IF($A73="","",IF($E73&lt;=$G73,"Kritik",IF($E73&lt;=$G73*2,"Azalıyor","Yeterli")))</x:f>
      </x:c>
      <x:c r="I73" s="124" t="str">
        <x:f>IF($A73="","",IFERROR(VLOOKUP($A73,'Ayarlar'!$A$16:$C$22,2,FALSE),""))</x:f>
      </x:c>
      <x:c r="J73" s="124" t="str">
        <x:f>IF($A73="","",IFERROR($I73/1000,""))</x:f>
      </x:c>
      <x:c r="K73" s="114"/>
      <x:c r="L73" s="95"/>
      <x:c r="M73" s="89"/>
      <x:c r="N73" s="89"/>
      <x:c r="O73" s="89"/>
      <x:c r="P73" s="89"/>
      <x:c r="Q73" s="89"/>
      <x:c r="R73" s="89"/>
      <x:c r="S73" s="89"/>
      <x:c r="T73" s="89"/>
      <x:c r="U73" s="89"/>
      <x:c r="V73" s="89"/>
      <x:c r="W73" s="89"/>
      <x:c r="X73" s="89"/>
      <x:c r="Y73" s="89"/>
      <x:c r="Z73" s="89"/>
    </x:row>
    <x:row r="74">
      <x:c r="A74" s="95"/>
      <x:c r="B74" s="95"/>
      <x:c r="C74" s="95"/>
      <x:c r="D74" s="108"/>
      <x:c r="E74" s="108"/>
      <x:c r="F74" s="108"/>
      <x:c r="G74" s="108"/>
      <x:c r="H74" s="95" t="str">
        <x:f>IF($A74="","",IF($E74&lt;=$G74,"Kritik",IF($E74&lt;=$G74*2,"Azalıyor","Yeterli")))</x:f>
      </x:c>
      <x:c r="I74" s="124" t="str">
        <x:f>IF($A74="","",IFERROR(VLOOKUP($A74,'Ayarlar'!$A$16:$C$22,2,FALSE),""))</x:f>
      </x:c>
      <x:c r="J74" s="124" t="str">
        <x:f>IF($A74="","",IFERROR($I74/1000,""))</x:f>
      </x:c>
      <x:c r="K74" s="114"/>
      <x:c r="L74" s="95"/>
      <x:c r="M74" s="89"/>
      <x:c r="N74" s="89"/>
      <x:c r="O74" s="89"/>
      <x:c r="P74" s="89"/>
      <x:c r="Q74" s="89"/>
      <x:c r="R74" s="89"/>
      <x:c r="S74" s="89"/>
      <x:c r="T74" s="89"/>
      <x:c r="U74" s="89"/>
      <x:c r="V74" s="89"/>
      <x:c r="W74" s="89"/>
      <x:c r="X74" s="89"/>
      <x:c r="Y74" s="89"/>
      <x:c r="Z74" s="89"/>
    </x:row>
    <x:row r="75">
      <x:c r="A75" s="95"/>
      <x:c r="B75" s="95"/>
      <x:c r="C75" s="95"/>
      <x:c r="D75" s="108"/>
      <x:c r="E75" s="108"/>
      <x:c r="F75" s="108"/>
      <x:c r="G75" s="108"/>
      <x:c r="H75" s="95" t="str">
        <x:f>IF($A75="","",IF($E75&lt;=$G75,"Kritik",IF($E75&lt;=$G75*2,"Azalıyor","Yeterli")))</x:f>
      </x:c>
      <x:c r="I75" s="124" t="str">
        <x:f>IF($A75="","",IFERROR(VLOOKUP($A75,'Ayarlar'!$A$16:$C$22,2,FALSE),""))</x:f>
      </x:c>
      <x:c r="J75" s="124" t="str">
        <x:f>IF($A75="","",IFERROR($I75/1000,""))</x:f>
      </x:c>
      <x:c r="K75" s="114"/>
      <x:c r="L75" s="95"/>
      <x:c r="M75" s="89"/>
      <x:c r="N75" s="89"/>
      <x:c r="O75" s="89"/>
      <x:c r="P75" s="89"/>
      <x:c r="Q75" s="89"/>
      <x:c r="R75" s="89"/>
      <x:c r="S75" s="89"/>
      <x:c r="T75" s="89"/>
      <x:c r="U75" s="89"/>
      <x:c r="V75" s="89"/>
      <x:c r="W75" s="89"/>
      <x:c r="X75" s="89"/>
      <x:c r="Y75" s="89"/>
      <x:c r="Z75" s="89"/>
    </x:row>
    <x:row r="76">
      <x:c r="A76" s="95"/>
      <x:c r="B76" s="95"/>
      <x:c r="C76" s="95"/>
      <x:c r="D76" s="108"/>
      <x:c r="E76" s="108"/>
      <x:c r="F76" s="108"/>
      <x:c r="G76" s="108"/>
      <x:c r="H76" s="95" t="str">
        <x:f>IF($A76="","",IF($E76&lt;=$G76,"Kritik",IF($E76&lt;=$G76*2,"Azalıyor","Yeterli")))</x:f>
      </x:c>
      <x:c r="I76" s="124" t="str">
        <x:f>IF($A76="","",IFERROR(VLOOKUP($A76,'Ayarlar'!$A$16:$C$22,2,FALSE),""))</x:f>
      </x:c>
      <x:c r="J76" s="124" t="str">
        <x:f>IF($A76="","",IFERROR($I76/1000,""))</x:f>
      </x:c>
      <x:c r="K76" s="114"/>
      <x:c r="L76" s="95"/>
      <x:c r="M76" s="89"/>
      <x:c r="N76" s="89"/>
      <x:c r="O76" s="89"/>
      <x:c r="P76" s="89"/>
      <x:c r="Q76" s="89"/>
      <x:c r="R76" s="89"/>
      <x:c r="S76" s="89"/>
      <x:c r="T76" s="89"/>
      <x:c r="U76" s="89"/>
      <x:c r="V76" s="89"/>
      <x:c r="W76" s="89"/>
      <x:c r="X76" s="89"/>
      <x:c r="Y76" s="89"/>
      <x:c r="Z76" s="89"/>
    </x:row>
    <x:row r="77">
      <x:c r="A77" s="95"/>
      <x:c r="B77" s="95"/>
      <x:c r="C77" s="95"/>
      <x:c r="D77" s="108"/>
      <x:c r="E77" s="108"/>
      <x:c r="F77" s="108"/>
      <x:c r="G77" s="108"/>
      <x:c r="H77" s="95" t="str">
        <x:f>IF($A77="","",IF($E77&lt;=$G77,"Kritik",IF($E77&lt;=$G77*2,"Azalıyor","Yeterli")))</x:f>
      </x:c>
      <x:c r="I77" s="124" t="str">
        <x:f>IF($A77="","",IFERROR(VLOOKUP($A77,'Ayarlar'!$A$16:$C$22,2,FALSE),""))</x:f>
      </x:c>
      <x:c r="J77" s="124" t="str">
        <x:f>IF($A77="","",IFERROR($I77/1000,""))</x:f>
      </x:c>
      <x:c r="K77" s="114"/>
      <x:c r="L77" s="95"/>
      <x:c r="M77" s="89"/>
      <x:c r="N77" s="89"/>
      <x:c r="O77" s="89"/>
      <x:c r="P77" s="89"/>
      <x:c r="Q77" s="89"/>
      <x:c r="R77" s="89"/>
      <x:c r="S77" s="89"/>
      <x:c r="T77" s="89"/>
      <x:c r="U77" s="89"/>
      <x:c r="V77" s="89"/>
      <x:c r="W77" s="89"/>
      <x:c r="X77" s="89"/>
      <x:c r="Y77" s="89"/>
      <x:c r="Z77" s="89"/>
    </x:row>
    <x:row r="78">
      <x:c r="A78" s="95"/>
      <x:c r="B78" s="95"/>
      <x:c r="C78" s="95"/>
      <x:c r="D78" s="108"/>
      <x:c r="E78" s="108"/>
      <x:c r="F78" s="108"/>
      <x:c r="G78" s="108"/>
      <x:c r="H78" s="95" t="str">
        <x:f>IF($A78="","",IF($E78&lt;=$G78,"Kritik",IF($E78&lt;=$G78*2,"Azalıyor","Yeterli")))</x:f>
      </x:c>
      <x:c r="I78" s="124" t="str">
        <x:f>IF($A78="","",IFERROR(VLOOKUP($A78,'Ayarlar'!$A$16:$C$22,2,FALSE),""))</x:f>
      </x:c>
      <x:c r="J78" s="124" t="str">
        <x:f>IF($A78="","",IFERROR($I78/1000,""))</x:f>
      </x:c>
      <x:c r="K78" s="114"/>
      <x:c r="L78" s="95"/>
      <x:c r="M78" s="89"/>
      <x:c r="N78" s="89"/>
      <x:c r="O78" s="89"/>
      <x:c r="P78" s="89"/>
      <x:c r="Q78" s="89"/>
      <x:c r="R78" s="89"/>
      <x:c r="S78" s="89"/>
      <x:c r="T78" s="89"/>
      <x:c r="U78" s="89"/>
      <x:c r="V78" s="89"/>
      <x:c r="W78" s="89"/>
      <x:c r="X78" s="89"/>
      <x:c r="Y78" s="89"/>
      <x:c r="Z78" s="89"/>
    </x:row>
    <x:row r="79">
      <x:c r="A79" s="95"/>
      <x:c r="B79" s="95"/>
      <x:c r="C79" s="95"/>
      <x:c r="D79" s="108"/>
      <x:c r="E79" s="108"/>
      <x:c r="F79" s="108"/>
      <x:c r="G79" s="108"/>
      <x:c r="H79" s="95" t="str">
        <x:f>IF($A79="","",IF($E79&lt;=$G79,"Kritik",IF($E79&lt;=$G79*2,"Azalıyor","Yeterli")))</x:f>
      </x:c>
      <x:c r="I79" s="124" t="str">
        <x:f>IF($A79="","",IFERROR(VLOOKUP($A79,'Ayarlar'!$A$16:$C$22,2,FALSE),""))</x:f>
      </x:c>
      <x:c r="J79" s="124" t="str">
        <x:f>IF($A79="","",IFERROR($I79/1000,""))</x:f>
      </x:c>
      <x:c r="K79" s="114"/>
      <x:c r="L79" s="95"/>
      <x:c r="M79" s="89"/>
      <x:c r="N79" s="89"/>
      <x:c r="O79" s="89"/>
      <x:c r="P79" s="89"/>
      <x:c r="Q79" s="89"/>
      <x:c r="R79" s="89"/>
      <x:c r="S79" s="89"/>
      <x:c r="T79" s="89"/>
      <x:c r="U79" s="89"/>
      <x:c r="V79" s="89"/>
      <x:c r="W79" s="89"/>
      <x:c r="X79" s="89"/>
      <x:c r="Y79" s="89"/>
      <x:c r="Z79" s="89"/>
    </x:row>
    <x:row r="80">
      <x:c r="A80" s="95"/>
      <x:c r="B80" s="95"/>
      <x:c r="C80" s="95"/>
      <x:c r="D80" s="108"/>
      <x:c r="E80" s="108"/>
      <x:c r="F80" s="108"/>
      <x:c r="G80" s="108"/>
      <x:c r="H80" s="95" t="str">
        <x:f>IF($A80="","",IF($E80&lt;=$G80,"Kritik",IF($E80&lt;=$G80*2,"Azalıyor","Yeterli")))</x:f>
      </x:c>
      <x:c r="I80" s="124" t="str">
        <x:f>IF($A80="","",IFERROR(VLOOKUP($A80,'Ayarlar'!$A$16:$C$22,2,FALSE),""))</x:f>
      </x:c>
      <x:c r="J80" s="124" t="str">
        <x:f>IF($A80="","",IFERROR($I80/1000,""))</x:f>
      </x:c>
      <x:c r="K80" s="114"/>
      <x:c r="L80" s="95"/>
      <x:c r="M80" s="89"/>
      <x:c r="N80" s="89"/>
      <x:c r="O80" s="89"/>
      <x:c r="P80" s="89"/>
      <x:c r="Q80" s="89"/>
      <x:c r="R80" s="89"/>
      <x:c r="S80" s="89"/>
      <x:c r="T80" s="89"/>
      <x:c r="U80" s="89"/>
      <x:c r="V80" s="89"/>
      <x:c r="W80" s="89"/>
      <x:c r="X80" s="89"/>
      <x:c r="Y80" s="89"/>
      <x:c r="Z80" s="89"/>
    </x:row>
    <x:row r="81">
      <x:c r="A81" s="95"/>
      <x:c r="B81" s="95"/>
      <x:c r="C81" s="95"/>
      <x:c r="D81" s="108"/>
      <x:c r="E81" s="108"/>
      <x:c r="F81" s="108"/>
      <x:c r="G81" s="108"/>
      <x:c r="H81" s="95" t="str">
        <x:f>IF($A81="","",IF($E81&lt;=$G81,"Kritik",IF($E81&lt;=$G81*2,"Azalıyor","Yeterli")))</x:f>
      </x:c>
      <x:c r="I81" s="124" t="str">
        <x:f>IF($A81="","",IFERROR(VLOOKUP($A81,'Ayarlar'!$A$16:$C$22,2,FALSE),""))</x:f>
      </x:c>
      <x:c r="J81" s="124" t="str">
        <x:f>IF($A81="","",IFERROR($I81/1000,""))</x:f>
      </x:c>
      <x:c r="K81" s="114"/>
      <x:c r="L81" s="95"/>
      <x:c r="M81" s="89"/>
      <x:c r="N81" s="89"/>
      <x:c r="O81" s="89"/>
      <x:c r="P81" s="89"/>
      <x:c r="Q81" s="89"/>
      <x:c r="R81" s="89"/>
      <x:c r="S81" s="89"/>
      <x:c r="T81" s="89"/>
      <x:c r="U81" s="89"/>
      <x:c r="V81" s="89"/>
      <x:c r="W81" s="89"/>
      <x:c r="X81" s="89"/>
      <x:c r="Y81" s="89"/>
      <x:c r="Z81" s="89"/>
    </x:row>
    <x:row r="82">
      <x:c r="A82" s="95"/>
      <x:c r="B82" s="95"/>
      <x:c r="C82" s="95"/>
      <x:c r="D82" s="108"/>
      <x:c r="E82" s="108"/>
      <x:c r="F82" s="108"/>
      <x:c r="G82" s="108"/>
      <x:c r="H82" s="95" t="str">
        <x:f>IF($A82="","",IF($E82&lt;=$G82,"Kritik",IF($E82&lt;=$G82*2,"Azalıyor","Yeterli")))</x:f>
      </x:c>
      <x:c r="I82" s="124" t="str">
        <x:f>IF($A82="","",IFERROR(VLOOKUP($A82,'Ayarlar'!$A$16:$C$22,2,FALSE),""))</x:f>
      </x:c>
      <x:c r="J82" s="124" t="str">
        <x:f>IF($A82="","",IFERROR($I82/1000,""))</x:f>
      </x:c>
      <x:c r="K82" s="114"/>
      <x:c r="L82" s="95"/>
      <x:c r="M82" s="89"/>
      <x:c r="N82" s="89"/>
      <x:c r="O82" s="89"/>
      <x:c r="P82" s="89"/>
      <x:c r="Q82" s="89"/>
      <x:c r="R82" s="89"/>
      <x:c r="S82" s="89"/>
      <x:c r="T82" s="89"/>
      <x:c r="U82" s="89"/>
      <x:c r="V82" s="89"/>
      <x:c r="W82" s="89"/>
      <x:c r="X82" s="89"/>
      <x:c r="Y82" s="89"/>
      <x:c r="Z82" s="89"/>
    </x:row>
    <x:row r="83">
      <x:c r="A83" s="95"/>
      <x:c r="B83" s="95"/>
      <x:c r="C83" s="95"/>
      <x:c r="D83" s="108"/>
      <x:c r="E83" s="108"/>
      <x:c r="F83" s="108"/>
      <x:c r="G83" s="108"/>
      <x:c r="H83" s="95" t="str">
        <x:f>IF($A83="","",IF($E83&lt;=$G83,"Kritik",IF($E83&lt;=$G83*2,"Azalıyor","Yeterli")))</x:f>
      </x:c>
      <x:c r="I83" s="124" t="str">
        <x:f>IF($A83="","",IFERROR(VLOOKUP($A83,'Ayarlar'!$A$16:$C$22,2,FALSE),""))</x:f>
      </x:c>
      <x:c r="J83" s="124" t="str">
        <x:f>IF($A83="","",IFERROR($I83/1000,""))</x:f>
      </x:c>
      <x:c r="K83" s="114"/>
      <x:c r="L83" s="95"/>
      <x:c r="M83" s="89"/>
      <x:c r="N83" s="89"/>
      <x:c r="O83" s="89"/>
      <x:c r="P83" s="89"/>
      <x:c r="Q83" s="89"/>
      <x:c r="R83" s="89"/>
      <x:c r="S83" s="89"/>
      <x:c r="T83" s="89"/>
      <x:c r="U83" s="89"/>
      <x:c r="V83" s="89"/>
      <x:c r="W83" s="89"/>
      <x:c r="X83" s="89"/>
      <x:c r="Y83" s="89"/>
      <x:c r="Z83" s="89"/>
    </x:row>
    <x:row r="84">
      <x:c r="A84" s="95"/>
      <x:c r="B84" s="95"/>
      <x:c r="C84" s="95"/>
      <x:c r="D84" s="108"/>
      <x:c r="E84" s="108"/>
      <x:c r="F84" s="108"/>
      <x:c r="G84" s="108"/>
      <x:c r="H84" s="95" t="str">
        <x:f>IF($A84="","",IF($E84&lt;=$G84,"Kritik",IF($E84&lt;=$G84*2,"Azalıyor","Yeterli")))</x:f>
      </x:c>
      <x:c r="I84" s="124" t="str">
        <x:f>IF($A84="","",IFERROR(VLOOKUP($A84,'Ayarlar'!$A$16:$C$22,2,FALSE),""))</x:f>
      </x:c>
      <x:c r="J84" s="124" t="str">
        <x:f>IF($A84="","",IFERROR($I84/1000,""))</x:f>
      </x:c>
      <x:c r="K84" s="114"/>
      <x:c r="L84" s="95"/>
      <x:c r="M84" s="89"/>
      <x:c r="N84" s="89"/>
      <x:c r="O84" s="89"/>
      <x:c r="P84" s="89"/>
      <x:c r="Q84" s="89"/>
      <x:c r="R84" s="89"/>
      <x:c r="S84" s="89"/>
      <x:c r="T84" s="89"/>
      <x:c r="U84" s="89"/>
      <x:c r="V84" s="89"/>
      <x:c r="W84" s="89"/>
      <x:c r="X84" s="89"/>
      <x:c r="Y84" s="89"/>
      <x:c r="Z84" s="89"/>
    </x:row>
    <x:row r="85">
      <x:c r="A85" s="95"/>
      <x:c r="B85" s="95"/>
      <x:c r="C85" s="95"/>
      <x:c r="D85" s="108"/>
      <x:c r="E85" s="108"/>
      <x:c r="F85" s="108"/>
      <x:c r="G85" s="108"/>
      <x:c r="H85" s="95" t="str">
        <x:f>IF($A85="","",IF($E85&lt;=$G85,"Kritik",IF($E85&lt;=$G85*2,"Azalıyor","Yeterli")))</x:f>
      </x:c>
      <x:c r="I85" s="124" t="str">
        <x:f>IF($A85="","",IFERROR(VLOOKUP($A85,'Ayarlar'!$A$16:$C$22,2,FALSE),""))</x:f>
      </x:c>
      <x:c r="J85" s="124" t="str">
        <x:f>IF($A85="","",IFERROR($I85/1000,""))</x:f>
      </x:c>
      <x:c r="K85" s="114"/>
      <x:c r="L85" s="95"/>
      <x:c r="M85" s="89"/>
      <x:c r="N85" s="89"/>
      <x:c r="O85" s="89"/>
      <x:c r="P85" s="89"/>
      <x:c r="Q85" s="89"/>
      <x:c r="R85" s="89"/>
      <x:c r="S85" s="89"/>
      <x:c r="T85" s="89"/>
      <x:c r="U85" s="89"/>
      <x:c r="V85" s="89"/>
      <x:c r="W85" s="89"/>
      <x:c r="X85" s="89"/>
      <x:c r="Y85" s="89"/>
      <x:c r="Z85" s="89"/>
    </x:row>
    <x:row r="86">
      <x:c r="A86" s="95"/>
      <x:c r="B86" s="95"/>
      <x:c r="C86" s="95"/>
      <x:c r="D86" s="108"/>
      <x:c r="E86" s="108"/>
      <x:c r="F86" s="108"/>
      <x:c r="G86" s="108"/>
      <x:c r="H86" s="95" t="str">
        <x:f>IF($A86="","",IF($E86&lt;=$G86,"Kritik",IF($E86&lt;=$G86*2,"Azalıyor","Yeterli")))</x:f>
      </x:c>
      <x:c r="I86" s="124" t="str">
        <x:f>IF($A86="","",IFERROR(VLOOKUP($A86,'Ayarlar'!$A$16:$C$22,2,FALSE),""))</x:f>
      </x:c>
      <x:c r="J86" s="124" t="str">
        <x:f>IF($A86="","",IFERROR($I86/1000,""))</x:f>
      </x:c>
      <x:c r="K86" s="114"/>
      <x:c r="L86" s="95"/>
      <x:c r="M86" s="89"/>
      <x:c r="N86" s="89"/>
      <x:c r="O86" s="89"/>
      <x:c r="P86" s="89"/>
      <x:c r="Q86" s="89"/>
      <x:c r="R86" s="89"/>
      <x:c r="S86" s="89"/>
      <x:c r="T86" s="89"/>
      <x:c r="U86" s="89"/>
      <x:c r="V86" s="89"/>
      <x:c r="W86" s="89"/>
      <x:c r="X86" s="89"/>
      <x:c r="Y86" s="89"/>
      <x:c r="Z86" s="89"/>
    </x:row>
    <x:row r="87">
      <x:c r="A87" s="95"/>
      <x:c r="B87" s="95"/>
      <x:c r="C87" s="95"/>
      <x:c r="D87" s="108"/>
      <x:c r="E87" s="108"/>
      <x:c r="F87" s="108"/>
      <x:c r="G87" s="108"/>
      <x:c r="H87" s="95" t="str">
        <x:f>IF($A87="","",IF($E87&lt;=$G87,"Kritik",IF($E87&lt;=$G87*2,"Azalıyor","Yeterli")))</x:f>
      </x:c>
      <x:c r="I87" s="124" t="str">
        <x:f>IF($A87="","",IFERROR(VLOOKUP($A87,'Ayarlar'!$A$16:$C$22,2,FALSE),""))</x:f>
      </x:c>
      <x:c r="J87" s="124" t="str">
        <x:f>IF($A87="","",IFERROR($I87/1000,""))</x:f>
      </x:c>
      <x:c r="K87" s="114"/>
      <x:c r="L87" s="95"/>
      <x:c r="M87" s="89"/>
      <x:c r="N87" s="89"/>
      <x:c r="O87" s="89"/>
      <x:c r="P87" s="89"/>
      <x:c r="Q87" s="89"/>
      <x:c r="R87" s="89"/>
      <x:c r="S87" s="89"/>
      <x:c r="T87" s="89"/>
      <x:c r="U87" s="89"/>
      <x:c r="V87" s="89"/>
      <x:c r="W87" s="89"/>
      <x:c r="X87" s="89"/>
      <x:c r="Y87" s="89"/>
      <x:c r="Z87" s="89"/>
    </x:row>
    <x:row r="88">
      <x:c r="A88" s="95"/>
      <x:c r="B88" s="95"/>
      <x:c r="C88" s="95"/>
      <x:c r="D88" s="108"/>
      <x:c r="E88" s="108"/>
      <x:c r="F88" s="108"/>
      <x:c r="G88" s="108"/>
      <x:c r="H88" s="95" t="str">
        <x:f>IF($A88="","",IF($E88&lt;=$G88,"Kritik",IF($E88&lt;=$G88*2,"Azalıyor","Yeterli")))</x:f>
      </x:c>
      <x:c r="I88" s="124" t="str">
        <x:f>IF($A88="","",IFERROR(VLOOKUP($A88,'Ayarlar'!$A$16:$C$22,2,FALSE),""))</x:f>
      </x:c>
      <x:c r="J88" s="124" t="str">
        <x:f>IF($A88="","",IFERROR($I88/1000,""))</x:f>
      </x:c>
      <x:c r="K88" s="114"/>
      <x:c r="L88" s="95"/>
      <x:c r="M88" s="89"/>
      <x:c r="N88" s="89"/>
      <x:c r="O88" s="89"/>
      <x:c r="P88" s="89"/>
      <x:c r="Q88" s="89"/>
      <x:c r="R88" s="89"/>
      <x:c r="S88" s="89"/>
      <x:c r="T88" s="89"/>
      <x:c r="U88" s="89"/>
      <x:c r="V88" s="89"/>
      <x:c r="W88" s="89"/>
      <x:c r="X88" s="89"/>
      <x:c r="Y88" s="89"/>
      <x:c r="Z88" s="89"/>
    </x:row>
    <x:row r="89">
      <x:c r="A89" s="95"/>
      <x:c r="B89" s="95"/>
      <x:c r="C89" s="95"/>
      <x:c r="D89" s="108"/>
      <x:c r="E89" s="108"/>
      <x:c r="F89" s="108"/>
      <x:c r="G89" s="108"/>
      <x:c r="H89" s="95" t="str">
        <x:f>IF($A89="","",IF($E89&lt;=$G89,"Kritik",IF($E89&lt;=$G89*2,"Azalıyor","Yeterli")))</x:f>
      </x:c>
      <x:c r="I89" s="124" t="str">
        <x:f>IF($A89="","",IFERROR(VLOOKUP($A89,'Ayarlar'!$A$16:$C$22,2,FALSE),""))</x:f>
      </x:c>
      <x:c r="J89" s="124" t="str">
        <x:f>IF($A89="","",IFERROR($I89/1000,""))</x:f>
      </x:c>
      <x:c r="K89" s="114"/>
      <x:c r="L89" s="95"/>
      <x:c r="M89" s="89"/>
      <x:c r="N89" s="89"/>
      <x:c r="O89" s="89"/>
      <x:c r="P89" s="89"/>
      <x:c r="Q89" s="89"/>
      <x:c r="R89" s="89"/>
      <x:c r="S89" s="89"/>
      <x:c r="T89" s="89"/>
      <x:c r="U89" s="89"/>
      <x:c r="V89" s="89"/>
      <x:c r="W89" s="89"/>
      <x:c r="X89" s="89"/>
      <x:c r="Y89" s="89"/>
      <x:c r="Z89" s="89"/>
    </x:row>
    <x:row r="90">
      <x:c r="A90" s="95"/>
      <x:c r="B90" s="95"/>
      <x:c r="C90" s="95"/>
      <x:c r="D90" s="108"/>
      <x:c r="E90" s="108"/>
      <x:c r="F90" s="108"/>
      <x:c r="G90" s="108"/>
      <x:c r="H90" s="95" t="str">
        <x:f>IF($A90="","",IF($E90&lt;=$G90,"Kritik",IF($E90&lt;=$G90*2,"Azalıyor","Yeterli")))</x:f>
      </x:c>
      <x:c r="I90" s="124" t="str">
        <x:f>IF($A90="","",IFERROR(VLOOKUP($A90,'Ayarlar'!$A$16:$C$22,2,FALSE),""))</x:f>
      </x:c>
      <x:c r="J90" s="124" t="str">
        <x:f>IF($A90="","",IFERROR($I90/1000,""))</x:f>
      </x:c>
      <x:c r="K90" s="114"/>
      <x:c r="L90" s="95"/>
      <x:c r="M90" s="89"/>
      <x:c r="N90" s="89"/>
      <x:c r="O90" s="89"/>
      <x:c r="P90" s="89"/>
      <x:c r="Q90" s="89"/>
      <x:c r="R90" s="89"/>
      <x:c r="S90" s="89"/>
      <x:c r="T90" s="89"/>
      <x:c r="U90" s="89"/>
      <x:c r="V90" s="89"/>
      <x:c r="W90" s="89"/>
      <x:c r="X90" s="89"/>
      <x:c r="Y90" s="89"/>
      <x:c r="Z90" s="89"/>
    </x:row>
    <x:row r="91">
      <x:c r="A91" s="95"/>
      <x:c r="B91" s="95"/>
      <x:c r="C91" s="95"/>
      <x:c r="D91" s="108"/>
      <x:c r="E91" s="108"/>
      <x:c r="F91" s="108"/>
      <x:c r="G91" s="108"/>
      <x:c r="H91" s="95" t="str">
        <x:f>IF($A91="","",IF($E91&lt;=$G91,"Kritik",IF($E91&lt;=$G91*2,"Azalıyor","Yeterli")))</x:f>
      </x:c>
      <x:c r="I91" s="124" t="str">
        <x:f>IF($A91="","",IFERROR(VLOOKUP($A91,'Ayarlar'!$A$16:$C$22,2,FALSE),""))</x:f>
      </x:c>
      <x:c r="J91" s="124" t="str">
        <x:f>IF($A91="","",IFERROR($I91/1000,""))</x:f>
      </x:c>
      <x:c r="K91" s="114"/>
      <x:c r="L91" s="95"/>
      <x:c r="M91" s="89"/>
      <x:c r="N91" s="89"/>
      <x:c r="O91" s="89"/>
      <x:c r="P91" s="89"/>
      <x:c r="Q91" s="89"/>
      <x:c r="R91" s="89"/>
      <x:c r="S91" s="89"/>
      <x:c r="T91" s="89"/>
      <x:c r="U91" s="89"/>
      <x:c r="V91" s="89"/>
      <x:c r="W91" s="89"/>
      <x:c r="X91" s="89"/>
      <x:c r="Y91" s="89"/>
      <x:c r="Z91" s="89"/>
    </x:row>
    <x:row r="92">
      <x:c r="A92" s="95"/>
      <x:c r="B92" s="95"/>
      <x:c r="C92" s="95"/>
      <x:c r="D92" s="108"/>
      <x:c r="E92" s="108"/>
      <x:c r="F92" s="108"/>
      <x:c r="G92" s="108"/>
      <x:c r="H92" s="95" t="str">
        <x:f>IF($A92="","",IF($E92&lt;=$G92,"Kritik",IF($E92&lt;=$G92*2,"Azalıyor","Yeterli")))</x:f>
      </x:c>
      <x:c r="I92" s="124" t="str">
        <x:f>IF($A92="","",IFERROR(VLOOKUP($A92,'Ayarlar'!$A$16:$C$22,2,FALSE),""))</x:f>
      </x:c>
      <x:c r="J92" s="124" t="str">
        <x:f>IF($A92="","",IFERROR($I92/1000,""))</x:f>
      </x:c>
      <x:c r="K92" s="114"/>
      <x:c r="L92" s="95"/>
      <x:c r="M92" s="89"/>
      <x:c r="N92" s="89"/>
      <x:c r="O92" s="89"/>
      <x:c r="P92" s="89"/>
      <x:c r="Q92" s="89"/>
      <x:c r="R92" s="89"/>
      <x:c r="S92" s="89"/>
      <x:c r="T92" s="89"/>
      <x:c r="U92" s="89"/>
      <x:c r="V92" s="89"/>
      <x:c r="W92" s="89"/>
      <x:c r="X92" s="89"/>
      <x:c r="Y92" s="89"/>
      <x:c r="Z92" s="89"/>
    </x:row>
    <x:row r="93">
      <x:c r="A93" s="95"/>
      <x:c r="B93" s="95"/>
      <x:c r="C93" s="95"/>
      <x:c r="D93" s="108"/>
      <x:c r="E93" s="108"/>
      <x:c r="F93" s="108"/>
      <x:c r="G93" s="108"/>
      <x:c r="H93" s="95" t="str">
        <x:f>IF($A93="","",IF($E93&lt;=$G93,"Kritik",IF($E93&lt;=$G93*2,"Azalıyor","Yeterli")))</x:f>
      </x:c>
      <x:c r="I93" s="124" t="str">
        <x:f>IF($A93="","",IFERROR(VLOOKUP($A93,'Ayarlar'!$A$16:$C$22,2,FALSE),""))</x:f>
      </x:c>
      <x:c r="J93" s="124" t="str">
        <x:f>IF($A93="","",IFERROR($I93/1000,""))</x:f>
      </x:c>
      <x:c r="K93" s="114"/>
      <x:c r="L93" s="95"/>
      <x:c r="M93" s="89"/>
      <x:c r="N93" s="89"/>
      <x:c r="O93" s="89"/>
      <x:c r="P93" s="89"/>
      <x:c r="Q93" s="89"/>
      <x:c r="R93" s="89"/>
      <x:c r="S93" s="89"/>
      <x:c r="T93" s="89"/>
      <x:c r="U93" s="89"/>
      <x:c r="V93" s="89"/>
      <x:c r="W93" s="89"/>
      <x:c r="X93" s="89"/>
      <x:c r="Y93" s="89"/>
      <x:c r="Z93" s="89"/>
    </x:row>
    <x:row r="94">
      <x:c r="A94" s="95"/>
      <x:c r="B94" s="95"/>
      <x:c r="C94" s="95"/>
      <x:c r="D94" s="108"/>
      <x:c r="E94" s="108"/>
      <x:c r="F94" s="108"/>
      <x:c r="G94" s="108"/>
      <x:c r="H94" s="95" t="str">
        <x:f>IF($A94="","",IF($E94&lt;=$G94,"Kritik",IF($E94&lt;=$G94*2,"Azalıyor","Yeterli")))</x:f>
      </x:c>
      <x:c r="I94" s="124" t="str">
        <x:f>IF($A94="","",IFERROR(VLOOKUP($A94,'Ayarlar'!$A$16:$C$22,2,FALSE),""))</x:f>
      </x:c>
      <x:c r="J94" s="124" t="str">
        <x:f>IF($A94="","",IFERROR($I94/1000,""))</x:f>
      </x:c>
      <x:c r="K94" s="114"/>
      <x:c r="L94" s="95"/>
      <x:c r="M94" s="89"/>
      <x:c r="N94" s="89"/>
      <x:c r="O94" s="89"/>
      <x:c r="P94" s="89"/>
      <x:c r="Q94" s="89"/>
      <x:c r="R94" s="89"/>
      <x:c r="S94" s="89"/>
      <x:c r="T94" s="89"/>
      <x:c r="U94" s="89"/>
      <x:c r="V94" s="89"/>
      <x:c r="W94" s="89"/>
      <x:c r="X94" s="89"/>
      <x:c r="Y94" s="89"/>
      <x:c r="Z94" s="89"/>
    </x:row>
    <x:row r="95">
      <x:c r="A95" s="95"/>
      <x:c r="B95" s="95"/>
      <x:c r="C95" s="95"/>
      <x:c r="D95" s="108"/>
      <x:c r="E95" s="108"/>
      <x:c r="F95" s="108"/>
      <x:c r="G95" s="108"/>
      <x:c r="H95" s="95" t="str">
        <x:f>IF($A95="","",IF($E95&lt;=$G95,"Kritik",IF($E95&lt;=$G95*2,"Azalıyor","Yeterli")))</x:f>
      </x:c>
      <x:c r="I95" s="124" t="str">
        <x:f>IF($A95="","",IFERROR(VLOOKUP($A95,'Ayarlar'!$A$16:$C$22,2,FALSE),""))</x:f>
      </x:c>
      <x:c r="J95" s="124" t="str">
        <x:f>IF($A95="","",IFERROR($I95/1000,""))</x:f>
      </x:c>
      <x:c r="K95" s="114"/>
      <x:c r="L95" s="95"/>
      <x:c r="M95" s="89"/>
      <x:c r="N95" s="89"/>
      <x:c r="O95" s="89"/>
      <x:c r="P95" s="89"/>
      <x:c r="Q95" s="89"/>
      <x:c r="R95" s="89"/>
      <x:c r="S95" s="89"/>
      <x:c r="T95" s="89"/>
      <x:c r="U95" s="89"/>
      <x:c r="V95" s="89"/>
      <x:c r="W95" s="89"/>
      <x:c r="X95" s="89"/>
      <x:c r="Y95" s="89"/>
      <x:c r="Z95" s="89"/>
    </x:row>
    <x:row r="96">
      <x:c r="A96" s="95"/>
      <x:c r="B96" s="95"/>
      <x:c r="C96" s="95"/>
      <x:c r="D96" s="108"/>
      <x:c r="E96" s="108"/>
      <x:c r="F96" s="108"/>
      <x:c r="G96" s="108"/>
      <x:c r="H96" s="95" t="str">
        <x:f>IF($A96="","",IF($E96&lt;=$G96,"Kritik",IF($E96&lt;=$G96*2,"Azalıyor","Yeterli")))</x:f>
      </x:c>
      <x:c r="I96" s="124" t="str">
        <x:f>IF($A96="","",IFERROR(VLOOKUP($A96,'Ayarlar'!$A$16:$C$22,2,FALSE),""))</x:f>
      </x:c>
      <x:c r="J96" s="124" t="str">
        <x:f>IF($A96="","",IFERROR($I96/1000,""))</x:f>
      </x:c>
      <x:c r="K96" s="114"/>
      <x:c r="L96" s="95"/>
      <x:c r="M96" s="89"/>
      <x:c r="N96" s="89"/>
      <x:c r="O96" s="89"/>
      <x:c r="P96" s="89"/>
      <x:c r="Q96" s="89"/>
      <x:c r="R96" s="89"/>
      <x:c r="S96" s="89"/>
      <x:c r="T96" s="89"/>
      <x:c r="U96" s="89"/>
      <x:c r="V96" s="89"/>
      <x:c r="W96" s="89"/>
      <x:c r="X96" s="89"/>
      <x:c r="Y96" s="89"/>
      <x:c r="Z96" s="89"/>
    </x:row>
    <x:row r="97">
      <x:c r="A97" s="95"/>
      <x:c r="B97" s="95"/>
      <x:c r="C97" s="95"/>
      <x:c r="D97" s="108"/>
      <x:c r="E97" s="108"/>
      <x:c r="F97" s="108"/>
      <x:c r="G97" s="108"/>
      <x:c r="H97" s="95" t="str">
        <x:f>IF($A97="","",IF($E97&lt;=$G97,"Kritik",IF($E97&lt;=$G97*2,"Azalıyor","Yeterli")))</x:f>
      </x:c>
      <x:c r="I97" s="124" t="str">
        <x:f>IF($A97="","",IFERROR(VLOOKUP($A97,'Ayarlar'!$A$16:$C$22,2,FALSE),""))</x:f>
      </x:c>
      <x:c r="J97" s="124" t="str">
        <x:f>IF($A97="","",IFERROR($I97/1000,""))</x:f>
      </x:c>
      <x:c r="K97" s="114"/>
      <x:c r="L97" s="95"/>
      <x:c r="M97" s="89"/>
      <x:c r="N97" s="89"/>
      <x:c r="O97" s="89"/>
      <x:c r="P97" s="89"/>
      <x:c r="Q97" s="89"/>
      <x:c r="R97" s="89"/>
      <x:c r="S97" s="89"/>
      <x:c r="T97" s="89"/>
      <x:c r="U97" s="89"/>
      <x:c r="V97" s="89"/>
      <x:c r="W97" s="89"/>
      <x:c r="X97" s="89"/>
      <x:c r="Y97" s="89"/>
      <x:c r="Z97" s="89"/>
    </x:row>
    <x:row r="98">
      <x:c r="A98" s="95"/>
      <x:c r="B98" s="95"/>
      <x:c r="C98" s="95"/>
      <x:c r="D98" s="108"/>
      <x:c r="E98" s="108"/>
      <x:c r="F98" s="108"/>
      <x:c r="G98" s="108"/>
      <x:c r="H98" s="95" t="str">
        <x:f>IF($A98="","",IF($E98&lt;=$G98,"Kritik",IF($E98&lt;=$G98*2,"Azalıyor","Yeterli")))</x:f>
      </x:c>
      <x:c r="I98" s="124" t="str">
        <x:f>IF($A98="","",IFERROR(VLOOKUP($A98,'Ayarlar'!$A$16:$C$22,2,FALSE),""))</x:f>
      </x:c>
      <x:c r="J98" s="124" t="str">
        <x:f>IF($A98="","",IFERROR($I98/1000,""))</x:f>
      </x:c>
      <x:c r="K98" s="114"/>
      <x:c r="L98" s="95"/>
      <x:c r="M98" s="89"/>
      <x:c r="N98" s="89"/>
      <x:c r="O98" s="89"/>
      <x:c r="P98" s="89"/>
      <x:c r="Q98" s="89"/>
      <x:c r="R98" s="89"/>
      <x:c r="S98" s="89"/>
      <x:c r="T98" s="89"/>
      <x:c r="U98" s="89"/>
      <x:c r="V98" s="89"/>
      <x:c r="W98" s="89"/>
      <x:c r="X98" s="89"/>
      <x:c r="Y98" s="89"/>
      <x:c r="Z98" s="89"/>
    </x:row>
    <x:row r="99">
      <x:c r="A99" s="95"/>
      <x:c r="B99" s="95"/>
      <x:c r="C99" s="95"/>
      <x:c r="D99" s="108"/>
      <x:c r="E99" s="108"/>
      <x:c r="F99" s="108"/>
      <x:c r="G99" s="108"/>
      <x:c r="H99" s="95" t="str">
        <x:f>IF($A99="","",IF($E99&lt;=$G99,"Kritik",IF($E99&lt;=$G99*2,"Azalıyor","Yeterli")))</x:f>
      </x:c>
      <x:c r="I99" s="124" t="str">
        <x:f>IF($A99="","",IFERROR(VLOOKUP($A99,'Ayarlar'!$A$16:$C$22,2,FALSE),""))</x:f>
      </x:c>
      <x:c r="J99" s="124" t="str">
        <x:f>IF($A99="","",IFERROR($I99/1000,""))</x:f>
      </x:c>
      <x:c r="K99" s="114"/>
      <x:c r="L99" s="95"/>
      <x:c r="M99" s="89"/>
      <x:c r="N99" s="89"/>
      <x:c r="O99" s="89"/>
      <x:c r="P99" s="89"/>
      <x:c r="Q99" s="89"/>
      <x:c r="R99" s="89"/>
      <x:c r="S99" s="89"/>
      <x:c r="T99" s="89"/>
      <x:c r="U99" s="89"/>
      <x:c r="V99" s="89"/>
      <x:c r="W99" s="89"/>
      <x:c r="X99" s="89"/>
      <x:c r="Y99" s="89"/>
      <x:c r="Z99" s="89"/>
    </x:row>
    <x:row r="100">
      <x:c r="A100" s="95"/>
      <x:c r="B100" s="95"/>
      <x:c r="C100" s="95"/>
      <x:c r="D100" s="108"/>
      <x:c r="E100" s="108"/>
      <x:c r="F100" s="108"/>
      <x:c r="G100" s="108"/>
      <x:c r="H100" s="95" t="str">
        <x:f>IF($A100="","",IF($E100&lt;=$G100,"Kritik",IF($E100&lt;=$G100*2,"Azalıyor","Yeterli")))</x:f>
      </x:c>
      <x:c r="I100" s="124" t="str">
        <x:f>IF($A100="","",IFERROR(VLOOKUP($A100,'Ayarlar'!$A$16:$C$22,2,FALSE),""))</x:f>
      </x:c>
      <x:c r="J100" s="124" t="str">
        <x:f>IF($A100="","",IFERROR($I100/1000,""))</x:f>
      </x:c>
      <x:c r="K100" s="114"/>
      <x:c r="L100" s="95"/>
      <x:c r="M100" s="89"/>
      <x:c r="N100" s="89"/>
      <x:c r="O100" s="89"/>
      <x:c r="P100" s="89"/>
      <x:c r="Q100" s="89"/>
      <x:c r="R100" s="89"/>
      <x:c r="S100" s="89"/>
      <x:c r="T100" s="89"/>
      <x:c r="U100" s="89"/>
      <x:c r="V100" s="89"/>
      <x:c r="W100" s="89"/>
      <x:c r="X100" s="89"/>
      <x:c r="Y100" s="89"/>
      <x:c r="Z100" s="89"/>
    </x:row>
    <x:row r="101">
      <x:c r="A101" s="95"/>
      <x:c r="B101" s="95"/>
      <x:c r="C101" s="95"/>
      <x:c r="D101" s="108"/>
      <x:c r="E101" s="108"/>
      <x:c r="F101" s="108"/>
      <x:c r="G101" s="108"/>
      <x:c r="H101" s="95" t="str">
        <x:f>IF($A101="","",IF($E101&lt;=$G101,"Kritik",IF($E101&lt;=$G101*2,"Azalıyor","Yeterli")))</x:f>
      </x:c>
      <x:c r="I101" s="124" t="str">
        <x:f>IF($A101="","",IFERROR(VLOOKUP($A101,'Ayarlar'!$A$16:$C$22,2,FALSE),""))</x:f>
      </x:c>
      <x:c r="J101" s="124" t="str">
        <x:f>IF($A101="","",IFERROR($I101/1000,""))</x:f>
      </x:c>
      <x:c r="K101" s="114"/>
      <x:c r="L101" s="95"/>
      <x:c r="M101" s="89"/>
      <x:c r="N101" s="89"/>
      <x:c r="O101" s="89"/>
      <x:c r="P101" s="89"/>
      <x:c r="Q101" s="89"/>
      <x:c r="R101" s="89"/>
      <x:c r="S101" s="89"/>
      <x:c r="T101" s="89"/>
      <x:c r="U101" s="89"/>
      <x:c r="V101" s="89"/>
      <x:c r="W101" s="89"/>
      <x:c r="X101" s="89"/>
      <x:c r="Y101" s="89"/>
      <x:c r="Z101" s="89"/>
    </x:row>
    <x:row r="102">
      <x:c r="A102" s="95"/>
      <x:c r="B102" s="95"/>
      <x:c r="C102" s="95"/>
      <x:c r="D102" s="108"/>
      <x:c r="E102" s="108"/>
      <x:c r="F102" s="108"/>
      <x:c r="G102" s="108"/>
      <x:c r="H102" s="95" t="str">
        <x:f>IF($A102="","",IF($E102&lt;=$G102,"Kritik",IF($E102&lt;=$G102*2,"Azalıyor","Yeterli")))</x:f>
      </x:c>
      <x:c r="I102" s="124" t="str">
        <x:f>IF($A102="","",IFERROR(VLOOKUP($A102,'Ayarlar'!$A$16:$C$22,2,FALSE),""))</x:f>
      </x:c>
      <x:c r="J102" s="124" t="str">
        <x:f>IF($A102="","",IFERROR($I102/1000,""))</x:f>
      </x:c>
      <x:c r="K102" s="114"/>
      <x:c r="L102" s="95"/>
      <x:c r="M102" s="89"/>
      <x:c r="N102" s="89"/>
      <x:c r="O102" s="89"/>
      <x:c r="P102" s="89"/>
      <x:c r="Q102" s="89"/>
      <x:c r="R102" s="89"/>
      <x:c r="S102" s="89"/>
      <x:c r="T102" s="89"/>
      <x:c r="U102" s="89"/>
      <x:c r="V102" s="89"/>
      <x:c r="W102" s="89"/>
      <x:c r="X102" s="89"/>
      <x:c r="Y102" s="89"/>
      <x:c r="Z102" s="89"/>
    </x:row>
    <x:row r="103">
      <x:c r="A103" s="89"/>
      <x:c r="B103" s="89"/>
      <x:c r="C103" s="89"/>
      <x:c r="D103" s="89"/>
      <x:c r="E103" s="89"/>
      <x:c r="F103" s="89"/>
      <x:c r="G103" s="89"/>
      <x:c r="H103" s="89"/>
      <x:c r="I103" s="89"/>
      <x:c r="J103" s="89"/>
      <x:c r="K103" s="89"/>
      <x:c r="L103" s="89"/>
      <x:c r="M103" s="89"/>
      <x:c r="N103" s="89"/>
      <x:c r="O103" s="89"/>
      <x:c r="P103" s="89"/>
      <x:c r="Q103" s="89"/>
      <x:c r="R103" s="89"/>
      <x:c r="S103" s="89"/>
      <x:c r="T103" s="89"/>
      <x:c r="U103" s="89"/>
      <x:c r="V103" s="89"/>
      <x:c r="W103" s="89"/>
      <x:c r="X103" s="89"/>
      <x:c r="Y103" s="89"/>
      <x:c r="Z103" s="89"/>
    </x:row>
    <x:row r="104">
      <x:c r="A104" s="89"/>
      <x:c r="B104" s="89"/>
      <x:c r="C104" s="89"/>
      <x:c r="D104" s="89"/>
      <x:c r="E104" s="89"/>
      <x:c r="F104" s="89"/>
      <x:c r="G104" s="89"/>
      <x:c r="H104" s="89"/>
      <x:c r="I104" s="89"/>
      <x:c r="J104" s="89"/>
      <x:c r="K104" s="89"/>
      <x:c r="L104" s="89"/>
      <x:c r="M104" s="89"/>
      <x:c r="N104" s="89"/>
      <x:c r="O104" s="89"/>
      <x:c r="P104" s="89"/>
      <x:c r="Q104" s="89"/>
      <x:c r="R104" s="89"/>
      <x:c r="S104" s="89"/>
      <x:c r="T104" s="89"/>
      <x:c r="U104" s="89"/>
      <x:c r="V104" s="89"/>
      <x:c r="W104" s="89"/>
      <x:c r="X104" s="89"/>
      <x:c r="Y104" s="89"/>
      <x:c r="Z104" s="89"/>
    </x:row>
    <x:row r="105">
      <x:c r="A105" s="89"/>
      <x:c r="B105" s="89"/>
      <x:c r="C105" s="89"/>
      <x:c r="D105" s="89"/>
      <x:c r="E105" s="89"/>
      <x:c r="F105" s="89"/>
      <x:c r="G105" s="89"/>
      <x:c r="H105" s="89"/>
      <x:c r="I105" s="89"/>
      <x:c r="J105" s="89"/>
      <x:c r="K105" s="89"/>
      <x:c r="L105" s="89"/>
      <x:c r="M105" s="89"/>
      <x:c r="N105" s="89"/>
      <x:c r="O105" s="89"/>
      <x:c r="P105" s="89"/>
      <x:c r="Q105" s="89"/>
      <x:c r="R105" s="89"/>
      <x:c r="S105" s="89"/>
      <x:c r="T105" s="89"/>
      <x:c r="U105" s="89"/>
      <x:c r="V105" s="89"/>
      <x:c r="W105" s="89"/>
      <x:c r="X105" s="89"/>
      <x:c r="Y105" s="89"/>
      <x:c r="Z105" s="89"/>
    </x:row>
    <x:row r="106">
      <x:c r="A106" s="89"/>
      <x:c r="B106" s="89"/>
      <x:c r="C106" s="89"/>
      <x:c r="D106" s="89"/>
      <x:c r="E106" s="89"/>
      <x:c r="F106" s="89"/>
      <x:c r="G106" s="89"/>
      <x:c r="H106" s="89"/>
      <x:c r="I106" s="89"/>
      <x:c r="J106" s="89"/>
      <x:c r="K106" s="89"/>
      <x:c r="L106" s="89"/>
      <x:c r="M106" s="89"/>
      <x:c r="N106" s="89"/>
      <x:c r="O106" s="89"/>
      <x:c r="P106" s="89"/>
      <x:c r="Q106" s="89"/>
      <x:c r="R106" s="89"/>
      <x:c r="S106" s="89"/>
      <x:c r="T106" s="89"/>
      <x:c r="U106" s="89"/>
      <x:c r="V106" s="89"/>
      <x:c r="W106" s="89"/>
      <x:c r="X106" s="89"/>
      <x:c r="Y106" s="89"/>
      <x:c r="Z106" s="89"/>
    </x:row>
    <x:row r="107">
      <x:c r="A107" s="89"/>
      <x:c r="B107" s="89"/>
      <x:c r="C107" s="89"/>
      <x:c r="D107" s="89"/>
      <x:c r="E107" s="89"/>
      <x:c r="F107" s="89"/>
      <x:c r="G107" s="89"/>
      <x:c r="H107" s="89"/>
      <x:c r="I107" s="89"/>
      <x:c r="J107" s="89"/>
      <x:c r="K107" s="89"/>
      <x:c r="L107" s="89"/>
      <x:c r="M107" s="89"/>
      <x:c r="N107" s="89"/>
      <x:c r="O107" s="89"/>
      <x:c r="P107" s="89"/>
      <x:c r="Q107" s="89"/>
      <x:c r="R107" s="89"/>
      <x:c r="S107" s="89"/>
      <x:c r="T107" s="89"/>
      <x:c r="U107" s="89"/>
      <x:c r="V107" s="89"/>
      <x:c r="W107" s="89"/>
      <x:c r="X107" s="89"/>
      <x:c r="Y107" s="89"/>
      <x:c r="Z107" s="89"/>
    </x:row>
    <x:row r="108">
      <x:c r="A108" s="89"/>
      <x:c r="B108" s="89"/>
      <x:c r="C108" s="89"/>
      <x:c r="D108" s="89"/>
      <x:c r="E108" s="89"/>
      <x:c r="F108" s="89"/>
      <x:c r="G108" s="89"/>
      <x:c r="H108" s="89"/>
      <x:c r="I108" s="89"/>
      <x:c r="J108" s="89"/>
      <x:c r="K108" s="89"/>
      <x:c r="L108" s="89"/>
      <x:c r="M108" s="89"/>
      <x:c r="N108" s="89"/>
      <x:c r="O108" s="89"/>
      <x:c r="P108" s="89"/>
      <x:c r="Q108" s="89"/>
      <x:c r="R108" s="89"/>
      <x:c r="S108" s="89"/>
      <x:c r="T108" s="89"/>
      <x:c r="U108" s="89"/>
      <x:c r="V108" s="89"/>
      <x:c r="W108" s="89"/>
      <x:c r="X108" s="89"/>
      <x:c r="Y108" s="89"/>
      <x:c r="Z108" s="89"/>
    </x:row>
    <x:row r="109">
      <x:c r="A109" s="89"/>
      <x:c r="B109" s="89"/>
      <x:c r="C109" s="89"/>
      <x:c r="D109" s="89"/>
      <x:c r="E109" s="89"/>
      <x:c r="F109" s="89"/>
      <x:c r="G109" s="89"/>
      <x:c r="H109" s="89"/>
      <x:c r="I109" s="89"/>
      <x:c r="J109" s="89"/>
      <x:c r="K109" s="89"/>
      <x:c r="L109" s="89"/>
      <x:c r="M109" s="89"/>
      <x:c r="N109" s="89"/>
      <x:c r="O109" s="89"/>
      <x:c r="P109" s="89"/>
      <x:c r="Q109" s="89"/>
      <x:c r="R109" s="89"/>
      <x:c r="S109" s="89"/>
      <x:c r="T109" s="89"/>
      <x:c r="U109" s="89"/>
      <x:c r="V109" s="89"/>
      <x:c r="W109" s="89"/>
      <x:c r="X109" s="89"/>
      <x:c r="Y109" s="89"/>
      <x:c r="Z109" s="89"/>
    </x:row>
    <x:row r="110">
      <x:c r="A110" s="89"/>
      <x:c r="B110" s="89"/>
      <x:c r="C110" s="89"/>
      <x:c r="D110" s="89"/>
      <x:c r="E110" s="89"/>
      <x:c r="F110" s="89"/>
      <x:c r="G110" s="89"/>
      <x:c r="H110" s="89"/>
      <x:c r="I110" s="89"/>
      <x:c r="J110" s="89"/>
      <x:c r="K110" s="89"/>
      <x:c r="L110" s="89"/>
      <x:c r="M110" s="89"/>
      <x:c r="N110" s="89"/>
      <x:c r="O110" s="89"/>
      <x:c r="P110" s="89"/>
      <x:c r="Q110" s="89"/>
      <x:c r="R110" s="89"/>
      <x:c r="S110" s="89"/>
      <x:c r="T110" s="89"/>
      <x:c r="U110" s="89"/>
      <x:c r="V110" s="89"/>
      <x:c r="W110" s="89"/>
      <x:c r="X110" s="89"/>
      <x:c r="Y110" s="89"/>
      <x:c r="Z110" s="89"/>
    </x:row>
    <x:row r="111">
      <x:c r="A111" s="89"/>
      <x:c r="B111" s="89"/>
      <x:c r="C111" s="89"/>
      <x:c r="D111" s="89"/>
      <x:c r="E111" s="89"/>
      <x:c r="F111" s="89"/>
      <x:c r="G111" s="89"/>
      <x:c r="H111" s="89"/>
      <x:c r="I111" s="89"/>
      <x:c r="J111" s="89"/>
      <x:c r="K111" s="89"/>
      <x:c r="L111" s="89"/>
      <x:c r="M111" s="89"/>
      <x:c r="N111" s="89"/>
      <x:c r="O111" s="89"/>
      <x:c r="P111" s="89"/>
      <x:c r="Q111" s="89"/>
      <x:c r="R111" s="89"/>
      <x:c r="S111" s="89"/>
      <x:c r="T111" s="89"/>
      <x:c r="U111" s="89"/>
      <x:c r="V111" s="89"/>
      <x:c r="W111" s="89"/>
      <x:c r="X111" s="89"/>
      <x:c r="Y111" s="89"/>
      <x:c r="Z111" s="89"/>
    </x:row>
    <x:row r="112">
      <x:c r="A112" s="89"/>
      <x:c r="B112" s="89"/>
      <x:c r="C112" s="89"/>
      <x:c r="D112" s="89"/>
      <x:c r="E112" s="89"/>
      <x:c r="F112" s="89"/>
      <x:c r="G112" s="89"/>
      <x:c r="H112" s="89"/>
      <x:c r="I112" s="89"/>
      <x:c r="J112" s="89"/>
      <x:c r="K112" s="89"/>
      <x:c r="L112" s="89"/>
      <x:c r="M112" s="89"/>
      <x:c r="N112" s="89"/>
      <x:c r="O112" s="89"/>
      <x:c r="P112" s="89"/>
      <x:c r="Q112" s="89"/>
      <x:c r="R112" s="89"/>
      <x:c r="S112" s="89"/>
      <x:c r="T112" s="89"/>
      <x:c r="U112" s="89"/>
      <x:c r="V112" s="89"/>
      <x:c r="W112" s="89"/>
      <x:c r="X112" s="89"/>
      <x:c r="Y112" s="89"/>
      <x:c r="Z112" s="89"/>
    </x:row>
    <x:row r="113">
      <x:c r="A113" s="89"/>
      <x:c r="B113" s="89"/>
      <x:c r="C113" s="89"/>
      <x:c r="D113" s="89"/>
      <x:c r="E113" s="89"/>
      <x:c r="F113" s="89"/>
      <x:c r="G113" s="89"/>
      <x:c r="H113" s="89"/>
      <x:c r="I113" s="89"/>
      <x:c r="J113" s="89"/>
      <x:c r="K113" s="89"/>
      <x:c r="L113" s="89"/>
      <x:c r="M113" s="89"/>
      <x:c r="N113" s="89"/>
      <x:c r="O113" s="89"/>
      <x:c r="P113" s="89"/>
      <x:c r="Q113" s="89"/>
      <x:c r="R113" s="89"/>
      <x:c r="S113" s="89"/>
      <x:c r="T113" s="89"/>
      <x:c r="U113" s="89"/>
      <x:c r="V113" s="89"/>
      <x:c r="W113" s="89"/>
      <x:c r="X113" s="89"/>
      <x:c r="Y113" s="89"/>
      <x:c r="Z113" s="89"/>
    </x:row>
    <x:row r="114">
      <x:c r="A114" s="89"/>
      <x:c r="B114" s="89"/>
      <x:c r="C114" s="89"/>
      <x:c r="D114" s="89"/>
      <x:c r="E114" s="89"/>
      <x:c r="F114" s="89"/>
      <x:c r="G114" s="89"/>
      <x:c r="H114" s="89"/>
      <x:c r="I114" s="89"/>
      <x:c r="J114" s="89"/>
      <x:c r="K114" s="89"/>
      <x:c r="L114" s="89"/>
      <x:c r="M114" s="89"/>
      <x:c r="N114" s="89"/>
      <x:c r="O114" s="89"/>
      <x:c r="P114" s="89"/>
      <x:c r="Q114" s="89"/>
      <x:c r="R114" s="89"/>
      <x:c r="S114" s="89"/>
      <x:c r="T114" s="89"/>
      <x:c r="U114" s="89"/>
      <x:c r="V114" s="89"/>
      <x:c r="W114" s="89"/>
      <x:c r="X114" s="89"/>
      <x:c r="Y114" s="89"/>
      <x:c r="Z114" s="89"/>
    </x:row>
    <x:row r="115">
      <x:c r="A115" s="89"/>
      <x:c r="B115" s="89"/>
      <x:c r="C115" s="89"/>
      <x:c r="D115" s="89"/>
      <x:c r="E115" s="89"/>
      <x:c r="F115" s="89"/>
      <x:c r="G115" s="89"/>
      <x:c r="H115" s="89"/>
      <x:c r="I115" s="89"/>
      <x:c r="J115" s="89"/>
      <x:c r="K115" s="89"/>
      <x:c r="L115" s="89"/>
      <x:c r="M115" s="89"/>
      <x:c r="N115" s="89"/>
      <x:c r="O115" s="89"/>
      <x:c r="P115" s="89"/>
      <x:c r="Q115" s="89"/>
      <x:c r="R115" s="89"/>
      <x:c r="S115" s="89"/>
      <x:c r="T115" s="89"/>
      <x:c r="U115" s="89"/>
      <x:c r="V115" s="89"/>
      <x:c r="W115" s="89"/>
      <x:c r="X115" s="89"/>
      <x:c r="Y115" s="89"/>
      <x:c r="Z115" s="89"/>
    </x:row>
    <x:row r="116">
      <x:c r="A116" s="89"/>
      <x:c r="B116" s="89"/>
      <x:c r="C116" s="89"/>
      <x:c r="D116" s="89"/>
      <x:c r="E116" s="89"/>
      <x:c r="F116" s="89"/>
      <x:c r="G116" s="89"/>
      <x:c r="H116" s="89"/>
      <x:c r="I116" s="89"/>
      <x:c r="J116" s="89"/>
      <x:c r="K116" s="89"/>
      <x:c r="L116" s="89"/>
      <x:c r="M116" s="89"/>
      <x:c r="N116" s="89"/>
      <x:c r="O116" s="89"/>
      <x:c r="P116" s="89"/>
      <x:c r="Q116" s="89"/>
      <x:c r="R116" s="89"/>
      <x:c r="S116" s="89"/>
      <x:c r="T116" s="89"/>
      <x:c r="U116" s="89"/>
      <x:c r="V116" s="89"/>
      <x:c r="W116" s="89"/>
      <x:c r="X116" s="89"/>
      <x:c r="Y116" s="89"/>
      <x:c r="Z116" s="89"/>
    </x:row>
    <x:row r="117">
      <x:c r="A117" s="89"/>
      <x:c r="B117" s="89"/>
      <x:c r="C117" s="89"/>
      <x:c r="D117" s="89"/>
      <x:c r="E117" s="89"/>
      <x:c r="F117" s="89"/>
      <x:c r="G117" s="89"/>
      <x:c r="H117" s="89"/>
      <x:c r="I117" s="89"/>
      <x:c r="J117" s="89"/>
      <x:c r="K117" s="89"/>
      <x:c r="L117" s="89"/>
      <x:c r="M117" s="89"/>
      <x:c r="N117" s="89"/>
      <x:c r="O117" s="89"/>
      <x:c r="P117" s="89"/>
      <x:c r="Q117" s="89"/>
      <x:c r="R117" s="89"/>
      <x:c r="S117" s="89"/>
      <x:c r="T117" s="89"/>
      <x:c r="U117" s="89"/>
      <x:c r="V117" s="89"/>
      <x:c r="W117" s="89"/>
      <x:c r="X117" s="89"/>
      <x:c r="Y117" s="89"/>
      <x:c r="Z117" s="89"/>
    </x:row>
    <x:row r="118">
      <x:c r="A118" s="89"/>
      <x:c r="B118" s="89"/>
      <x:c r="C118" s="89"/>
      <x:c r="D118" s="89"/>
      <x:c r="E118" s="89"/>
      <x:c r="F118" s="89"/>
      <x:c r="G118" s="89"/>
      <x:c r="H118" s="89"/>
      <x:c r="I118" s="89"/>
      <x:c r="J118" s="89"/>
      <x:c r="K118" s="89"/>
      <x:c r="L118" s="89"/>
      <x:c r="M118" s="89"/>
      <x:c r="N118" s="89"/>
      <x:c r="O118" s="89"/>
      <x:c r="P118" s="89"/>
      <x:c r="Q118" s="89"/>
      <x:c r="R118" s="89"/>
      <x:c r="S118" s="89"/>
      <x:c r="T118" s="89"/>
      <x:c r="U118" s="89"/>
      <x:c r="V118" s="89"/>
      <x:c r="W118" s="89"/>
      <x:c r="X118" s="89"/>
      <x:c r="Y118" s="89"/>
      <x:c r="Z118" s="89"/>
    </x:row>
    <x:row r="119">
      <x:c r="A119" s="89"/>
      <x:c r="B119" s="89"/>
      <x:c r="C119" s="89"/>
      <x:c r="D119" s="89"/>
      <x:c r="E119" s="89"/>
      <x:c r="F119" s="89"/>
      <x:c r="G119" s="89"/>
      <x:c r="H119" s="89"/>
      <x:c r="I119" s="89"/>
      <x:c r="J119" s="89"/>
      <x:c r="K119" s="89"/>
      <x:c r="L119" s="89"/>
      <x:c r="M119" s="89"/>
      <x:c r="N119" s="89"/>
      <x:c r="O119" s="89"/>
      <x:c r="P119" s="89"/>
      <x:c r="Q119" s="89"/>
      <x:c r="R119" s="89"/>
      <x:c r="S119" s="89"/>
      <x:c r="T119" s="89"/>
      <x:c r="U119" s="89"/>
      <x:c r="V119" s="89"/>
      <x:c r="W119" s="89"/>
      <x:c r="X119" s="89"/>
      <x:c r="Y119" s="89"/>
      <x:c r="Z119" s="89"/>
    </x:row>
    <x:row r="120">
      <x:c r="A120" s="89"/>
      <x:c r="B120" s="89"/>
      <x:c r="C120" s="89"/>
      <x:c r="D120" s="89"/>
      <x:c r="E120" s="89"/>
      <x:c r="F120" s="89"/>
      <x:c r="G120" s="89"/>
      <x:c r="H120" s="89"/>
      <x:c r="I120" s="89"/>
      <x:c r="J120" s="89"/>
      <x:c r="K120" s="89"/>
      <x:c r="L120" s="89"/>
      <x:c r="M120" s="89"/>
      <x:c r="N120" s="89"/>
      <x:c r="O120" s="89"/>
      <x:c r="P120" s="89"/>
      <x:c r="Q120" s="89"/>
      <x:c r="R120" s="89"/>
      <x:c r="S120" s="89"/>
      <x:c r="T120" s="89"/>
      <x:c r="U120" s="89"/>
      <x:c r="V120" s="89"/>
      <x:c r="W120" s="89"/>
      <x:c r="X120" s="89"/>
      <x:c r="Y120" s="89"/>
      <x:c r="Z120" s="89"/>
    </x:row>
    <x:row r="121">
      <x:c r="A121" s="89"/>
      <x:c r="B121" s="89"/>
      <x:c r="C121" s="89"/>
      <x:c r="D121" s="89"/>
      <x:c r="E121" s="89"/>
      <x:c r="F121" s="89"/>
      <x:c r="G121" s="89"/>
      <x:c r="H121" s="89"/>
      <x:c r="I121" s="89"/>
      <x:c r="J121" s="89"/>
      <x:c r="K121" s="89"/>
      <x:c r="L121" s="89"/>
      <x:c r="M121" s="89"/>
      <x:c r="N121" s="89"/>
      <x:c r="O121" s="89"/>
      <x:c r="P121" s="89"/>
      <x:c r="Q121" s="89"/>
      <x:c r="R121" s="89"/>
      <x:c r="S121" s="89"/>
      <x:c r="T121" s="89"/>
      <x:c r="U121" s="89"/>
      <x:c r="V121" s="89"/>
      <x:c r="W121" s="89"/>
      <x:c r="X121" s="89"/>
      <x:c r="Y121" s="89"/>
      <x:c r="Z121" s="89"/>
    </x:row>
    <x:row r="122">
      <x:c r="A122" s="89"/>
      <x:c r="B122" s="89"/>
      <x:c r="C122" s="89"/>
      <x:c r="D122" s="89"/>
      <x:c r="E122" s="89"/>
      <x:c r="F122" s="89"/>
      <x:c r="G122" s="89"/>
      <x:c r="H122" s="89"/>
      <x:c r="I122" s="89"/>
      <x:c r="J122" s="89"/>
      <x:c r="K122" s="89"/>
      <x:c r="L122" s="89"/>
      <x:c r="M122" s="89"/>
      <x:c r="N122" s="89"/>
      <x:c r="O122" s="89"/>
      <x:c r="P122" s="89"/>
      <x:c r="Q122" s="89"/>
      <x:c r="R122" s="89"/>
      <x:c r="S122" s="89"/>
      <x:c r="T122" s="89"/>
      <x:c r="U122" s="89"/>
      <x:c r="V122" s="89"/>
      <x:c r="W122" s="89"/>
      <x:c r="X122" s="89"/>
      <x:c r="Y122" s="89"/>
      <x:c r="Z122" s="89"/>
    </x:row>
    <x:row r="123">
      <x:c r="A123" s="89"/>
      <x:c r="B123" s="89"/>
      <x:c r="C123" s="89"/>
      <x:c r="D123" s="89"/>
      <x:c r="E123" s="89"/>
      <x:c r="F123" s="89"/>
      <x:c r="G123" s="89"/>
      <x:c r="H123" s="89"/>
      <x:c r="I123" s="89"/>
      <x:c r="J123" s="89"/>
      <x:c r="K123" s="89"/>
      <x:c r="L123" s="89"/>
      <x:c r="M123" s="89"/>
      <x:c r="N123" s="89"/>
      <x:c r="O123" s="89"/>
      <x:c r="P123" s="89"/>
      <x:c r="Q123" s="89"/>
      <x:c r="R123" s="89"/>
      <x:c r="S123" s="89"/>
      <x:c r="T123" s="89"/>
      <x:c r="U123" s="89"/>
      <x:c r="V123" s="89"/>
      <x:c r="W123" s="89"/>
      <x:c r="X123" s="89"/>
      <x:c r="Y123" s="89"/>
      <x:c r="Z123" s="89"/>
    </x:row>
    <x:row r="124">
      <x:c r="A124" s="89"/>
      <x:c r="B124" s="89"/>
      <x:c r="C124" s="89"/>
      <x:c r="D124" s="89"/>
      <x:c r="E124" s="89"/>
      <x:c r="F124" s="89"/>
      <x:c r="G124" s="89"/>
      <x:c r="H124" s="89"/>
      <x:c r="I124" s="89"/>
      <x:c r="J124" s="89"/>
      <x:c r="K124" s="89"/>
      <x:c r="L124" s="89"/>
      <x:c r="M124" s="89"/>
      <x:c r="N124" s="89"/>
      <x:c r="O124" s="89"/>
      <x:c r="P124" s="89"/>
      <x:c r="Q124" s="89"/>
      <x:c r="R124" s="89"/>
      <x:c r="S124" s="89"/>
      <x:c r="T124" s="89"/>
      <x:c r="U124" s="89"/>
      <x:c r="V124" s="89"/>
      <x:c r="W124" s="89"/>
      <x:c r="X124" s="89"/>
      <x:c r="Y124" s="89"/>
      <x:c r="Z124" s="89"/>
    </x:row>
    <x:row r="125">
      <x:c r="A125" s="89"/>
      <x:c r="B125" s="89"/>
      <x:c r="C125" s="89"/>
      <x:c r="D125" s="89"/>
      <x:c r="E125" s="89"/>
      <x:c r="F125" s="89"/>
      <x:c r="G125" s="89"/>
      <x:c r="H125" s="89"/>
      <x:c r="I125" s="89"/>
      <x:c r="J125" s="89"/>
      <x:c r="K125" s="89"/>
      <x:c r="L125" s="89"/>
      <x:c r="M125" s="89"/>
      <x:c r="N125" s="89"/>
      <x:c r="O125" s="89"/>
      <x:c r="P125" s="89"/>
      <x:c r="Q125" s="89"/>
      <x:c r="R125" s="89"/>
      <x:c r="S125" s="89"/>
      <x:c r="T125" s="89"/>
      <x:c r="U125" s="89"/>
      <x:c r="V125" s="89"/>
      <x:c r="W125" s="89"/>
      <x:c r="X125" s="89"/>
      <x:c r="Y125" s="89"/>
      <x:c r="Z125" s="89"/>
    </x:row>
    <x:row r="126">
      <x:c r="A126" s="89"/>
      <x:c r="B126" s="89"/>
      <x:c r="C126" s="89"/>
      <x:c r="D126" s="89"/>
      <x:c r="E126" s="89"/>
      <x:c r="F126" s="89"/>
      <x:c r="G126" s="89"/>
      <x:c r="H126" s="89"/>
      <x:c r="I126" s="89"/>
      <x:c r="J126" s="89"/>
      <x:c r="K126" s="89"/>
      <x:c r="L126" s="89"/>
      <x:c r="M126" s="89"/>
      <x:c r="N126" s="89"/>
      <x:c r="O126" s="89"/>
      <x:c r="P126" s="89"/>
      <x:c r="Q126" s="89"/>
      <x:c r="R126" s="89"/>
      <x:c r="S126" s="89"/>
      <x:c r="T126" s="89"/>
      <x:c r="U126" s="89"/>
      <x:c r="V126" s="89"/>
      <x:c r="W126" s="89"/>
      <x:c r="X126" s="89"/>
      <x:c r="Y126" s="89"/>
      <x:c r="Z126" s="89"/>
    </x:row>
    <x:row r="127">
      <x:c r="A127" s="89"/>
      <x:c r="B127" s="89"/>
      <x:c r="C127" s="89"/>
      <x:c r="D127" s="89"/>
      <x:c r="E127" s="89"/>
      <x:c r="F127" s="89"/>
      <x:c r="G127" s="89"/>
      <x:c r="H127" s="89"/>
      <x:c r="I127" s="89"/>
      <x:c r="J127" s="89"/>
      <x:c r="K127" s="89"/>
      <x:c r="L127" s="89"/>
      <x:c r="M127" s="89"/>
      <x:c r="N127" s="89"/>
      <x:c r="O127" s="89"/>
      <x:c r="P127" s="89"/>
      <x:c r="Q127" s="89"/>
      <x:c r="R127" s="89"/>
      <x:c r="S127" s="89"/>
      <x:c r="T127" s="89"/>
      <x:c r="U127" s="89"/>
      <x:c r="V127" s="89"/>
      <x:c r="W127" s="89"/>
      <x:c r="X127" s="89"/>
      <x:c r="Y127" s="89"/>
      <x:c r="Z127" s="89"/>
    </x:row>
    <x:row r="128">
      <x:c r="A128" s="89"/>
      <x:c r="B128" s="89"/>
      <x:c r="C128" s="89"/>
      <x:c r="D128" s="89"/>
      <x:c r="E128" s="89"/>
      <x:c r="F128" s="89"/>
      <x:c r="G128" s="89"/>
      <x:c r="H128" s="89"/>
      <x:c r="I128" s="89"/>
      <x:c r="J128" s="89"/>
      <x:c r="K128" s="89"/>
      <x:c r="L128" s="89"/>
      <x:c r="M128" s="89"/>
      <x:c r="N128" s="89"/>
      <x:c r="O128" s="89"/>
      <x:c r="P128" s="89"/>
      <x:c r="Q128" s="89"/>
      <x:c r="R128" s="89"/>
      <x:c r="S128" s="89"/>
      <x:c r="T128" s="89"/>
      <x:c r="U128" s="89"/>
      <x:c r="V128" s="89"/>
      <x:c r="W128" s="89"/>
      <x:c r="X128" s="89"/>
      <x:c r="Y128" s="89"/>
      <x:c r="Z128" s="89"/>
    </x:row>
    <x:row r="129">
      <x:c r="A129" s="89"/>
      <x:c r="B129" s="89"/>
      <x:c r="C129" s="89"/>
      <x:c r="D129" s="89"/>
      <x:c r="E129" s="89"/>
      <x:c r="F129" s="89"/>
      <x:c r="G129" s="89"/>
      <x:c r="H129" s="89"/>
      <x:c r="I129" s="89"/>
      <x:c r="J129" s="89"/>
      <x:c r="K129" s="89"/>
      <x:c r="L129" s="89"/>
      <x:c r="M129" s="89"/>
      <x:c r="N129" s="89"/>
      <x:c r="O129" s="89"/>
      <x:c r="P129" s="89"/>
      <x:c r="Q129" s="89"/>
      <x:c r="R129" s="89"/>
      <x:c r="S129" s="89"/>
      <x:c r="T129" s="89"/>
      <x:c r="U129" s="89"/>
      <x:c r="V129" s="89"/>
      <x:c r="W129" s="89"/>
      <x:c r="X129" s="89"/>
      <x:c r="Y129" s="89"/>
      <x:c r="Z129" s="89"/>
    </x:row>
    <x:row r="130">
      <x:c r="A130" s="89"/>
      <x:c r="B130" s="89"/>
      <x:c r="C130" s="89"/>
      <x:c r="D130" s="89"/>
      <x:c r="E130" s="89"/>
      <x:c r="F130" s="89"/>
      <x:c r="G130" s="89"/>
      <x:c r="H130" s="89"/>
      <x:c r="I130" s="89"/>
      <x:c r="J130" s="89"/>
      <x:c r="K130" s="89"/>
      <x:c r="L130" s="89"/>
      <x:c r="M130" s="89"/>
      <x:c r="N130" s="89"/>
      <x:c r="O130" s="89"/>
      <x:c r="P130" s="89"/>
      <x:c r="Q130" s="89"/>
      <x:c r="R130" s="89"/>
      <x:c r="S130" s="89"/>
      <x:c r="T130" s="89"/>
      <x:c r="U130" s="89"/>
      <x:c r="V130" s="89"/>
      <x:c r="W130" s="89"/>
      <x:c r="X130" s="89"/>
      <x:c r="Y130" s="89"/>
      <x:c r="Z130" s="89"/>
    </x:row>
    <x:row r="131">
      <x:c r="A131" s="89"/>
      <x:c r="B131" s="89"/>
      <x:c r="C131" s="89"/>
      <x:c r="D131" s="89"/>
      <x:c r="E131" s="89"/>
      <x:c r="F131" s="89"/>
      <x:c r="G131" s="89"/>
      <x:c r="H131" s="89"/>
      <x:c r="I131" s="89"/>
      <x:c r="J131" s="89"/>
      <x:c r="K131" s="89"/>
      <x:c r="L131" s="89"/>
      <x:c r="M131" s="89"/>
      <x:c r="N131" s="89"/>
      <x:c r="O131" s="89"/>
      <x:c r="P131" s="89"/>
      <x:c r="Q131" s="89"/>
      <x:c r="R131" s="89"/>
      <x:c r="S131" s="89"/>
      <x:c r="T131" s="89"/>
      <x:c r="U131" s="89"/>
      <x:c r="V131" s="89"/>
      <x:c r="W131" s="89"/>
      <x:c r="X131" s="89"/>
      <x:c r="Y131" s="89"/>
      <x:c r="Z131" s="89"/>
    </x:row>
    <x:row r="132">
      <x:c r="A132" s="89"/>
      <x:c r="B132" s="89"/>
      <x:c r="C132" s="89"/>
      <x:c r="D132" s="89"/>
      <x:c r="E132" s="89"/>
      <x:c r="F132" s="89"/>
      <x:c r="G132" s="89"/>
      <x:c r="H132" s="89"/>
      <x:c r="I132" s="89"/>
      <x:c r="J132" s="89"/>
      <x:c r="K132" s="89"/>
      <x:c r="L132" s="89"/>
      <x:c r="M132" s="89"/>
      <x:c r="N132" s="89"/>
      <x:c r="O132" s="89"/>
      <x:c r="P132" s="89"/>
      <x:c r="Q132" s="89"/>
      <x:c r="R132" s="89"/>
      <x:c r="S132" s="89"/>
      <x:c r="T132" s="89"/>
      <x:c r="U132" s="89"/>
      <x:c r="V132" s="89"/>
      <x:c r="W132" s="89"/>
      <x:c r="X132" s="89"/>
      <x:c r="Y132" s="89"/>
      <x:c r="Z132" s="89"/>
    </x:row>
    <x:row r="133">
      <x:c r="A133" s="89"/>
      <x:c r="B133" s="89"/>
      <x:c r="C133" s="89"/>
      <x:c r="D133" s="89"/>
      <x:c r="E133" s="89"/>
      <x:c r="F133" s="89"/>
      <x:c r="G133" s="89"/>
      <x:c r="H133" s="89"/>
      <x:c r="I133" s="89"/>
      <x:c r="J133" s="89"/>
      <x:c r="K133" s="89"/>
      <x:c r="L133" s="89"/>
      <x:c r="M133" s="89"/>
      <x:c r="N133" s="89"/>
      <x:c r="O133" s="89"/>
      <x:c r="P133" s="89"/>
      <x:c r="Q133" s="89"/>
      <x:c r="R133" s="89"/>
      <x:c r="S133" s="89"/>
      <x:c r="T133" s="89"/>
      <x:c r="U133" s="89"/>
      <x:c r="V133" s="89"/>
      <x:c r="W133" s="89"/>
      <x:c r="X133" s="89"/>
      <x:c r="Y133" s="89"/>
      <x:c r="Z133" s="89"/>
    </x:row>
    <x:row r="134">
      <x:c r="A134" s="89"/>
      <x:c r="B134" s="89"/>
      <x:c r="C134" s="89"/>
      <x:c r="D134" s="89"/>
      <x:c r="E134" s="89"/>
      <x:c r="F134" s="89"/>
      <x:c r="G134" s="89"/>
      <x:c r="H134" s="89"/>
      <x:c r="I134" s="89"/>
      <x:c r="J134" s="89"/>
      <x:c r="K134" s="89"/>
      <x:c r="L134" s="89"/>
      <x:c r="M134" s="89"/>
      <x:c r="N134" s="89"/>
      <x:c r="O134" s="89"/>
      <x:c r="P134" s="89"/>
      <x:c r="Q134" s="89"/>
      <x:c r="R134" s="89"/>
      <x:c r="S134" s="89"/>
      <x:c r="T134" s="89"/>
      <x:c r="U134" s="89"/>
      <x:c r="V134" s="89"/>
      <x:c r="W134" s="89"/>
      <x:c r="X134" s="89"/>
      <x:c r="Y134" s="89"/>
      <x:c r="Z134" s="89"/>
    </x:row>
    <x:row r="135">
      <x:c r="A135" s="89"/>
      <x:c r="B135" s="89"/>
      <x:c r="C135" s="89"/>
      <x:c r="D135" s="89"/>
      <x:c r="E135" s="89"/>
      <x:c r="F135" s="89"/>
      <x:c r="G135" s="89"/>
      <x:c r="H135" s="89"/>
      <x:c r="I135" s="89"/>
      <x:c r="J135" s="89"/>
      <x:c r="K135" s="89"/>
      <x:c r="L135" s="89"/>
      <x:c r="M135" s="89"/>
      <x:c r="N135" s="89"/>
      <x:c r="O135" s="89"/>
      <x:c r="P135" s="89"/>
      <x:c r="Q135" s="89"/>
      <x:c r="R135" s="89"/>
      <x:c r="S135" s="89"/>
      <x:c r="T135" s="89"/>
      <x:c r="U135" s="89"/>
      <x:c r="V135" s="89"/>
      <x:c r="W135" s="89"/>
      <x:c r="X135" s="89"/>
      <x:c r="Y135" s="89"/>
      <x:c r="Z135" s="89"/>
    </x:row>
    <x:row r="136">
      <x:c r="A136" s="89"/>
      <x:c r="B136" s="89"/>
      <x:c r="C136" s="89"/>
      <x:c r="D136" s="89"/>
      <x:c r="E136" s="89"/>
      <x:c r="F136" s="89"/>
      <x:c r="G136" s="89"/>
      <x:c r="H136" s="89"/>
      <x:c r="I136" s="89"/>
      <x:c r="J136" s="89"/>
      <x:c r="K136" s="89"/>
      <x:c r="L136" s="89"/>
      <x:c r="M136" s="89"/>
      <x:c r="N136" s="89"/>
      <x:c r="O136" s="89"/>
      <x:c r="P136" s="89"/>
      <x:c r="Q136" s="89"/>
      <x:c r="R136" s="89"/>
      <x:c r="S136" s="89"/>
      <x:c r="T136" s="89"/>
      <x:c r="U136" s="89"/>
      <x:c r="V136" s="89"/>
      <x:c r="W136" s="89"/>
      <x:c r="X136" s="89"/>
      <x:c r="Y136" s="89"/>
      <x:c r="Z136" s="89"/>
    </x:row>
    <x:row r="137">
      <x:c r="A137" s="89"/>
      <x:c r="B137" s="89"/>
      <x:c r="C137" s="89"/>
      <x:c r="D137" s="89"/>
      <x:c r="E137" s="89"/>
      <x:c r="F137" s="89"/>
      <x:c r="G137" s="89"/>
      <x:c r="H137" s="89"/>
      <x:c r="I137" s="89"/>
      <x:c r="J137" s="89"/>
      <x:c r="K137" s="89"/>
      <x:c r="L137" s="89"/>
      <x:c r="M137" s="89"/>
      <x:c r="N137" s="89"/>
      <x:c r="O137" s="89"/>
      <x:c r="P137" s="89"/>
      <x:c r="Q137" s="89"/>
      <x:c r="R137" s="89"/>
      <x:c r="S137" s="89"/>
      <x:c r="T137" s="89"/>
      <x:c r="U137" s="89"/>
      <x:c r="V137" s="89"/>
      <x:c r="W137" s="89"/>
      <x:c r="X137" s="89"/>
      <x:c r="Y137" s="89"/>
      <x:c r="Z137" s="89"/>
    </x:row>
    <x:row r="138">
      <x:c r="A138" s="89"/>
      <x:c r="B138" s="89"/>
      <x:c r="C138" s="89"/>
      <x:c r="D138" s="89"/>
      <x:c r="E138" s="89"/>
      <x:c r="F138" s="89"/>
      <x:c r="G138" s="89"/>
      <x:c r="H138" s="89"/>
      <x:c r="I138" s="89"/>
      <x:c r="J138" s="89"/>
      <x:c r="K138" s="89"/>
      <x:c r="L138" s="89"/>
      <x:c r="M138" s="89"/>
      <x:c r="N138" s="89"/>
      <x:c r="O138" s="89"/>
      <x:c r="P138" s="89"/>
      <x:c r="Q138" s="89"/>
      <x:c r="R138" s="89"/>
      <x:c r="S138" s="89"/>
      <x:c r="T138" s="89"/>
      <x:c r="U138" s="89"/>
      <x:c r="V138" s="89"/>
      <x:c r="W138" s="89"/>
      <x:c r="X138" s="89"/>
      <x:c r="Y138" s="89"/>
      <x:c r="Z138" s="89"/>
    </x:row>
    <x:row r="139">
      <x:c r="A139" s="89"/>
      <x:c r="B139" s="89"/>
      <x:c r="C139" s="89"/>
      <x:c r="D139" s="89"/>
      <x:c r="E139" s="89"/>
      <x:c r="F139" s="89"/>
      <x:c r="G139" s="89"/>
      <x:c r="H139" s="89"/>
      <x:c r="I139" s="89"/>
      <x:c r="J139" s="89"/>
      <x:c r="K139" s="89"/>
      <x:c r="L139" s="89"/>
      <x:c r="M139" s="89"/>
      <x:c r="N139" s="89"/>
      <x:c r="O139" s="89"/>
      <x:c r="P139" s="89"/>
      <x:c r="Q139" s="89"/>
      <x:c r="R139" s="89"/>
      <x:c r="S139" s="89"/>
      <x:c r="T139" s="89"/>
      <x:c r="U139" s="89"/>
      <x:c r="V139" s="89"/>
      <x:c r="W139" s="89"/>
      <x:c r="X139" s="89"/>
      <x:c r="Y139" s="89"/>
      <x:c r="Z139" s="89"/>
    </x:row>
    <x:row r="140">
      <x:c r="A140" s="89"/>
      <x:c r="B140" s="89"/>
      <x:c r="C140" s="89"/>
      <x:c r="D140" s="89"/>
      <x:c r="E140" s="89"/>
      <x:c r="F140" s="89"/>
      <x:c r="G140" s="89"/>
      <x:c r="H140" s="89"/>
      <x:c r="I140" s="89"/>
      <x:c r="J140" s="89"/>
      <x:c r="K140" s="89"/>
      <x:c r="L140" s="89"/>
      <x:c r="M140" s="89"/>
      <x:c r="N140" s="89"/>
      <x:c r="O140" s="89"/>
      <x:c r="P140" s="89"/>
      <x:c r="Q140" s="89"/>
      <x:c r="R140" s="89"/>
      <x:c r="S140" s="89"/>
      <x:c r="T140" s="89"/>
      <x:c r="U140" s="89"/>
      <x:c r="V140" s="89"/>
      <x:c r="W140" s="89"/>
      <x:c r="X140" s="89"/>
      <x:c r="Y140" s="89"/>
      <x:c r="Z140" s="89"/>
    </x:row>
    <x:row r="141">
      <x:c r="A141" s="89"/>
      <x:c r="B141" s="89"/>
      <x:c r="C141" s="89"/>
      <x:c r="D141" s="89"/>
      <x:c r="E141" s="89"/>
      <x:c r="F141" s="89"/>
      <x:c r="G141" s="89"/>
      <x:c r="H141" s="89"/>
      <x:c r="I141" s="89"/>
      <x:c r="J141" s="89"/>
      <x:c r="K141" s="89"/>
      <x:c r="L141" s="89"/>
      <x:c r="M141" s="89"/>
      <x:c r="N141" s="89"/>
      <x:c r="O141" s="89"/>
      <x:c r="P141" s="89"/>
      <x:c r="Q141" s="89"/>
      <x:c r="R141" s="89"/>
      <x:c r="S141" s="89"/>
      <x:c r="T141" s="89"/>
      <x:c r="U141" s="89"/>
      <x:c r="V141" s="89"/>
      <x:c r="W141" s="89"/>
      <x:c r="X141" s="89"/>
      <x:c r="Y141" s="89"/>
      <x:c r="Z141" s="89"/>
    </x:row>
    <x:row r="142">
      <x:c r="A142" s="89"/>
      <x:c r="B142" s="89"/>
      <x:c r="C142" s="89"/>
      <x:c r="D142" s="89"/>
      <x:c r="E142" s="89"/>
      <x:c r="F142" s="89"/>
      <x:c r="G142" s="89"/>
      <x:c r="H142" s="89"/>
      <x:c r="I142" s="89"/>
      <x:c r="J142" s="89"/>
      <x:c r="K142" s="89"/>
      <x:c r="L142" s="89"/>
      <x:c r="M142" s="89"/>
      <x:c r="N142" s="89"/>
      <x:c r="O142" s="89"/>
      <x:c r="P142" s="89"/>
      <x:c r="Q142" s="89"/>
      <x:c r="R142" s="89"/>
      <x:c r="S142" s="89"/>
      <x:c r="T142" s="89"/>
      <x:c r="U142" s="89"/>
      <x:c r="V142" s="89"/>
      <x:c r="W142" s="89"/>
      <x:c r="X142" s="89"/>
      <x:c r="Y142" s="89"/>
      <x:c r="Z142" s="89"/>
    </x:row>
    <x:row r="143">
      <x:c r="A143" s="89"/>
      <x:c r="B143" s="89"/>
      <x:c r="C143" s="89"/>
      <x:c r="D143" s="89"/>
      <x:c r="E143" s="89"/>
      <x:c r="F143" s="89"/>
      <x:c r="G143" s="89"/>
      <x:c r="H143" s="89"/>
      <x:c r="I143" s="89"/>
      <x:c r="J143" s="89"/>
      <x:c r="K143" s="89"/>
      <x:c r="L143" s="89"/>
      <x:c r="M143" s="89"/>
      <x:c r="N143" s="89"/>
      <x:c r="O143" s="89"/>
      <x:c r="P143" s="89"/>
      <x:c r="Q143" s="89"/>
      <x:c r="R143" s="89"/>
      <x:c r="S143" s="89"/>
      <x:c r="T143" s="89"/>
      <x:c r="U143" s="89"/>
      <x:c r="V143" s="89"/>
      <x:c r="W143" s="89"/>
      <x:c r="X143" s="89"/>
      <x:c r="Y143" s="89"/>
      <x:c r="Z143" s="89"/>
    </x:row>
    <x:row r="144">
      <x:c r="A144" s="89"/>
      <x:c r="B144" s="89"/>
      <x:c r="C144" s="89"/>
      <x:c r="D144" s="89"/>
      <x:c r="E144" s="89"/>
      <x:c r="F144" s="89"/>
      <x:c r="G144" s="89"/>
      <x:c r="H144" s="89"/>
      <x:c r="I144" s="89"/>
      <x:c r="J144" s="89"/>
      <x:c r="K144" s="89"/>
      <x:c r="L144" s="89"/>
      <x:c r="M144" s="89"/>
      <x:c r="N144" s="89"/>
      <x:c r="O144" s="89"/>
      <x:c r="P144" s="89"/>
      <x:c r="Q144" s="89"/>
      <x:c r="R144" s="89"/>
      <x:c r="S144" s="89"/>
      <x:c r="T144" s="89"/>
      <x:c r="U144" s="89"/>
      <x:c r="V144" s="89"/>
      <x:c r="W144" s="89"/>
      <x:c r="X144" s="89"/>
      <x:c r="Y144" s="89"/>
      <x:c r="Z144" s="89"/>
    </x:row>
    <x:row r="145">
      <x:c r="A145" s="89"/>
      <x:c r="B145" s="89"/>
      <x:c r="C145" s="89"/>
      <x:c r="D145" s="89"/>
      <x:c r="E145" s="89"/>
      <x:c r="F145" s="89"/>
      <x:c r="G145" s="89"/>
      <x:c r="H145" s="89"/>
      <x:c r="I145" s="89"/>
      <x:c r="J145" s="89"/>
      <x:c r="K145" s="89"/>
      <x:c r="L145" s="89"/>
      <x:c r="M145" s="89"/>
      <x:c r="N145" s="89"/>
      <x:c r="O145" s="89"/>
      <x:c r="P145" s="89"/>
      <x:c r="Q145" s="89"/>
      <x:c r="R145" s="89"/>
      <x:c r="S145" s="89"/>
      <x:c r="T145" s="89"/>
      <x:c r="U145" s="89"/>
      <x:c r="V145" s="89"/>
      <x:c r="W145" s="89"/>
      <x:c r="X145" s="89"/>
      <x:c r="Y145" s="89"/>
      <x:c r="Z145" s="89"/>
    </x:row>
    <x:row r="146">
      <x:c r="A146" s="89"/>
      <x:c r="B146" s="89"/>
      <x:c r="C146" s="89"/>
      <x:c r="D146" s="89"/>
      <x:c r="E146" s="89"/>
      <x:c r="F146" s="89"/>
      <x:c r="G146" s="89"/>
      <x:c r="H146" s="89"/>
      <x:c r="I146" s="89"/>
      <x:c r="J146" s="89"/>
      <x:c r="K146" s="89"/>
      <x:c r="L146" s="89"/>
      <x:c r="M146" s="89"/>
      <x:c r="N146" s="89"/>
      <x:c r="O146" s="89"/>
      <x:c r="P146" s="89"/>
      <x:c r="Q146" s="89"/>
      <x:c r="R146" s="89"/>
      <x:c r="S146" s="89"/>
      <x:c r="T146" s="89"/>
      <x:c r="U146" s="89"/>
      <x:c r="V146" s="89"/>
      <x:c r="W146" s="89"/>
      <x:c r="X146" s="89"/>
      <x:c r="Y146" s="89"/>
      <x:c r="Z146" s="89"/>
    </x:row>
    <x:row r="147">
      <x:c r="A147" s="89"/>
      <x:c r="B147" s="89"/>
      <x:c r="C147" s="89"/>
      <x:c r="D147" s="89"/>
      <x:c r="E147" s="89"/>
      <x:c r="F147" s="89"/>
      <x:c r="G147" s="89"/>
      <x:c r="H147" s="89"/>
      <x:c r="I147" s="89"/>
      <x:c r="J147" s="89"/>
      <x:c r="K147" s="89"/>
      <x:c r="L147" s="89"/>
      <x:c r="M147" s="89"/>
      <x:c r="N147" s="89"/>
      <x:c r="O147" s="89"/>
      <x:c r="P147" s="89"/>
      <x:c r="Q147" s="89"/>
      <x:c r="R147" s="89"/>
      <x:c r="S147" s="89"/>
      <x:c r="T147" s="89"/>
      <x:c r="U147" s="89"/>
      <x:c r="V147" s="89"/>
      <x:c r="W147" s="89"/>
      <x:c r="X147" s="89"/>
      <x:c r="Y147" s="89"/>
      <x:c r="Z147" s="89"/>
    </x:row>
    <x:row r="148">
      <x:c r="A148" s="89"/>
      <x:c r="B148" s="89"/>
      <x:c r="C148" s="89"/>
      <x:c r="D148" s="89"/>
      <x:c r="E148" s="89"/>
      <x:c r="F148" s="89"/>
      <x:c r="G148" s="89"/>
      <x:c r="H148" s="89"/>
      <x:c r="I148" s="89"/>
      <x:c r="J148" s="89"/>
      <x:c r="K148" s="89"/>
      <x:c r="L148" s="89"/>
      <x:c r="M148" s="89"/>
      <x:c r="N148" s="89"/>
      <x:c r="O148" s="89"/>
      <x:c r="P148" s="89"/>
      <x:c r="Q148" s="89"/>
      <x:c r="R148" s="89"/>
      <x:c r="S148" s="89"/>
      <x:c r="T148" s="89"/>
      <x:c r="U148" s="89"/>
      <x:c r="V148" s="89"/>
      <x:c r="W148" s="89"/>
      <x:c r="X148" s="89"/>
      <x:c r="Y148" s="89"/>
      <x:c r="Z148" s="89"/>
    </x:row>
    <x:row r="149">
      <x:c r="A149" s="89"/>
      <x:c r="B149" s="89"/>
      <x:c r="C149" s="89"/>
      <x:c r="D149" s="89"/>
      <x:c r="E149" s="89"/>
      <x:c r="F149" s="89"/>
      <x:c r="G149" s="89"/>
      <x:c r="H149" s="89"/>
      <x:c r="I149" s="89"/>
      <x:c r="J149" s="89"/>
      <x:c r="K149" s="89"/>
      <x:c r="L149" s="89"/>
      <x:c r="M149" s="89"/>
      <x:c r="N149" s="89"/>
      <x:c r="O149" s="89"/>
      <x:c r="P149" s="89"/>
      <x:c r="Q149" s="89"/>
      <x:c r="R149" s="89"/>
      <x:c r="S149" s="89"/>
      <x:c r="T149" s="89"/>
      <x:c r="U149" s="89"/>
      <x:c r="V149" s="89"/>
      <x:c r="W149" s="89"/>
      <x:c r="X149" s="89"/>
      <x:c r="Y149" s="89"/>
      <x:c r="Z149" s="89"/>
    </x:row>
    <x:row r="150">
      <x:c r="A150" s="89"/>
      <x:c r="B150" s="89"/>
      <x:c r="C150" s="89"/>
      <x:c r="D150" s="89"/>
      <x:c r="E150" s="89"/>
      <x:c r="F150" s="89"/>
      <x:c r="G150" s="89"/>
      <x:c r="H150" s="89"/>
      <x:c r="I150" s="89"/>
      <x:c r="J150" s="89"/>
      <x:c r="K150" s="89"/>
      <x:c r="L150" s="89"/>
      <x:c r="M150" s="89"/>
      <x:c r="N150" s="89"/>
      <x:c r="O150" s="89"/>
      <x:c r="P150" s="89"/>
      <x:c r="Q150" s="89"/>
      <x:c r="R150" s="89"/>
      <x:c r="S150" s="89"/>
      <x:c r="T150" s="89"/>
      <x:c r="U150" s="89"/>
      <x:c r="V150" s="89"/>
      <x:c r="W150" s="89"/>
      <x:c r="X150" s="89"/>
      <x:c r="Y150" s="89"/>
      <x:c r="Z150" s="89"/>
    </x:row>
    <x:row r="151">
      <x:c r="A151" s="89"/>
      <x:c r="B151" s="89"/>
      <x:c r="C151" s="89"/>
      <x:c r="D151" s="89"/>
      <x:c r="E151" s="89"/>
      <x:c r="F151" s="89"/>
      <x:c r="G151" s="89"/>
      <x:c r="H151" s="89"/>
      <x:c r="I151" s="89"/>
      <x:c r="J151" s="89"/>
      <x:c r="K151" s="89"/>
      <x:c r="L151" s="89"/>
      <x:c r="M151" s="89"/>
      <x:c r="N151" s="89"/>
      <x:c r="O151" s="89"/>
      <x:c r="P151" s="89"/>
      <x:c r="Q151" s="89"/>
      <x:c r="R151" s="89"/>
      <x:c r="S151" s="89"/>
      <x:c r="T151" s="89"/>
      <x:c r="U151" s="89"/>
      <x:c r="V151" s="89"/>
      <x:c r="W151" s="89"/>
      <x:c r="X151" s="89"/>
      <x:c r="Y151" s="89"/>
      <x:c r="Z151" s="89"/>
    </x:row>
    <x:row r="152">
      <x:c r="A152" s="89"/>
      <x:c r="B152" s="89"/>
      <x:c r="C152" s="89"/>
      <x:c r="D152" s="89"/>
      <x:c r="E152" s="89"/>
      <x:c r="F152" s="89"/>
      <x:c r="G152" s="89"/>
      <x:c r="H152" s="89"/>
      <x:c r="I152" s="89"/>
      <x:c r="J152" s="89"/>
      <x:c r="K152" s="89"/>
      <x:c r="L152" s="89"/>
      <x:c r="M152" s="89"/>
      <x:c r="N152" s="89"/>
      <x:c r="O152" s="89"/>
      <x:c r="P152" s="89"/>
      <x:c r="Q152" s="89"/>
      <x:c r="R152" s="89"/>
      <x:c r="S152" s="89"/>
      <x:c r="T152" s="89"/>
      <x:c r="U152" s="89"/>
      <x:c r="V152" s="89"/>
      <x:c r="W152" s="89"/>
      <x:c r="X152" s="89"/>
      <x:c r="Y152" s="89"/>
      <x:c r="Z152" s="89"/>
    </x:row>
    <x:row r="153">
      <x:c r="A153" s="89"/>
      <x:c r="B153" s="89"/>
      <x:c r="C153" s="89"/>
      <x:c r="D153" s="89"/>
      <x:c r="E153" s="89"/>
      <x:c r="F153" s="89"/>
      <x:c r="G153" s="89"/>
      <x:c r="H153" s="89"/>
      <x:c r="I153" s="89"/>
      <x:c r="J153" s="89"/>
      <x:c r="K153" s="89"/>
      <x:c r="L153" s="89"/>
      <x:c r="M153" s="89"/>
      <x:c r="N153" s="89"/>
      <x:c r="O153" s="89"/>
      <x:c r="P153" s="89"/>
      <x:c r="Q153" s="89"/>
      <x:c r="R153" s="89"/>
      <x:c r="S153" s="89"/>
      <x:c r="T153" s="89"/>
      <x:c r="U153" s="89"/>
      <x:c r="V153" s="89"/>
      <x:c r="W153" s="89"/>
      <x:c r="X153" s="89"/>
      <x:c r="Y153" s="89"/>
      <x:c r="Z153" s="89"/>
    </x:row>
    <x:row r="154">
      <x:c r="A154" s="89"/>
      <x:c r="B154" s="89"/>
      <x:c r="C154" s="89"/>
      <x:c r="D154" s="89"/>
      <x:c r="E154" s="89"/>
      <x:c r="F154" s="89"/>
      <x:c r="G154" s="89"/>
      <x:c r="H154" s="89"/>
      <x:c r="I154" s="89"/>
      <x:c r="J154" s="89"/>
      <x:c r="K154" s="89"/>
      <x:c r="L154" s="89"/>
      <x:c r="M154" s="89"/>
      <x:c r="N154" s="89"/>
      <x:c r="O154" s="89"/>
      <x:c r="P154" s="89"/>
      <x:c r="Q154" s="89"/>
      <x:c r="R154" s="89"/>
      <x:c r="S154" s="89"/>
      <x:c r="T154" s="89"/>
      <x:c r="U154" s="89"/>
      <x:c r="V154" s="89"/>
      <x:c r="W154" s="89"/>
      <x:c r="X154" s="89"/>
      <x:c r="Y154" s="89"/>
      <x:c r="Z154" s="89"/>
    </x:row>
    <x:row r="155">
      <x:c r="A155" s="89"/>
      <x:c r="B155" s="89"/>
      <x:c r="C155" s="89"/>
      <x:c r="D155" s="89"/>
      <x:c r="E155" s="89"/>
      <x:c r="F155" s="89"/>
      <x:c r="G155" s="89"/>
      <x:c r="H155" s="89"/>
      <x:c r="I155" s="89"/>
      <x:c r="J155" s="89"/>
      <x:c r="K155" s="89"/>
      <x:c r="L155" s="89"/>
      <x:c r="M155" s="89"/>
      <x:c r="N155" s="89"/>
      <x:c r="O155" s="89"/>
      <x:c r="P155" s="89"/>
      <x:c r="Q155" s="89"/>
      <x:c r="R155" s="89"/>
      <x:c r="S155" s="89"/>
      <x:c r="T155" s="89"/>
      <x:c r="U155" s="89"/>
      <x:c r="V155" s="89"/>
      <x:c r="W155" s="89"/>
      <x:c r="X155" s="89"/>
      <x:c r="Y155" s="89"/>
      <x:c r="Z155" s="89"/>
    </x:row>
    <x:row r="156">
      <x:c r="A156" s="89"/>
      <x:c r="B156" s="89"/>
      <x:c r="C156" s="89"/>
      <x:c r="D156" s="89"/>
      <x:c r="E156" s="89"/>
      <x:c r="F156" s="89"/>
      <x:c r="G156" s="89"/>
      <x:c r="H156" s="89"/>
      <x:c r="I156" s="89"/>
      <x:c r="J156" s="89"/>
      <x:c r="K156" s="89"/>
      <x:c r="L156" s="89"/>
      <x:c r="M156" s="89"/>
      <x:c r="N156" s="89"/>
      <x:c r="O156" s="89"/>
      <x:c r="P156" s="89"/>
      <x:c r="Q156" s="89"/>
      <x:c r="R156" s="89"/>
      <x:c r="S156" s="89"/>
      <x:c r="T156" s="89"/>
      <x:c r="U156" s="89"/>
      <x:c r="V156" s="89"/>
      <x:c r="W156" s="89"/>
      <x:c r="X156" s="89"/>
      <x:c r="Y156" s="89"/>
      <x:c r="Z156" s="89"/>
    </x:row>
    <x:row r="157">
      <x:c r="A157" s="89"/>
      <x:c r="B157" s="89"/>
      <x:c r="C157" s="89"/>
      <x:c r="D157" s="89"/>
      <x:c r="E157" s="89"/>
      <x:c r="F157" s="89"/>
      <x:c r="G157" s="89"/>
      <x:c r="H157" s="89"/>
      <x:c r="I157" s="89"/>
      <x:c r="J157" s="89"/>
      <x:c r="K157" s="89"/>
      <x:c r="L157" s="89"/>
      <x:c r="M157" s="89"/>
      <x:c r="N157" s="89"/>
      <x:c r="O157" s="89"/>
      <x:c r="P157" s="89"/>
      <x:c r="Q157" s="89"/>
      <x:c r="R157" s="89"/>
      <x:c r="S157" s="89"/>
      <x:c r="T157" s="89"/>
      <x:c r="U157" s="89"/>
      <x:c r="V157" s="89"/>
      <x:c r="W157" s="89"/>
      <x:c r="X157" s="89"/>
      <x:c r="Y157" s="89"/>
      <x:c r="Z157" s="89"/>
    </x:row>
    <x:row r="158">
      <x:c r="A158" s="89"/>
      <x:c r="B158" s="89"/>
      <x:c r="C158" s="89"/>
      <x:c r="D158" s="89"/>
      <x:c r="E158" s="89"/>
      <x:c r="F158" s="89"/>
      <x:c r="G158" s="89"/>
      <x:c r="H158" s="89"/>
      <x:c r="I158" s="89"/>
      <x:c r="J158" s="89"/>
      <x:c r="K158" s="89"/>
      <x:c r="L158" s="89"/>
      <x:c r="M158" s="89"/>
      <x:c r="N158" s="89"/>
      <x:c r="O158" s="89"/>
      <x:c r="P158" s="89"/>
      <x:c r="Q158" s="89"/>
      <x:c r="R158" s="89"/>
      <x:c r="S158" s="89"/>
      <x:c r="T158" s="89"/>
      <x:c r="U158" s="89"/>
      <x:c r="V158" s="89"/>
      <x:c r="W158" s="89"/>
      <x:c r="X158" s="89"/>
      <x:c r="Y158" s="89"/>
      <x:c r="Z158" s="89"/>
    </x:row>
    <x:row r="159">
      <x:c r="A159" s="89"/>
      <x:c r="B159" s="89"/>
      <x:c r="C159" s="89"/>
      <x:c r="D159" s="89"/>
      <x:c r="E159" s="89"/>
      <x:c r="F159" s="89"/>
      <x:c r="G159" s="89"/>
      <x:c r="H159" s="89"/>
      <x:c r="I159" s="89"/>
      <x:c r="J159" s="89"/>
      <x:c r="K159" s="89"/>
      <x:c r="L159" s="89"/>
      <x:c r="M159" s="89"/>
      <x:c r="N159" s="89"/>
      <x:c r="O159" s="89"/>
      <x:c r="P159" s="89"/>
      <x:c r="Q159" s="89"/>
      <x:c r="R159" s="89"/>
      <x:c r="S159" s="89"/>
      <x:c r="T159" s="89"/>
      <x:c r="U159" s="89"/>
      <x:c r="V159" s="89"/>
      <x:c r="W159" s="89"/>
      <x:c r="X159" s="89"/>
      <x:c r="Y159" s="89"/>
      <x:c r="Z159" s="89"/>
    </x:row>
    <x:row r="160">
      <x:c r="A160" s="89"/>
      <x:c r="B160" s="89"/>
      <x:c r="C160" s="89"/>
      <x:c r="D160" s="89"/>
      <x:c r="E160" s="89"/>
      <x:c r="F160" s="89"/>
      <x:c r="G160" s="89"/>
      <x:c r="H160" s="89"/>
      <x:c r="I160" s="89"/>
      <x:c r="J160" s="89"/>
      <x:c r="K160" s="89"/>
      <x:c r="L160" s="89"/>
      <x:c r="M160" s="89"/>
      <x:c r="N160" s="89"/>
      <x:c r="O160" s="89"/>
      <x:c r="P160" s="89"/>
      <x:c r="Q160" s="89"/>
      <x:c r="R160" s="89"/>
      <x:c r="S160" s="89"/>
      <x:c r="T160" s="89"/>
      <x:c r="U160" s="89"/>
      <x:c r="V160" s="89"/>
      <x:c r="W160" s="89"/>
      <x:c r="X160" s="89"/>
      <x:c r="Y160" s="89"/>
      <x:c r="Z160" s="89"/>
    </x:row>
    <x:row r="161">
      <x:c r="A161" s="89"/>
      <x:c r="B161" s="89"/>
      <x:c r="C161" s="89"/>
      <x:c r="D161" s="89"/>
      <x:c r="E161" s="89"/>
      <x:c r="F161" s="89"/>
      <x:c r="G161" s="89"/>
      <x:c r="H161" s="89"/>
      <x:c r="I161" s="89"/>
      <x:c r="J161" s="89"/>
      <x:c r="K161" s="89"/>
      <x:c r="L161" s="89"/>
      <x:c r="M161" s="89"/>
      <x:c r="N161" s="89"/>
      <x:c r="O161" s="89"/>
      <x:c r="P161" s="89"/>
      <x:c r="Q161" s="89"/>
      <x:c r="R161" s="89"/>
      <x:c r="S161" s="89"/>
      <x:c r="T161" s="89"/>
      <x:c r="U161" s="89"/>
      <x:c r="V161" s="89"/>
      <x:c r="W161" s="89"/>
      <x:c r="X161" s="89"/>
      <x:c r="Y161" s="89"/>
      <x:c r="Z161" s="89"/>
    </x:row>
    <x:row r="162">
      <x:c r="A162" s="89"/>
      <x:c r="B162" s="89"/>
      <x:c r="C162" s="89"/>
      <x:c r="D162" s="89"/>
      <x:c r="E162" s="89"/>
      <x:c r="F162" s="89"/>
      <x:c r="G162" s="89"/>
      <x:c r="H162" s="89"/>
      <x:c r="I162" s="89"/>
      <x:c r="J162" s="89"/>
      <x:c r="K162" s="89"/>
      <x:c r="L162" s="89"/>
      <x:c r="M162" s="89"/>
      <x:c r="N162" s="89"/>
      <x:c r="O162" s="89"/>
      <x:c r="P162" s="89"/>
      <x:c r="Q162" s="89"/>
      <x:c r="R162" s="89"/>
      <x:c r="S162" s="89"/>
      <x:c r="T162" s="89"/>
      <x:c r="U162" s="89"/>
      <x:c r="V162" s="89"/>
      <x:c r="W162" s="89"/>
      <x:c r="X162" s="89"/>
      <x:c r="Y162" s="89"/>
      <x:c r="Z162" s="89"/>
    </x:row>
    <x:row r="163">
      <x:c r="A163" s="89"/>
      <x:c r="B163" s="89"/>
      <x:c r="C163" s="89"/>
      <x:c r="D163" s="89"/>
      <x:c r="E163" s="89"/>
      <x:c r="F163" s="89"/>
      <x:c r="G163" s="89"/>
      <x:c r="H163" s="89"/>
      <x:c r="I163" s="89"/>
      <x:c r="J163" s="89"/>
      <x:c r="K163" s="89"/>
      <x:c r="L163" s="89"/>
      <x:c r="M163" s="89"/>
      <x:c r="N163" s="89"/>
      <x:c r="O163" s="89"/>
      <x:c r="P163" s="89"/>
      <x:c r="Q163" s="89"/>
      <x:c r="R163" s="89"/>
      <x:c r="S163" s="89"/>
      <x:c r="T163" s="89"/>
      <x:c r="U163" s="89"/>
      <x:c r="V163" s="89"/>
      <x:c r="W163" s="89"/>
      <x:c r="X163" s="89"/>
      <x:c r="Y163" s="89"/>
      <x:c r="Z163" s="89"/>
    </x:row>
    <x:row r="164">
      <x:c r="A164" s="89"/>
      <x:c r="B164" s="89"/>
      <x:c r="C164" s="89"/>
      <x:c r="D164" s="89"/>
      <x:c r="E164" s="89"/>
      <x:c r="F164" s="89"/>
      <x:c r="G164" s="89"/>
      <x:c r="H164" s="89"/>
      <x:c r="I164" s="89"/>
      <x:c r="J164" s="89"/>
      <x:c r="K164" s="89"/>
      <x:c r="L164" s="89"/>
      <x:c r="M164" s="89"/>
      <x:c r="N164" s="89"/>
      <x:c r="O164" s="89"/>
      <x:c r="P164" s="89"/>
      <x:c r="Q164" s="89"/>
      <x:c r="R164" s="89"/>
      <x:c r="S164" s="89"/>
      <x:c r="T164" s="89"/>
      <x:c r="U164" s="89"/>
      <x:c r="V164" s="89"/>
      <x:c r="W164" s="89"/>
      <x:c r="X164" s="89"/>
      <x:c r="Y164" s="89"/>
      <x:c r="Z164" s="89"/>
    </x:row>
    <x:row r="165">
      <x:c r="A165" s="89"/>
      <x:c r="B165" s="89"/>
      <x:c r="C165" s="89"/>
      <x:c r="D165" s="89"/>
      <x:c r="E165" s="89"/>
      <x:c r="F165" s="89"/>
      <x:c r="G165" s="89"/>
      <x:c r="H165" s="89"/>
      <x:c r="I165" s="89"/>
      <x:c r="J165" s="89"/>
      <x:c r="K165" s="89"/>
      <x:c r="L165" s="89"/>
      <x:c r="M165" s="89"/>
      <x:c r="N165" s="89"/>
      <x:c r="O165" s="89"/>
      <x:c r="P165" s="89"/>
      <x:c r="Q165" s="89"/>
      <x:c r="R165" s="89"/>
      <x:c r="S165" s="89"/>
      <x:c r="T165" s="89"/>
      <x:c r="U165" s="89"/>
      <x:c r="V165" s="89"/>
      <x:c r="W165" s="89"/>
      <x:c r="X165" s="89"/>
      <x:c r="Y165" s="89"/>
      <x:c r="Z165" s="89"/>
    </x:row>
    <x:row r="166">
      <x:c r="A166" s="89"/>
      <x:c r="B166" s="89"/>
      <x:c r="C166" s="89"/>
      <x:c r="D166" s="89"/>
      <x:c r="E166" s="89"/>
      <x:c r="F166" s="89"/>
      <x:c r="G166" s="89"/>
      <x:c r="H166" s="89"/>
      <x:c r="I166" s="89"/>
      <x:c r="J166" s="89"/>
      <x:c r="K166" s="89"/>
      <x:c r="L166" s="89"/>
      <x:c r="M166" s="89"/>
      <x:c r="N166" s="89"/>
      <x:c r="O166" s="89"/>
      <x:c r="P166" s="89"/>
      <x:c r="Q166" s="89"/>
      <x:c r="R166" s="89"/>
      <x:c r="S166" s="89"/>
      <x:c r="T166" s="89"/>
      <x:c r="U166" s="89"/>
      <x:c r="V166" s="89"/>
      <x:c r="W166" s="89"/>
      <x:c r="X166" s="89"/>
      <x:c r="Y166" s="89"/>
      <x:c r="Z166" s="89"/>
    </x:row>
    <x:row r="167">
      <x:c r="A167" s="89"/>
      <x:c r="B167" s="89"/>
      <x:c r="C167" s="89"/>
      <x:c r="D167" s="89"/>
      <x:c r="E167" s="89"/>
      <x:c r="F167" s="89"/>
      <x:c r="G167" s="89"/>
      <x:c r="H167" s="89"/>
      <x:c r="I167" s="89"/>
      <x:c r="J167" s="89"/>
      <x:c r="K167" s="89"/>
      <x:c r="L167" s="89"/>
      <x:c r="M167" s="89"/>
      <x:c r="N167" s="89"/>
      <x:c r="O167" s="89"/>
      <x:c r="P167" s="89"/>
      <x:c r="Q167" s="89"/>
      <x:c r="R167" s="89"/>
      <x:c r="S167" s="89"/>
      <x:c r="T167" s="89"/>
      <x:c r="U167" s="89"/>
      <x:c r="V167" s="89"/>
      <x:c r="W167" s="89"/>
      <x:c r="X167" s="89"/>
      <x:c r="Y167" s="89"/>
      <x:c r="Z167" s="89"/>
    </x:row>
    <x:row r="168">
      <x:c r="A168" s="89"/>
      <x:c r="B168" s="89"/>
      <x:c r="C168" s="89"/>
      <x:c r="D168" s="89"/>
      <x:c r="E168" s="89"/>
      <x:c r="F168" s="89"/>
      <x:c r="G168" s="89"/>
      <x:c r="H168" s="89"/>
      <x:c r="I168" s="89"/>
      <x:c r="J168" s="89"/>
      <x:c r="K168" s="89"/>
      <x:c r="L168" s="89"/>
      <x:c r="M168" s="89"/>
      <x:c r="N168" s="89"/>
      <x:c r="O168" s="89"/>
      <x:c r="P168" s="89"/>
      <x:c r="Q168" s="89"/>
      <x:c r="R168" s="89"/>
      <x:c r="S168" s="89"/>
      <x:c r="T168" s="89"/>
      <x:c r="U168" s="89"/>
      <x:c r="V168" s="89"/>
      <x:c r="W168" s="89"/>
      <x:c r="X168" s="89"/>
      <x:c r="Y168" s="89"/>
      <x:c r="Z168" s="89"/>
    </x:row>
    <x:row r="169">
      <x:c r="A169" s="89"/>
      <x:c r="B169" s="89"/>
      <x:c r="C169" s="89"/>
      <x:c r="D169" s="89"/>
      <x:c r="E169" s="89"/>
      <x:c r="F169" s="89"/>
      <x:c r="G169" s="89"/>
      <x:c r="H169" s="89"/>
      <x:c r="I169" s="89"/>
      <x:c r="J169" s="89"/>
      <x:c r="K169" s="89"/>
      <x:c r="L169" s="89"/>
      <x:c r="M169" s="89"/>
      <x:c r="N169" s="89"/>
      <x:c r="O169" s="89"/>
      <x:c r="P169" s="89"/>
      <x:c r="Q169" s="89"/>
      <x:c r="R169" s="89"/>
      <x:c r="S169" s="89"/>
      <x:c r="T169" s="89"/>
      <x:c r="U169" s="89"/>
      <x:c r="V169" s="89"/>
      <x:c r="W169" s="89"/>
      <x:c r="X169" s="89"/>
      <x:c r="Y169" s="89"/>
      <x:c r="Z169" s="89"/>
    </x:row>
    <x:row r="170">
      <x:c r="A170" s="89"/>
      <x:c r="B170" s="89"/>
      <x:c r="C170" s="89"/>
      <x:c r="D170" s="89"/>
      <x:c r="E170" s="89"/>
      <x:c r="F170" s="89"/>
      <x:c r="G170" s="89"/>
      <x:c r="H170" s="89"/>
      <x:c r="I170" s="89"/>
      <x:c r="J170" s="89"/>
      <x:c r="K170" s="89"/>
      <x:c r="L170" s="89"/>
      <x:c r="M170" s="89"/>
      <x:c r="N170" s="89"/>
      <x:c r="O170" s="89"/>
      <x:c r="P170" s="89"/>
      <x:c r="Q170" s="89"/>
      <x:c r="R170" s="89"/>
      <x:c r="S170" s="89"/>
      <x:c r="T170" s="89"/>
      <x:c r="U170" s="89"/>
      <x:c r="V170" s="89"/>
      <x:c r="W170" s="89"/>
      <x:c r="X170" s="89"/>
      <x:c r="Y170" s="89"/>
      <x:c r="Z170" s="89"/>
    </x:row>
    <x:row r="171">
      <x:c r="A171" s="89"/>
      <x:c r="B171" s="89"/>
      <x:c r="C171" s="89"/>
      <x:c r="D171" s="89"/>
      <x:c r="E171" s="89"/>
      <x:c r="F171" s="89"/>
      <x:c r="G171" s="89"/>
      <x:c r="H171" s="89"/>
      <x:c r="I171" s="89"/>
      <x:c r="J171" s="89"/>
      <x:c r="K171" s="89"/>
      <x:c r="L171" s="89"/>
      <x:c r="M171" s="89"/>
      <x:c r="N171" s="89"/>
      <x:c r="O171" s="89"/>
      <x:c r="P171" s="89"/>
      <x:c r="Q171" s="89"/>
      <x:c r="R171" s="89"/>
      <x:c r="S171" s="89"/>
      <x:c r="T171" s="89"/>
      <x:c r="U171" s="89"/>
      <x:c r="V171" s="89"/>
      <x:c r="W171" s="89"/>
      <x:c r="X171" s="89"/>
      <x:c r="Y171" s="89"/>
      <x:c r="Z171" s="89"/>
    </x:row>
    <x:row r="172">
      <x:c r="A172" s="89"/>
      <x:c r="B172" s="89"/>
      <x:c r="C172" s="89"/>
      <x:c r="D172" s="89"/>
      <x:c r="E172" s="89"/>
      <x:c r="F172" s="89"/>
      <x:c r="G172" s="89"/>
      <x:c r="H172" s="89"/>
      <x:c r="I172" s="89"/>
      <x:c r="J172" s="89"/>
      <x:c r="K172" s="89"/>
      <x:c r="L172" s="89"/>
      <x:c r="M172" s="89"/>
      <x:c r="N172" s="89"/>
      <x:c r="O172" s="89"/>
      <x:c r="P172" s="89"/>
      <x:c r="Q172" s="89"/>
      <x:c r="R172" s="89"/>
      <x:c r="S172" s="89"/>
      <x:c r="T172" s="89"/>
      <x:c r="U172" s="89"/>
      <x:c r="V172" s="89"/>
      <x:c r="W172" s="89"/>
      <x:c r="X172" s="89"/>
      <x:c r="Y172" s="89"/>
      <x:c r="Z172" s="89"/>
    </x:row>
    <x:row r="173">
      <x:c r="A173" s="89"/>
      <x:c r="B173" s="89"/>
      <x:c r="C173" s="89"/>
      <x:c r="D173" s="89"/>
      <x:c r="E173" s="89"/>
      <x:c r="F173" s="89"/>
      <x:c r="G173" s="89"/>
      <x:c r="H173" s="89"/>
      <x:c r="I173" s="89"/>
      <x:c r="J173" s="89"/>
      <x:c r="K173" s="89"/>
      <x:c r="L173" s="89"/>
      <x:c r="M173" s="89"/>
      <x:c r="N173" s="89"/>
      <x:c r="O173" s="89"/>
      <x:c r="P173" s="89"/>
      <x:c r="Q173" s="89"/>
      <x:c r="R173" s="89"/>
      <x:c r="S173" s="89"/>
      <x:c r="T173" s="89"/>
      <x:c r="U173" s="89"/>
      <x:c r="V173" s="89"/>
      <x:c r="W173" s="89"/>
      <x:c r="X173" s="89"/>
      <x:c r="Y173" s="89"/>
      <x:c r="Z173" s="89"/>
    </x:row>
    <x:row r="174">
      <x:c r="A174" s="89"/>
      <x:c r="B174" s="89"/>
      <x:c r="C174" s="89"/>
      <x:c r="D174" s="89"/>
      <x:c r="E174" s="89"/>
      <x:c r="F174" s="89"/>
      <x:c r="G174" s="89"/>
      <x:c r="H174" s="89"/>
      <x:c r="I174" s="89"/>
      <x:c r="J174" s="89"/>
      <x:c r="K174" s="89"/>
      <x:c r="L174" s="89"/>
      <x:c r="M174" s="89"/>
      <x:c r="N174" s="89"/>
      <x:c r="O174" s="89"/>
      <x:c r="P174" s="89"/>
      <x:c r="Q174" s="89"/>
      <x:c r="R174" s="89"/>
      <x:c r="S174" s="89"/>
      <x:c r="T174" s="89"/>
      <x:c r="U174" s="89"/>
      <x:c r="V174" s="89"/>
      <x:c r="W174" s="89"/>
      <x:c r="X174" s="89"/>
      <x:c r="Y174" s="89"/>
      <x:c r="Z174" s="89"/>
    </x:row>
    <x:row r="175">
      <x:c r="A175" s="89"/>
      <x:c r="B175" s="89"/>
      <x:c r="C175" s="89"/>
      <x:c r="D175" s="89"/>
      <x:c r="E175" s="89"/>
      <x:c r="F175" s="89"/>
      <x:c r="G175" s="89"/>
      <x:c r="H175" s="89"/>
      <x:c r="I175" s="89"/>
      <x:c r="J175" s="89"/>
      <x:c r="K175" s="89"/>
      <x:c r="L175" s="89"/>
      <x:c r="M175" s="89"/>
      <x:c r="N175" s="89"/>
      <x:c r="O175" s="89"/>
      <x:c r="P175" s="89"/>
      <x:c r="Q175" s="89"/>
      <x:c r="R175" s="89"/>
      <x:c r="S175" s="89"/>
      <x:c r="T175" s="89"/>
      <x:c r="U175" s="89"/>
      <x:c r="V175" s="89"/>
      <x:c r="W175" s="89"/>
      <x:c r="X175" s="89"/>
      <x:c r="Y175" s="89"/>
      <x:c r="Z175" s="89"/>
    </x:row>
    <x:row r="176">
      <x:c r="A176" s="89"/>
      <x:c r="B176" s="89"/>
      <x:c r="C176" s="89"/>
      <x:c r="D176" s="89"/>
      <x:c r="E176" s="89"/>
      <x:c r="F176" s="89"/>
      <x:c r="G176" s="89"/>
      <x:c r="H176" s="89"/>
      <x:c r="I176" s="89"/>
      <x:c r="J176" s="89"/>
      <x:c r="K176" s="89"/>
      <x:c r="L176" s="89"/>
      <x:c r="M176" s="89"/>
      <x:c r="N176" s="89"/>
      <x:c r="O176" s="89"/>
      <x:c r="P176" s="89"/>
      <x:c r="Q176" s="89"/>
      <x:c r="R176" s="89"/>
      <x:c r="S176" s="89"/>
      <x:c r="T176" s="89"/>
      <x:c r="U176" s="89"/>
      <x:c r="V176" s="89"/>
      <x:c r="W176" s="89"/>
      <x:c r="X176" s="89"/>
      <x:c r="Y176" s="89"/>
      <x:c r="Z176" s="89"/>
    </x:row>
    <x:row r="177">
      <x:c r="A177" s="89"/>
      <x:c r="B177" s="89"/>
      <x:c r="C177" s="89"/>
      <x:c r="D177" s="89"/>
      <x:c r="E177" s="89"/>
      <x:c r="F177" s="89"/>
      <x:c r="G177" s="89"/>
      <x:c r="H177" s="89"/>
      <x:c r="I177" s="89"/>
      <x:c r="J177" s="89"/>
      <x:c r="K177" s="89"/>
      <x:c r="L177" s="89"/>
      <x:c r="M177" s="89"/>
      <x:c r="N177" s="89"/>
      <x:c r="O177" s="89"/>
      <x:c r="P177" s="89"/>
      <x:c r="Q177" s="89"/>
      <x:c r="R177" s="89"/>
      <x:c r="S177" s="89"/>
      <x:c r="T177" s="89"/>
      <x:c r="U177" s="89"/>
      <x:c r="V177" s="89"/>
      <x:c r="W177" s="89"/>
      <x:c r="X177" s="89"/>
      <x:c r="Y177" s="89"/>
      <x:c r="Z177" s="89"/>
    </x:row>
    <x:row r="178">
      <x:c r="A178" s="89"/>
      <x:c r="B178" s="89"/>
      <x:c r="C178" s="89"/>
      <x:c r="D178" s="89"/>
      <x:c r="E178" s="89"/>
      <x:c r="F178" s="89"/>
      <x:c r="G178" s="89"/>
      <x:c r="H178" s="89"/>
      <x:c r="I178" s="89"/>
      <x:c r="J178" s="89"/>
      <x:c r="K178" s="89"/>
      <x:c r="L178" s="89"/>
      <x:c r="M178" s="89"/>
      <x:c r="N178" s="89"/>
      <x:c r="O178" s="89"/>
      <x:c r="P178" s="89"/>
      <x:c r="Q178" s="89"/>
      <x:c r="R178" s="89"/>
      <x:c r="S178" s="89"/>
      <x:c r="T178" s="89"/>
      <x:c r="U178" s="89"/>
      <x:c r="V178" s="89"/>
      <x:c r="W178" s="89"/>
      <x:c r="X178" s="89"/>
      <x:c r="Y178" s="89"/>
      <x:c r="Z178" s="89"/>
    </x:row>
    <x:row r="179">
      <x:c r="A179" s="89"/>
      <x:c r="B179" s="89"/>
      <x:c r="C179" s="89"/>
      <x:c r="D179" s="89"/>
      <x:c r="E179" s="89"/>
      <x:c r="F179" s="89"/>
      <x:c r="G179" s="89"/>
      <x:c r="H179" s="89"/>
      <x:c r="I179" s="89"/>
      <x:c r="J179" s="89"/>
      <x:c r="K179" s="89"/>
      <x:c r="L179" s="89"/>
      <x:c r="M179" s="89"/>
      <x:c r="N179" s="89"/>
      <x:c r="O179" s="89"/>
      <x:c r="P179" s="89"/>
      <x:c r="Q179" s="89"/>
      <x:c r="R179" s="89"/>
      <x:c r="S179" s="89"/>
      <x:c r="T179" s="89"/>
      <x:c r="U179" s="89"/>
      <x:c r="V179" s="89"/>
      <x:c r="W179" s="89"/>
      <x:c r="X179" s="89"/>
      <x:c r="Y179" s="89"/>
      <x:c r="Z179" s="89"/>
    </x:row>
    <x:row r="180">
      <x:c r="A180" s="89"/>
      <x:c r="B180" s="89"/>
      <x:c r="C180" s="89"/>
      <x:c r="D180" s="89"/>
      <x:c r="E180" s="89"/>
      <x:c r="F180" s="89"/>
      <x:c r="G180" s="89"/>
      <x:c r="H180" s="89"/>
      <x:c r="I180" s="89"/>
      <x:c r="J180" s="89"/>
      <x:c r="K180" s="89"/>
      <x:c r="L180" s="89"/>
      <x:c r="M180" s="89"/>
      <x:c r="N180" s="89"/>
      <x:c r="O180" s="89"/>
      <x:c r="P180" s="89"/>
      <x:c r="Q180" s="89"/>
      <x:c r="R180" s="89"/>
      <x:c r="S180" s="89"/>
      <x:c r="T180" s="89"/>
      <x:c r="U180" s="89"/>
      <x:c r="V180" s="89"/>
      <x:c r="W180" s="89"/>
      <x:c r="X180" s="89"/>
      <x:c r="Y180" s="89"/>
      <x:c r="Z180" s="89"/>
    </x:row>
    <x:row r="181">
      <x:c r="A181" s="89"/>
      <x:c r="B181" s="89"/>
      <x:c r="C181" s="89"/>
      <x:c r="D181" s="89"/>
      <x:c r="E181" s="89"/>
      <x:c r="F181" s="89"/>
      <x:c r="G181" s="89"/>
      <x:c r="H181" s="89"/>
      <x:c r="I181" s="89"/>
      <x:c r="J181" s="89"/>
      <x:c r="K181" s="89"/>
      <x:c r="L181" s="89"/>
      <x:c r="M181" s="89"/>
      <x:c r="N181" s="89"/>
      <x:c r="O181" s="89"/>
      <x:c r="P181" s="89"/>
      <x:c r="Q181" s="89"/>
      <x:c r="R181" s="89"/>
      <x:c r="S181" s="89"/>
      <x:c r="T181" s="89"/>
      <x:c r="U181" s="89"/>
      <x:c r="V181" s="89"/>
      <x:c r="W181" s="89"/>
      <x:c r="X181" s="89"/>
      <x:c r="Y181" s="89"/>
      <x:c r="Z181" s="89"/>
    </x:row>
    <x:row r="182">
      <x:c r="A182" s="89"/>
      <x:c r="B182" s="89"/>
      <x:c r="C182" s="89"/>
      <x:c r="D182" s="89"/>
      <x:c r="E182" s="89"/>
      <x:c r="F182" s="89"/>
      <x:c r="G182" s="89"/>
      <x:c r="H182" s="89"/>
      <x:c r="I182" s="89"/>
      <x:c r="J182" s="89"/>
      <x:c r="K182" s="89"/>
      <x:c r="L182" s="89"/>
      <x:c r="M182" s="89"/>
      <x:c r="N182" s="89"/>
      <x:c r="O182" s="89"/>
      <x:c r="P182" s="89"/>
      <x:c r="Q182" s="89"/>
      <x:c r="R182" s="89"/>
      <x:c r="S182" s="89"/>
      <x:c r="T182" s="89"/>
      <x:c r="U182" s="89"/>
      <x:c r="V182" s="89"/>
      <x:c r="W182" s="89"/>
      <x:c r="X182" s="89"/>
      <x:c r="Y182" s="89"/>
      <x:c r="Z182" s="89"/>
    </x:row>
    <x:row r="183">
      <x:c r="A183" s="89"/>
      <x:c r="B183" s="89"/>
      <x:c r="C183" s="89"/>
      <x:c r="D183" s="89"/>
      <x:c r="E183" s="89"/>
      <x:c r="F183" s="89"/>
      <x:c r="G183" s="89"/>
      <x:c r="H183" s="89"/>
      <x:c r="I183" s="89"/>
      <x:c r="J183" s="89"/>
      <x:c r="K183" s="89"/>
      <x:c r="L183" s="89"/>
      <x:c r="M183" s="89"/>
      <x:c r="N183" s="89"/>
      <x:c r="O183" s="89"/>
      <x:c r="P183" s="89"/>
      <x:c r="Q183" s="89"/>
      <x:c r="R183" s="89"/>
      <x:c r="S183" s="89"/>
      <x:c r="T183" s="89"/>
      <x:c r="U183" s="89"/>
      <x:c r="V183" s="89"/>
      <x:c r="W183" s="89"/>
      <x:c r="X183" s="89"/>
      <x:c r="Y183" s="89"/>
      <x:c r="Z183" s="89"/>
    </x:row>
    <x:row r="184">
      <x:c r="A184" s="89"/>
      <x:c r="B184" s="89"/>
      <x:c r="C184" s="89"/>
      <x:c r="D184" s="89"/>
      <x:c r="E184" s="89"/>
      <x:c r="F184" s="89"/>
      <x:c r="G184" s="89"/>
      <x:c r="H184" s="89"/>
      <x:c r="I184" s="89"/>
      <x:c r="J184" s="89"/>
      <x:c r="K184" s="89"/>
      <x:c r="L184" s="89"/>
      <x:c r="M184" s="89"/>
      <x:c r="N184" s="89"/>
      <x:c r="O184" s="89"/>
      <x:c r="P184" s="89"/>
      <x:c r="Q184" s="89"/>
      <x:c r="R184" s="89"/>
      <x:c r="S184" s="89"/>
      <x:c r="T184" s="89"/>
      <x:c r="U184" s="89"/>
      <x:c r="V184" s="89"/>
      <x:c r="W184" s="89"/>
      <x:c r="X184" s="89"/>
      <x:c r="Y184" s="89"/>
      <x:c r="Z184" s="89"/>
    </x:row>
    <x:row r="185">
      <x:c r="A185" s="89"/>
      <x:c r="B185" s="89"/>
      <x:c r="C185" s="89"/>
      <x:c r="D185" s="89"/>
      <x:c r="E185" s="89"/>
      <x:c r="F185" s="89"/>
      <x:c r="G185" s="89"/>
      <x:c r="H185" s="89"/>
      <x:c r="I185" s="89"/>
      <x:c r="J185" s="89"/>
      <x:c r="K185" s="89"/>
      <x:c r="L185" s="89"/>
      <x:c r="M185" s="89"/>
      <x:c r="N185" s="89"/>
      <x:c r="O185" s="89"/>
      <x:c r="P185" s="89"/>
      <x:c r="Q185" s="89"/>
      <x:c r="R185" s="89"/>
      <x:c r="S185" s="89"/>
      <x:c r="T185" s="89"/>
      <x:c r="U185" s="89"/>
      <x:c r="V185" s="89"/>
      <x:c r="W185" s="89"/>
      <x:c r="X185" s="89"/>
      <x:c r="Y185" s="89"/>
      <x:c r="Z185" s="89"/>
    </x:row>
    <x:row r="186">
      <x:c r="A186" s="89"/>
      <x:c r="B186" s="89"/>
      <x:c r="C186" s="89"/>
      <x:c r="D186" s="89"/>
      <x:c r="E186" s="89"/>
      <x:c r="F186" s="89"/>
      <x:c r="G186" s="89"/>
      <x:c r="H186" s="89"/>
      <x:c r="I186" s="89"/>
      <x:c r="J186" s="89"/>
      <x:c r="K186" s="89"/>
      <x:c r="L186" s="89"/>
      <x:c r="M186" s="89"/>
      <x:c r="N186" s="89"/>
      <x:c r="O186" s="89"/>
      <x:c r="P186" s="89"/>
      <x:c r="Q186" s="89"/>
      <x:c r="R186" s="89"/>
      <x:c r="S186" s="89"/>
      <x:c r="T186" s="89"/>
      <x:c r="U186" s="89"/>
      <x:c r="V186" s="89"/>
      <x:c r="W186" s="89"/>
      <x:c r="X186" s="89"/>
      <x:c r="Y186" s="89"/>
      <x:c r="Z186" s="89"/>
    </x:row>
    <x:row r="187">
      <x:c r="A187" s="89"/>
      <x:c r="B187" s="89"/>
      <x:c r="C187" s="89"/>
      <x:c r="D187" s="89"/>
      <x:c r="E187" s="89"/>
      <x:c r="F187" s="89"/>
      <x:c r="G187" s="89"/>
      <x:c r="H187" s="89"/>
      <x:c r="I187" s="89"/>
      <x:c r="J187" s="89"/>
      <x:c r="K187" s="89"/>
      <x:c r="L187" s="89"/>
      <x:c r="M187" s="89"/>
      <x:c r="N187" s="89"/>
      <x:c r="O187" s="89"/>
      <x:c r="P187" s="89"/>
      <x:c r="Q187" s="89"/>
      <x:c r="R187" s="89"/>
      <x:c r="S187" s="89"/>
      <x:c r="T187" s="89"/>
      <x:c r="U187" s="89"/>
      <x:c r="V187" s="89"/>
      <x:c r="W187" s="89"/>
      <x:c r="X187" s="89"/>
      <x:c r="Y187" s="89"/>
      <x:c r="Z187" s="89"/>
    </x:row>
    <x:row r="188">
      <x:c r="A188" s="89"/>
      <x:c r="B188" s="89"/>
      <x:c r="C188" s="89"/>
      <x:c r="D188" s="89"/>
      <x:c r="E188" s="89"/>
      <x:c r="F188" s="89"/>
      <x:c r="G188" s="89"/>
      <x:c r="H188" s="89"/>
      <x:c r="I188" s="89"/>
      <x:c r="J188" s="89"/>
      <x:c r="K188" s="89"/>
      <x:c r="L188" s="89"/>
      <x:c r="M188" s="89"/>
      <x:c r="N188" s="89"/>
      <x:c r="O188" s="89"/>
      <x:c r="P188" s="89"/>
      <x:c r="Q188" s="89"/>
      <x:c r="R188" s="89"/>
      <x:c r="S188" s="89"/>
      <x:c r="T188" s="89"/>
      <x:c r="U188" s="89"/>
      <x:c r="V188" s="89"/>
      <x:c r="W188" s="89"/>
      <x:c r="X188" s="89"/>
      <x:c r="Y188" s="89"/>
      <x:c r="Z188" s="89"/>
    </x:row>
    <x:row r="189">
      <x:c r="A189" s="89"/>
      <x:c r="B189" s="89"/>
      <x:c r="C189" s="89"/>
      <x:c r="D189" s="89"/>
      <x:c r="E189" s="89"/>
      <x:c r="F189" s="89"/>
      <x:c r="G189" s="89"/>
      <x:c r="H189" s="89"/>
      <x:c r="I189" s="89"/>
      <x:c r="J189" s="89"/>
      <x:c r="K189" s="89"/>
      <x:c r="L189" s="89"/>
      <x:c r="M189" s="89"/>
      <x:c r="N189" s="89"/>
      <x:c r="O189" s="89"/>
      <x:c r="P189" s="89"/>
      <x:c r="Q189" s="89"/>
      <x:c r="R189" s="89"/>
      <x:c r="S189" s="89"/>
      <x:c r="T189" s="89"/>
      <x:c r="U189" s="89"/>
      <x:c r="V189" s="89"/>
      <x:c r="W189" s="89"/>
      <x:c r="X189" s="89"/>
      <x:c r="Y189" s="89"/>
      <x:c r="Z189" s="89"/>
    </x:row>
    <x:row r="190">
      <x:c r="A190" s="89"/>
      <x:c r="B190" s="89"/>
      <x:c r="C190" s="89"/>
      <x:c r="D190" s="89"/>
      <x:c r="E190" s="89"/>
      <x:c r="F190" s="89"/>
      <x:c r="G190" s="89"/>
      <x:c r="H190" s="89"/>
      <x:c r="I190" s="89"/>
      <x:c r="J190" s="89"/>
      <x:c r="K190" s="89"/>
      <x:c r="L190" s="89"/>
      <x:c r="M190" s="89"/>
      <x:c r="N190" s="89"/>
      <x:c r="O190" s="89"/>
      <x:c r="P190" s="89"/>
      <x:c r="Q190" s="89"/>
      <x:c r="R190" s="89"/>
      <x:c r="S190" s="89"/>
      <x:c r="T190" s="89"/>
      <x:c r="U190" s="89"/>
      <x:c r="V190" s="89"/>
      <x:c r="W190" s="89"/>
      <x:c r="X190" s="89"/>
      <x:c r="Y190" s="89"/>
      <x:c r="Z190" s="89"/>
    </x:row>
    <x:row r="191">
      <x:c r="A191" s="89"/>
      <x:c r="B191" s="89"/>
      <x:c r="C191" s="89"/>
      <x:c r="D191" s="89"/>
      <x:c r="E191" s="89"/>
      <x:c r="F191" s="89"/>
      <x:c r="G191" s="89"/>
      <x:c r="H191" s="89"/>
      <x:c r="I191" s="89"/>
      <x:c r="J191" s="89"/>
      <x:c r="K191" s="89"/>
      <x:c r="L191" s="89"/>
      <x:c r="M191" s="89"/>
      <x:c r="N191" s="89"/>
      <x:c r="O191" s="89"/>
      <x:c r="P191" s="89"/>
      <x:c r="Q191" s="89"/>
      <x:c r="R191" s="89"/>
      <x:c r="S191" s="89"/>
      <x:c r="T191" s="89"/>
      <x:c r="U191" s="89"/>
      <x:c r="V191" s="89"/>
      <x:c r="W191" s="89"/>
      <x:c r="X191" s="89"/>
      <x:c r="Y191" s="89"/>
      <x:c r="Z191" s="89"/>
    </x:row>
    <x:row r="192">
      <x:c r="A192" s="89"/>
      <x:c r="B192" s="89"/>
      <x:c r="C192" s="89"/>
      <x:c r="D192" s="89"/>
      <x:c r="E192" s="89"/>
      <x:c r="F192" s="89"/>
      <x:c r="G192" s="89"/>
      <x:c r="H192" s="89"/>
      <x:c r="I192" s="89"/>
      <x:c r="J192" s="89"/>
      <x:c r="K192" s="89"/>
      <x:c r="L192" s="89"/>
      <x:c r="M192" s="89"/>
      <x:c r="N192" s="89"/>
      <x:c r="O192" s="89"/>
      <x:c r="P192" s="89"/>
      <x:c r="Q192" s="89"/>
      <x:c r="R192" s="89"/>
      <x:c r="S192" s="89"/>
      <x:c r="T192" s="89"/>
      <x:c r="U192" s="89"/>
      <x:c r="V192" s="89"/>
      <x:c r="W192" s="89"/>
      <x:c r="X192" s="89"/>
      <x:c r="Y192" s="89"/>
      <x:c r="Z192" s="89"/>
    </x:row>
    <x:row r="193">
      <x:c r="A193" s="89"/>
      <x:c r="B193" s="89"/>
      <x:c r="C193" s="89"/>
      <x:c r="D193" s="89"/>
      <x:c r="E193" s="89"/>
      <x:c r="F193" s="89"/>
      <x:c r="G193" s="89"/>
      <x:c r="H193" s="89"/>
      <x:c r="I193" s="89"/>
      <x:c r="J193" s="89"/>
      <x:c r="K193" s="89"/>
      <x:c r="L193" s="89"/>
      <x:c r="M193" s="89"/>
      <x:c r="N193" s="89"/>
      <x:c r="O193" s="89"/>
      <x:c r="P193" s="89"/>
      <x:c r="Q193" s="89"/>
      <x:c r="R193" s="89"/>
      <x:c r="S193" s="89"/>
      <x:c r="T193" s="89"/>
      <x:c r="U193" s="89"/>
      <x:c r="V193" s="89"/>
      <x:c r="W193" s="89"/>
      <x:c r="X193" s="89"/>
      <x:c r="Y193" s="89"/>
      <x:c r="Z193" s="89"/>
    </x:row>
    <x:row r="194">
      <x:c r="A194" s="89"/>
      <x:c r="B194" s="89"/>
      <x:c r="C194" s="89"/>
      <x:c r="D194" s="89"/>
      <x:c r="E194" s="89"/>
      <x:c r="F194" s="89"/>
      <x:c r="G194" s="89"/>
      <x:c r="H194" s="89"/>
      <x:c r="I194" s="89"/>
      <x:c r="J194" s="89"/>
      <x:c r="K194" s="89"/>
      <x:c r="L194" s="89"/>
      <x:c r="M194" s="89"/>
      <x:c r="N194" s="89"/>
      <x:c r="O194" s="89"/>
      <x:c r="P194" s="89"/>
      <x:c r="Q194" s="89"/>
      <x:c r="R194" s="89"/>
      <x:c r="S194" s="89"/>
      <x:c r="T194" s="89"/>
      <x:c r="U194" s="89"/>
      <x:c r="V194" s="89"/>
      <x:c r="W194" s="89"/>
      <x:c r="X194" s="89"/>
      <x:c r="Y194" s="89"/>
      <x:c r="Z194" s="89"/>
    </x:row>
    <x:row r="195">
      <x:c r="A195" s="89"/>
      <x:c r="B195" s="89"/>
      <x:c r="C195" s="89"/>
      <x:c r="D195" s="89"/>
      <x:c r="E195" s="89"/>
      <x:c r="F195" s="89"/>
      <x:c r="G195" s="89"/>
      <x:c r="H195" s="89"/>
      <x:c r="I195" s="89"/>
      <x:c r="J195" s="89"/>
      <x:c r="K195" s="89"/>
      <x:c r="L195" s="89"/>
      <x:c r="M195" s="89"/>
      <x:c r="N195" s="89"/>
      <x:c r="O195" s="89"/>
      <x:c r="P195" s="89"/>
      <x:c r="Q195" s="89"/>
      <x:c r="R195" s="89"/>
      <x:c r="S195" s="89"/>
      <x:c r="T195" s="89"/>
      <x:c r="U195" s="89"/>
      <x:c r="V195" s="89"/>
      <x:c r="W195" s="89"/>
      <x:c r="X195" s="89"/>
      <x:c r="Y195" s="89"/>
      <x:c r="Z195" s="89"/>
    </x:row>
    <x:row r="196">
      <x:c r="A196" s="89"/>
      <x:c r="B196" s="89"/>
      <x:c r="C196" s="89"/>
      <x:c r="D196" s="89"/>
      <x:c r="E196" s="89"/>
      <x:c r="F196" s="89"/>
      <x:c r="G196" s="89"/>
      <x:c r="H196" s="89"/>
      <x:c r="I196" s="89"/>
      <x:c r="J196" s="89"/>
      <x:c r="K196" s="89"/>
      <x:c r="L196" s="89"/>
      <x:c r="M196" s="89"/>
      <x:c r="N196" s="89"/>
      <x:c r="O196" s="89"/>
      <x:c r="P196" s="89"/>
      <x:c r="Q196" s="89"/>
      <x:c r="R196" s="89"/>
      <x:c r="S196" s="89"/>
      <x:c r="T196" s="89"/>
      <x:c r="U196" s="89"/>
      <x:c r="V196" s="89"/>
      <x:c r="W196" s="89"/>
      <x:c r="X196" s="89"/>
      <x:c r="Y196" s="89"/>
      <x:c r="Z196" s="89"/>
    </x:row>
    <x:row r="197">
      <x:c r="A197" s="89"/>
      <x:c r="B197" s="89"/>
      <x:c r="C197" s="89"/>
      <x:c r="D197" s="89"/>
      <x:c r="E197" s="89"/>
      <x:c r="F197" s="89"/>
      <x:c r="G197" s="89"/>
      <x:c r="H197" s="89"/>
      <x:c r="I197" s="89"/>
      <x:c r="J197" s="89"/>
      <x:c r="K197" s="89"/>
      <x:c r="L197" s="89"/>
      <x:c r="M197" s="89"/>
      <x:c r="N197" s="89"/>
      <x:c r="O197" s="89"/>
      <x:c r="P197" s="89"/>
      <x:c r="Q197" s="89"/>
      <x:c r="R197" s="89"/>
      <x:c r="S197" s="89"/>
      <x:c r="T197" s="89"/>
      <x:c r="U197" s="89"/>
      <x:c r="V197" s="89"/>
      <x:c r="W197" s="89"/>
      <x:c r="X197" s="89"/>
      <x:c r="Y197" s="89"/>
      <x:c r="Z197" s="89"/>
    </x:row>
    <x:row r="198">
      <x:c r="A198" s="89"/>
      <x:c r="B198" s="89"/>
      <x:c r="C198" s="89"/>
      <x:c r="D198" s="89"/>
      <x:c r="E198" s="89"/>
      <x:c r="F198" s="89"/>
      <x:c r="G198" s="89"/>
      <x:c r="H198" s="89"/>
      <x:c r="I198" s="89"/>
      <x:c r="J198" s="89"/>
      <x:c r="K198" s="89"/>
      <x:c r="L198" s="89"/>
      <x:c r="M198" s="89"/>
      <x:c r="N198" s="89"/>
      <x:c r="O198" s="89"/>
      <x:c r="P198" s="89"/>
      <x:c r="Q198" s="89"/>
      <x:c r="R198" s="89"/>
      <x:c r="S198" s="89"/>
      <x:c r="T198" s="89"/>
      <x:c r="U198" s="89"/>
      <x:c r="V198" s="89"/>
      <x:c r="W198" s="89"/>
      <x:c r="X198" s="89"/>
      <x:c r="Y198" s="89"/>
      <x:c r="Z198" s="89"/>
    </x:row>
    <x:row r="199">
      <x:c r="A199" s="89"/>
      <x:c r="B199" s="89"/>
      <x:c r="C199" s="89"/>
      <x:c r="D199" s="89"/>
      <x:c r="E199" s="89"/>
      <x:c r="F199" s="89"/>
      <x:c r="G199" s="89"/>
      <x:c r="H199" s="89"/>
      <x:c r="I199" s="89"/>
      <x:c r="J199" s="89"/>
      <x:c r="K199" s="89"/>
      <x:c r="L199" s="89"/>
      <x:c r="M199" s="89"/>
      <x:c r="N199" s="89"/>
      <x:c r="O199" s="89"/>
      <x:c r="P199" s="89"/>
      <x:c r="Q199" s="89"/>
      <x:c r="R199" s="89"/>
      <x:c r="S199" s="89"/>
      <x:c r="T199" s="89"/>
      <x:c r="U199" s="89"/>
      <x:c r="V199" s="89"/>
      <x:c r="W199" s="89"/>
      <x:c r="X199" s="89"/>
      <x:c r="Y199" s="89"/>
      <x:c r="Z199" s="89"/>
    </x:row>
    <x:row r="200">
      <x:c r="A200" s="89"/>
      <x:c r="B200" s="89"/>
      <x:c r="C200" s="89"/>
      <x:c r="D200" s="89"/>
      <x:c r="E200" s="89"/>
      <x:c r="F200" s="89"/>
      <x:c r="G200" s="89"/>
      <x:c r="H200" s="89"/>
      <x:c r="I200" s="89"/>
      <x:c r="J200" s="89"/>
      <x:c r="K200" s="89"/>
      <x:c r="L200" s="89"/>
      <x:c r="M200" s="89"/>
      <x:c r="N200" s="89"/>
      <x:c r="O200" s="89"/>
      <x:c r="P200" s="89"/>
      <x:c r="Q200" s="89"/>
      <x:c r="R200" s="89"/>
      <x:c r="S200" s="89"/>
      <x:c r="T200" s="89"/>
      <x:c r="U200" s="89"/>
      <x:c r="V200" s="89"/>
      <x:c r="W200" s="89"/>
      <x:c r="X200" s="89"/>
      <x:c r="Y200" s="89"/>
      <x:c r="Z200" s="89"/>
    </x:row>
  </x:sheetData>
  <x:mergeCells>
    <x:mergeCell ref="A1:L1"/>
  </x:mergeCells>
  <x:conditionalFormatting sqref="H3:H102">
    <x:cfRule type="expression" dxfId="8" priority="1">
      <x:formula>$H3="Kritik"</x:formula>
    </x:cfRule>
    <x:cfRule type="expression" dxfId="9" priority="2">
      <x:formula>$H3="Azalıyor"</x:formula>
    </x:cfRule>
    <x:cfRule type="expression" dxfId="10" priority="3">
      <x:formula>$H3="Yeterli"</x:formula>
    </x:cfRule>
  </x:conditionalFormatting>
  <x:dataValidations count="1">
    <x:dataValidation type="list" sqref="A3:A102">
      <x:formula1>'Ayarlar'!$G$4:$G$10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4f301d1ec6a84484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12" hidden="0" customWidth="1"/>
    <x:col min="3" max="3" width="42" hidden="0" customWidth="1"/>
    <x:col min="4" max="4" width="14" hidden="0" customWidth="1"/>
    <x:col min="5" max="5" width="16" hidden="0" customWidth="1"/>
    <x:col min="6" max="6" width="12" hidden="0" customWidth="1"/>
    <x:col min="7" max="7" width="12" hidden="0" customWidth="1"/>
    <x:col min="8" max="8" width="34" hidden="0" customWidth="1"/>
  </x:cols>
  <x:sheetData>
    <x:row r="1">
      <x:c r="A1" s="126" t="str">
        <x:v>BunuDaBastık3D - Baskı Sonrası Kalite Kontrol</x:v>
      </x:c>
      <x:c r="B1" s="126"/>
      <x:c r="C1" s="126"/>
      <x:c r="D1" s="126"/>
      <x:c r="E1" s="126"/>
      <x:c r="F1" s="126"/>
      <x:c r="G1" s="126"/>
      <x:c r="H1" s="126"/>
      <x:c r="I1" s="89"/>
      <x:c r="J1" s="89"/>
      <x:c r="K1" s="89"/>
      <x:c r="L1" s="89"/>
      <x:c r="M1" s="89"/>
      <x:c r="N1" s="89"/>
      <x:c r="O1" s="89"/>
      <x:c r="P1" s="89"/>
      <x:c r="Q1" s="89"/>
      <x:c r="R1" s="89"/>
      <x:c r="S1" s="89"/>
      <x:c r="T1" s="89"/>
      <x:c r="U1" s="89"/>
      <x:c r="V1" s="89"/>
      <x:c r="W1" s="89"/>
      <x:c r="X1" s="89"/>
      <x:c r="Y1" s="89"/>
      <x:c r="Z1" s="89"/>
    </x:row>
    <x:row r="2">
      <x:c r="A2" s="89"/>
      <x:c r="B2" s="89"/>
      <x:c r="C2" s="89"/>
      <x:c r="D2" s="89"/>
      <x:c r="E2" s="89"/>
      <x:c r="F2" s="89"/>
      <x:c r="G2" s="89"/>
      <x:c r="H2" s="89"/>
      <x:c r="I2" s="89"/>
      <x:c r="J2" s="89"/>
      <x:c r="K2" s="89"/>
      <x:c r="L2" s="89"/>
      <x:c r="M2" s="89"/>
      <x:c r="N2" s="89"/>
      <x:c r="O2" s="89"/>
      <x:c r="P2" s="89"/>
      <x:c r="Q2" s="89"/>
      <x:c r="R2" s="89"/>
      <x:c r="S2" s="89"/>
      <x:c r="T2" s="89"/>
      <x:c r="U2" s="89"/>
      <x:c r="V2" s="89"/>
      <x:c r="W2" s="89"/>
      <x:c r="X2" s="89"/>
      <x:c r="Y2" s="89"/>
      <x:c r="Z2" s="89"/>
    </x:row>
    <x:row r="3">
      <x:c r="A3" s="91" t="str">
        <x:v>İş No</x:v>
      </x:c>
      <x:c r="B3" s="91" t="str">
        <x:v>Teklif No</x:v>
      </x:c>
      <x:c r="C3" s="91" t="str">
        <x:v>Kontrol Maddesi</x:v>
      </x:c>
      <x:c r="D3" s="91" t="str">
        <x:v>Sonuç</x:v>
      </x:c>
      <x:c r="E3" s="91" t="str">
        <x:v>Ölçüm / Değer</x:v>
      </x:c>
      <x:c r="F3" s="91" t="str">
        <x:v>Sorumlu</x:v>
      </x:c>
      <x:c r="G3" s="91" t="str">
        <x:v>Tarih</x:v>
      </x:c>
      <x:c r="H3" s="91" t="str">
        <x:v>Not</x:v>
      </x:c>
      <x:c r="I3" s="89"/>
      <x:c r="J3" s="89"/>
      <x:c r="K3" s="89"/>
      <x:c r="L3" s="89"/>
      <x:c r="M3" s="89"/>
      <x:c r="N3" s="89"/>
      <x:c r="O3" s="89"/>
      <x:c r="P3" s="89"/>
      <x:c r="Q3" s="89"/>
      <x:c r="R3" s="89"/>
      <x:c r="S3" s="89"/>
      <x:c r="T3" s="89"/>
      <x:c r="U3" s="89"/>
      <x:c r="V3" s="89"/>
      <x:c r="W3" s="89"/>
      <x:c r="X3" s="89"/>
      <x:c r="Y3" s="89"/>
      <x:c r="Z3" s="89"/>
    </x:row>
    <x:row r="4">
      <x:c r="A4" s="95" t="str">
        <x:v>I-0001</x:v>
      </x:c>
      <x:c r="B4" s="95" t="str">
        <x:v>T-0002</x:v>
      </x:c>
      <x:c r="C4" s="95" t="str">
        <x:v>Parça yüzeyinde katman kayması var mı?</x:v>
      </x:c>
      <x:c r="D4" s="95" t="str">
        <x:v>Bekliyor</x:v>
      </x:c>
      <x:c r="E4" s="95" t="str"/>
      <x:c r="F4" s="95" t="str">
        <x:v>Selim</x:v>
      </x:c>
      <x:c r="G4" s="114" t="n">
        <x:v>46182</x:v>
      </x:c>
      <x:c r="H4" s="95" t="str"/>
      <x:c r="I4" s="89"/>
      <x:c r="J4" s="89"/>
      <x:c r="K4" s="89"/>
      <x:c r="L4" s="89"/>
      <x:c r="M4" s="89"/>
      <x:c r="N4" s="89"/>
      <x:c r="O4" s="89"/>
      <x:c r="P4" s="89"/>
      <x:c r="Q4" s="89"/>
      <x:c r="R4" s="89"/>
      <x:c r="S4" s="89"/>
      <x:c r="T4" s="89"/>
      <x:c r="U4" s="89"/>
      <x:c r="V4" s="89"/>
      <x:c r="W4" s="89"/>
      <x:c r="X4" s="89"/>
      <x:c r="Y4" s="89"/>
      <x:c r="Z4" s="89"/>
    </x:row>
    <x:row r="5">
      <x:c r="A5" s="95" t="str">
        <x:v>I-0001</x:v>
      </x:c>
      <x:c r="B5" s="95" t="str">
        <x:v>T-0002</x:v>
      </x:c>
      <x:c r="C5" s="95" t="str">
        <x:v>Ölçü kritik noktaları kumpasla kontrol edildi mi?</x:v>
      </x:c>
      <x:c r="D5" s="95" t="str">
        <x:v>Bekliyor</x:v>
      </x:c>
      <x:c r="E5" s="95" t="str"/>
      <x:c r="F5" s="95" t="str">
        <x:v>Selim</x:v>
      </x:c>
      <x:c r="G5" s="114" t="n">
        <x:v>46182</x:v>
      </x:c>
      <x:c r="H5" s="95" t="str"/>
      <x:c r="I5" s="89"/>
      <x:c r="J5" s="89"/>
      <x:c r="K5" s="89"/>
      <x:c r="L5" s="89"/>
      <x:c r="M5" s="89"/>
      <x:c r="N5" s="89"/>
      <x:c r="O5" s="89"/>
      <x:c r="P5" s="89"/>
      <x:c r="Q5" s="89"/>
      <x:c r="R5" s="89"/>
      <x:c r="S5" s="89"/>
      <x:c r="T5" s="89"/>
      <x:c r="U5" s="89"/>
      <x:c r="V5" s="89"/>
      <x:c r="W5" s="89"/>
      <x:c r="X5" s="89"/>
      <x:c r="Y5" s="89"/>
      <x:c r="Z5" s="89"/>
    </x:row>
    <x:row r="6">
      <x:c r="A6" s="95" t="str">
        <x:v>I-0001</x:v>
      </x:c>
      <x:c r="B6" s="95" t="str">
        <x:v>T-0002</x:v>
      </x:c>
      <x:c r="C6" s="95" t="str">
        <x:v>Destek izleri temizlendi mi?</x:v>
      </x:c>
      <x:c r="D6" s="95" t="str">
        <x:v>Bekliyor</x:v>
      </x:c>
      <x:c r="E6" s="95" t="str"/>
      <x:c r="F6" s="95" t="str">
        <x:v>Selim</x:v>
      </x:c>
      <x:c r="G6" s="114" t="n">
        <x:v>46182</x:v>
      </x:c>
      <x:c r="H6" s="95" t="str"/>
      <x:c r="I6" s="89"/>
      <x:c r="J6" s="89"/>
      <x:c r="K6" s="89"/>
      <x:c r="L6" s="89"/>
      <x:c r="M6" s="89"/>
      <x:c r="N6" s="89"/>
      <x:c r="O6" s="89"/>
      <x:c r="P6" s="89"/>
      <x:c r="Q6" s="89"/>
      <x:c r="R6" s="89"/>
      <x:c r="S6" s="89"/>
      <x:c r="T6" s="89"/>
      <x:c r="U6" s="89"/>
      <x:c r="V6" s="89"/>
      <x:c r="W6" s="89"/>
      <x:c r="X6" s="89"/>
      <x:c r="Y6" s="89"/>
      <x:c r="Z6" s="89"/>
    </x:row>
    <x:row r="7">
      <x:c r="A7" s="95" t="str">
        <x:v>I-0001</x:v>
      </x:c>
      <x:c r="B7" s="95" t="str">
        <x:v>T-0002</x:v>
      </x:c>
      <x:c r="C7" s="95" t="str">
        <x:v>Vida/geçme yerleri test edildi mi?</x:v>
      </x:c>
      <x:c r="D7" s="95" t="str">
        <x:v>Bekliyor</x:v>
      </x:c>
      <x:c r="E7" s="95" t="str"/>
      <x:c r="F7" s="95" t="str">
        <x:v>Selim</x:v>
      </x:c>
      <x:c r="G7" s="114" t="n">
        <x:v>46182</x:v>
      </x:c>
      <x:c r="H7" s="95" t="str"/>
      <x:c r="I7" s="89"/>
      <x:c r="J7" s="89"/>
      <x:c r="K7" s="89"/>
      <x:c r="L7" s="89"/>
      <x:c r="M7" s="89"/>
      <x:c r="N7" s="89"/>
      <x:c r="O7" s="89"/>
      <x:c r="P7" s="89"/>
      <x:c r="Q7" s="89"/>
      <x:c r="R7" s="89"/>
      <x:c r="S7" s="89"/>
      <x:c r="T7" s="89"/>
      <x:c r="U7" s="89"/>
      <x:c r="V7" s="89"/>
      <x:c r="W7" s="89"/>
      <x:c r="X7" s="89"/>
      <x:c r="Y7" s="89"/>
      <x:c r="Z7" s="89"/>
    </x:row>
    <x:row r="8">
      <x:c r="A8" s="95" t="str">
        <x:v>I-0001</x:v>
      </x:c>
      <x:c r="B8" s="95" t="str">
        <x:v>T-0002</x:v>
      </x:c>
      <x:c r="C8" s="95" t="str">
        <x:v>Müşteriye gönderilecek fotoğraf çekildi mi?</x:v>
      </x:c>
      <x:c r="D8" s="95" t="str">
        <x:v>Bekliyor</x:v>
      </x:c>
      <x:c r="E8" s="95" t="str"/>
      <x:c r="F8" s="95" t="str">
        <x:v>Selim</x:v>
      </x:c>
      <x:c r="G8" s="114" t="n">
        <x:v>46182</x:v>
      </x:c>
      <x:c r="H8" s="95" t="str"/>
      <x:c r="I8" s="89"/>
      <x:c r="J8" s="89"/>
      <x:c r="K8" s="89"/>
      <x:c r="L8" s="89"/>
      <x:c r="M8" s="89"/>
      <x:c r="N8" s="89"/>
      <x:c r="O8" s="89"/>
      <x:c r="P8" s="89"/>
      <x:c r="Q8" s="89"/>
      <x:c r="R8" s="89"/>
      <x:c r="S8" s="89"/>
      <x:c r="T8" s="89"/>
      <x:c r="U8" s="89"/>
      <x:c r="V8" s="89"/>
      <x:c r="W8" s="89"/>
      <x:c r="X8" s="89"/>
      <x:c r="Y8" s="89"/>
      <x:c r="Z8" s="89"/>
    </x:row>
    <x:row r="9">
      <x:c r="A9" s="95"/>
      <x:c r="B9" s="95"/>
      <x:c r="C9" s="95"/>
      <x:c r="D9" s="95"/>
      <x:c r="E9" s="95"/>
      <x:c r="F9" s="95"/>
      <x:c r="G9" s="114"/>
      <x:c r="H9" s="95"/>
      <x:c r="I9" s="89"/>
      <x:c r="J9" s="89"/>
      <x:c r="K9" s="89"/>
      <x:c r="L9" s="89"/>
      <x:c r="M9" s="89"/>
      <x:c r="N9" s="89"/>
      <x:c r="O9" s="89"/>
      <x:c r="P9" s="89"/>
      <x:c r="Q9" s="89"/>
      <x:c r="R9" s="89"/>
      <x:c r="S9" s="89"/>
      <x:c r="T9" s="89"/>
      <x:c r="U9" s="89"/>
      <x:c r="V9" s="89"/>
      <x:c r="W9" s="89"/>
      <x:c r="X9" s="89"/>
      <x:c r="Y9" s="89"/>
      <x:c r="Z9" s="89"/>
    </x:row>
    <x:row r="10">
      <x:c r="A10" s="95"/>
      <x:c r="B10" s="95"/>
      <x:c r="C10" s="95"/>
      <x:c r="D10" s="95"/>
      <x:c r="E10" s="95"/>
      <x:c r="F10" s="95"/>
      <x:c r="G10" s="114"/>
      <x:c r="H10" s="95"/>
      <x:c r="I10" s="89"/>
      <x:c r="J10" s="89"/>
      <x:c r="K10" s="89"/>
      <x:c r="L10" s="89"/>
      <x:c r="M10" s="89"/>
      <x:c r="N10" s="89"/>
      <x:c r="O10" s="89"/>
      <x:c r="P10" s="89"/>
      <x:c r="Q10" s="89"/>
      <x:c r="R10" s="89"/>
      <x:c r="S10" s="89"/>
      <x:c r="T10" s="89"/>
      <x:c r="U10" s="89"/>
      <x:c r="V10" s="89"/>
      <x:c r="W10" s="89"/>
      <x:c r="X10" s="89"/>
      <x:c r="Y10" s="89"/>
      <x:c r="Z10" s="89"/>
    </x:row>
    <x:row r="11">
      <x:c r="A11" s="95"/>
      <x:c r="B11" s="95"/>
      <x:c r="C11" s="95"/>
      <x:c r="D11" s="95"/>
      <x:c r="E11" s="95"/>
      <x:c r="F11" s="95"/>
      <x:c r="G11" s="114"/>
      <x:c r="H11" s="95"/>
      <x:c r="I11" s="89"/>
      <x:c r="J11" s="89"/>
      <x:c r="K11" s="89"/>
      <x:c r="L11" s="89"/>
      <x:c r="M11" s="89"/>
      <x:c r="N11" s="89"/>
      <x:c r="O11" s="89"/>
      <x:c r="P11" s="89"/>
      <x:c r="Q11" s="89"/>
      <x:c r="R11" s="89"/>
      <x:c r="S11" s="89"/>
      <x:c r="T11" s="89"/>
      <x:c r="U11" s="89"/>
      <x:c r="V11" s="89"/>
      <x:c r="W11" s="89"/>
      <x:c r="X11" s="89"/>
      <x:c r="Y11" s="89"/>
      <x:c r="Z11" s="89"/>
    </x:row>
    <x:row r="12">
      <x:c r="A12" s="95"/>
      <x:c r="B12" s="95"/>
      <x:c r="C12" s="95"/>
      <x:c r="D12" s="95"/>
      <x:c r="E12" s="95"/>
      <x:c r="F12" s="95"/>
      <x:c r="G12" s="114"/>
      <x:c r="H12" s="95"/>
      <x:c r="I12" s="89"/>
      <x:c r="J12" s="89"/>
      <x:c r="K12" s="89"/>
      <x:c r="L12" s="89"/>
      <x:c r="M12" s="89"/>
      <x:c r="N12" s="89"/>
      <x:c r="O12" s="89"/>
      <x:c r="P12" s="89"/>
      <x:c r="Q12" s="89"/>
      <x:c r="R12" s="89"/>
      <x:c r="S12" s="89"/>
      <x:c r="T12" s="89"/>
      <x:c r="U12" s="89"/>
      <x:c r="V12" s="89"/>
      <x:c r="W12" s="89"/>
      <x:c r="X12" s="89"/>
      <x:c r="Y12" s="89"/>
      <x:c r="Z12" s="89"/>
    </x:row>
    <x:row r="13">
      <x:c r="A13" s="95"/>
      <x:c r="B13" s="95"/>
      <x:c r="C13" s="95"/>
      <x:c r="D13" s="95"/>
      <x:c r="E13" s="95"/>
      <x:c r="F13" s="95"/>
      <x:c r="G13" s="114"/>
      <x:c r="H13" s="95"/>
      <x:c r="I13" s="89"/>
      <x:c r="J13" s="89"/>
      <x:c r="K13" s="89"/>
      <x:c r="L13" s="89"/>
      <x:c r="M13" s="89"/>
      <x:c r="N13" s="89"/>
      <x:c r="O13" s="89"/>
      <x:c r="P13" s="89"/>
      <x:c r="Q13" s="89"/>
      <x:c r="R13" s="89"/>
      <x:c r="S13" s="89"/>
      <x:c r="T13" s="89"/>
      <x:c r="U13" s="89"/>
      <x:c r="V13" s="89"/>
      <x:c r="W13" s="89"/>
      <x:c r="X13" s="89"/>
      <x:c r="Y13" s="89"/>
      <x:c r="Z13" s="89"/>
    </x:row>
    <x:row r="14">
      <x:c r="A14" s="95"/>
      <x:c r="B14" s="95"/>
      <x:c r="C14" s="95"/>
      <x:c r="D14" s="95"/>
      <x:c r="E14" s="95"/>
      <x:c r="F14" s="95"/>
      <x:c r="G14" s="114"/>
      <x:c r="H14" s="95"/>
      <x:c r="I14" s="89"/>
      <x:c r="J14" s="89"/>
      <x:c r="K14" s="89"/>
      <x:c r="L14" s="89"/>
      <x:c r="M14" s="89"/>
      <x:c r="N14" s="89"/>
      <x:c r="O14" s="89"/>
      <x:c r="P14" s="89"/>
      <x:c r="Q14" s="89"/>
      <x:c r="R14" s="89"/>
      <x:c r="S14" s="89"/>
      <x:c r="T14" s="89"/>
      <x:c r="U14" s="89"/>
      <x:c r="V14" s="89"/>
      <x:c r="W14" s="89"/>
      <x:c r="X14" s="89"/>
      <x:c r="Y14" s="89"/>
      <x:c r="Z14" s="89"/>
    </x:row>
    <x:row r="15">
      <x:c r="A15" s="95"/>
      <x:c r="B15" s="95"/>
      <x:c r="C15" s="95"/>
      <x:c r="D15" s="95"/>
      <x:c r="E15" s="95"/>
      <x:c r="F15" s="95"/>
      <x:c r="G15" s="114"/>
      <x:c r="H15" s="95"/>
      <x:c r="I15" s="89"/>
      <x:c r="J15" s="89"/>
      <x:c r="K15" s="89"/>
      <x:c r="L15" s="89"/>
      <x:c r="M15" s="89"/>
      <x:c r="N15" s="89"/>
      <x:c r="O15" s="89"/>
      <x:c r="P15" s="89"/>
      <x:c r="Q15" s="89"/>
      <x:c r="R15" s="89"/>
      <x:c r="S15" s="89"/>
      <x:c r="T15" s="89"/>
      <x:c r="U15" s="89"/>
      <x:c r="V15" s="89"/>
      <x:c r="W15" s="89"/>
      <x:c r="X15" s="89"/>
      <x:c r="Y15" s="89"/>
      <x:c r="Z15" s="89"/>
    </x:row>
    <x:row r="16">
      <x:c r="A16" s="95"/>
      <x:c r="B16" s="95"/>
      <x:c r="C16" s="95"/>
      <x:c r="D16" s="95"/>
      <x:c r="E16" s="95"/>
      <x:c r="F16" s="95"/>
      <x:c r="G16" s="114"/>
      <x:c r="H16" s="95"/>
      <x:c r="I16" s="89"/>
      <x:c r="J16" s="89"/>
      <x:c r="K16" s="89"/>
      <x:c r="L16" s="89"/>
      <x:c r="M16" s="89"/>
      <x:c r="N16" s="89"/>
      <x:c r="O16" s="89"/>
      <x:c r="P16" s="89"/>
      <x:c r="Q16" s="89"/>
      <x:c r="R16" s="89"/>
      <x:c r="S16" s="89"/>
      <x:c r="T16" s="89"/>
      <x:c r="U16" s="89"/>
      <x:c r="V16" s="89"/>
      <x:c r="W16" s="89"/>
      <x:c r="X16" s="89"/>
      <x:c r="Y16" s="89"/>
      <x:c r="Z16" s="89"/>
    </x:row>
    <x:row r="17">
      <x:c r="A17" s="95"/>
      <x:c r="B17" s="95"/>
      <x:c r="C17" s="95"/>
      <x:c r="D17" s="95"/>
      <x:c r="E17" s="95"/>
      <x:c r="F17" s="95"/>
      <x:c r="G17" s="114"/>
      <x:c r="H17" s="95"/>
      <x:c r="I17" s="89"/>
      <x:c r="J17" s="89"/>
      <x:c r="K17" s="89"/>
      <x:c r="L17" s="89"/>
      <x:c r="M17" s="89"/>
      <x:c r="N17" s="89"/>
      <x:c r="O17" s="89"/>
      <x:c r="P17" s="89"/>
      <x:c r="Q17" s="89"/>
      <x:c r="R17" s="89"/>
      <x:c r="S17" s="89"/>
      <x:c r="T17" s="89"/>
      <x:c r="U17" s="89"/>
      <x:c r="V17" s="89"/>
      <x:c r="W17" s="89"/>
      <x:c r="X17" s="89"/>
      <x:c r="Y17" s="89"/>
      <x:c r="Z17" s="89"/>
    </x:row>
    <x:row r="18">
      <x:c r="A18" s="95"/>
      <x:c r="B18" s="95"/>
      <x:c r="C18" s="95"/>
      <x:c r="D18" s="95"/>
      <x:c r="E18" s="95"/>
      <x:c r="F18" s="95"/>
      <x:c r="G18" s="114"/>
      <x:c r="H18" s="95"/>
      <x:c r="I18" s="89"/>
      <x:c r="J18" s="89"/>
      <x:c r="K18" s="89"/>
      <x:c r="L18" s="89"/>
      <x:c r="M18" s="89"/>
      <x:c r="N18" s="89"/>
      <x:c r="O18" s="89"/>
      <x:c r="P18" s="89"/>
      <x:c r="Q18" s="89"/>
      <x:c r="R18" s="89"/>
      <x:c r="S18" s="89"/>
      <x:c r="T18" s="89"/>
      <x:c r="U18" s="89"/>
      <x:c r="V18" s="89"/>
      <x:c r="W18" s="89"/>
      <x:c r="X18" s="89"/>
      <x:c r="Y18" s="89"/>
      <x:c r="Z18" s="89"/>
    </x:row>
    <x:row r="19">
      <x:c r="A19" s="95"/>
      <x:c r="B19" s="95"/>
      <x:c r="C19" s="95"/>
      <x:c r="D19" s="95"/>
      <x:c r="E19" s="95"/>
      <x:c r="F19" s="95"/>
      <x:c r="G19" s="114"/>
      <x:c r="H19" s="95"/>
      <x:c r="I19" s="89"/>
      <x:c r="J19" s="89"/>
      <x:c r="K19" s="89"/>
      <x:c r="L19" s="89"/>
      <x:c r="M19" s="89"/>
      <x:c r="N19" s="89"/>
      <x:c r="O19" s="89"/>
      <x:c r="P19" s="89"/>
      <x:c r="Q19" s="89"/>
      <x:c r="R19" s="89"/>
      <x:c r="S19" s="89"/>
      <x:c r="T19" s="89"/>
      <x:c r="U19" s="89"/>
      <x:c r="V19" s="89"/>
      <x:c r="W19" s="89"/>
      <x:c r="X19" s="89"/>
      <x:c r="Y19" s="89"/>
      <x:c r="Z19" s="89"/>
    </x:row>
    <x:row r="20">
      <x:c r="A20" s="95"/>
      <x:c r="B20" s="95"/>
      <x:c r="C20" s="95"/>
      <x:c r="D20" s="95"/>
      <x:c r="E20" s="95"/>
      <x:c r="F20" s="95"/>
      <x:c r="G20" s="114"/>
      <x:c r="H20" s="95"/>
      <x:c r="I20" s="89"/>
      <x:c r="J20" s="89"/>
      <x:c r="K20" s="89"/>
      <x:c r="L20" s="89"/>
      <x:c r="M20" s="89"/>
      <x:c r="N20" s="89"/>
      <x:c r="O20" s="89"/>
      <x:c r="P20" s="89"/>
      <x:c r="Q20" s="89"/>
      <x:c r="R20" s="89"/>
      <x:c r="S20" s="89"/>
      <x:c r="T20" s="89"/>
      <x:c r="U20" s="89"/>
      <x:c r="V20" s="89"/>
      <x:c r="W20" s="89"/>
      <x:c r="X20" s="89"/>
      <x:c r="Y20" s="89"/>
      <x:c r="Z20" s="89"/>
    </x:row>
    <x:row r="21">
      <x:c r="A21" s="95"/>
      <x:c r="B21" s="95"/>
      <x:c r="C21" s="95"/>
      <x:c r="D21" s="95"/>
      <x:c r="E21" s="95"/>
      <x:c r="F21" s="95"/>
      <x:c r="G21" s="114"/>
      <x:c r="H21" s="95"/>
      <x:c r="I21" s="89"/>
      <x:c r="J21" s="89"/>
      <x:c r="K21" s="89"/>
      <x:c r="L21" s="89"/>
      <x:c r="M21" s="89"/>
      <x:c r="N21" s="89"/>
      <x:c r="O21" s="89"/>
      <x:c r="P21" s="89"/>
      <x:c r="Q21" s="89"/>
      <x:c r="R21" s="89"/>
      <x:c r="S21" s="89"/>
      <x:c r="T21" s="89"/>
      <x:c r="U21" s="89"/>
      <x:c r="V21" s="89"/>
      <x:c r="W21" s="89"/>
      <x:c r="X21" s="89"/>
      <x:c r="Y21" s="89"/>
      <x:c r="Z21" s="89"/>
    </x:row>
    <x:row r="22">
      <x:c r="A22" s="95"/>
      <x:c r="B22" s="95"/>
      <x:c r="C22" s="95"/>
      <x:c r="D22" s="95"/>
      <x:c r="E22" s="95"/>
      <x:c r="F22" s="95"/>
      <x:c r="G22" s="114"/>
      <x:c r="H22" s="95"/>
      <x:c r="I22" s="89"/>
      <x:c r="J22" s="89"/>
      <x:c r="K22" s="89"/>
      <x:c r="L22" s="89"/>
      <x:c r="M22" s="89"/>
      <x:c r="N22" s="89"/>
      <x:c r="O22" s="89"/>
      <x:c r="P22" s="89"/>
      <x:c r="Q22" s="89"/>
      <x:c r="R22" s="89"/>
      <x:c r="S22" s="89"/>
      <x:c r="T22" s="89"/>
      <x:c r="U22" s="89"/>
      <x:c r="V22" s="89"/>
      <x:c r="W22" s="89"/>
      <x:c r="X22" s="89"/>
      <x:c r="Y22" s="89"/>
      <x:c r="Z22" s="89"/>
    </x:row>
    <x:row r="23">
      <x:c r="A23" s="95"/>
      <x:c r="B23" s="95"/>
      <x:c r="C23" s="95"/>
      <x:c r="D23" s="95"/>
      <x:c r="E23" s="95"/>
      <x:c r="F23" s="95"/>
      <x:c r="G23" s="114"/>
      <x:c r="H23" s="95"/>
      <x:c r="I23" s="89"/>
      <x:c r="J23" s="89"/>
      <x:c r="K23" s="89"/>
      <x:c r="L23" s="89"/>
      <x:c r="M23" s="89"/>
      <x:c r="N23" s="89"/>
      <x:c r="O23" s="89"/>
      <x:c r="P23" s="89"/>
      <x:c r="Q23" s="89"/>
      <x:c r="R23" s="89"/>
      <x:c r="S23" s="89"/>
      <x:c r="T23" s="89"/>
      <x:c r="U23" s="89"/>
      <x:c r="V23" s="89"/>
      <x:c r="W23" s="89"/>
      <x:c r="X23" s="89"/>
      <x:c r="Y23" s="89"/>
      <x:c r="Z23" s="89"/>
    </x:row>
    <x:row r="24">
      <x:c r="A24" s="95"/>
      <x:c r="B24" s="95"/>
      <x:c r="C24" s="95"/>
      <x:c r="D24" s="95"/>
      <x:c r="E24" s="95"/>
      <x:c r="F24" s="95"/>
      <x:c r="G24" s="114"/>
      <x:c r="H24" s="95"/>
      <x:c r="I24" s="89"/>
      <x:c r="J24" s="89"/>
      <x:c r="K24" s="89"/>
      <x:c r="L24" s="89"/>
      <x:c r="M24" s="89"/>
      <x:c r="N24" s="89"/>
      <x:c r="O24" s="89"/>
      <x:c r="P24" s="89"/>
      <x:c r="Q24" s="89"/>
      <x:c r="R24" s="89"/>
      <x:c r="S24" s="89"/>
      <x:c r="T24" s="89"/>
      <x:c r="U24" s="89"/>
      <x:c r="V24" s="89"/>
      <x:c r="W24" s="89"/>
      <x:c r="X24" s="89"/>
      <x:c r="Y24" s="89"/>
      <x:c r="Z24" s="89"/>
    </x:row>
    <x:row r="25">
      <x:c r="A25" s="95"/>
      <x:c r="B25" s="95"/>
      <x:c r="C25" s="95"/>
      <x:c r="D25" s="95"/>
      <x:c r="E25" s="95"/>
      <x:c r="F25" s="95"/>
      <x:c r="G25" s="114"/>
      <x:c r="H25" s="95"/>
      <x:c r="I25" s="89"/>
      <x:c r="J25" s="89"/>
      <x:c r="K25" s="89"/>
      <x:c r="L25" s="89"/>
      <x:c r="M25" s="89"/>
      <x:c r="N25" s="89"/>
      <x:c r="O25" s="89"/>
      <x:c r="P25" s="89"/>
      <x:c r="Q25" s="89"/>
      <x:c r="R25" s="89"/>
      <x:c r="S25" s="89"/>
      <x:c r="T25" s="89"/>
      <x:c r="U25" s="89"/>
      <x:c r="V25" s="89"/>
      <x:c r="W25" s="89"/>
      <x:c r="X25" s="89"/>
      <x:c r="Y25" s="89"/>
      <x:c r="Z25" s="89"/>
    </x:row>
    <x:row r="26">
      <x:c r="A26" s="95"/>
      <x:c r="B26" s="95"/>
      <x:c r="C26" s="95"/>
      <x:c r="D26" s="95"/>
      <x:c r="E26" s="95"/>
      <x:c r="F26" s="95"/>
      <x:c r="G26" s="114"/>
      <x:c r="H26" s="95"/>
      <x:c r="I26" s="89"/>
      <x:c r="J26" s="89"/>
      <x:c r="K26" s="89"/>
      <x:c r="L26" s="89"/>
      <x:c r="M26" s="89"/>
      <x:c r="N26" s="89"/>
      <x:c r="O26" s="89"/>
      <x:c r="P26" s="89"/>
      <x:c r="Q26" s="89"/>
      <x:c r="R26" s="89"/>
      <x:c r="S26" s="89"/>
      <x:c r="T26" s="89"/>
      <x:c r="U26" s="89"/>
      <x:c r="V26" s="89"/>
      <x:c r="W26" s="89"/>
      <x:c r="X26" s="89"/>
      <x:c r="Y26" s="89"/>
      <x:c r="Z26" s="89"/>
    </x:row>
    <x:row r="27">
      <x:c r="A27" s="95"/>
      <x:c r="B27" s="95"/>
      <x:c r="C27" s="95"/>
      <x:c r="D27" s="95"/>
      <x:c r="E27" s="95"/>
      <x:c r="F27" s="95"/>
      <x:c r="G27" s="114"/>
      <x:c r="H27" s="95"/>
      <x:c r="I27" s="89"/>
      <x:c r="J27" s="89"/>
      <x:c r="K27" s="89"/>
      <x:c r="L27" s="89"/>
      <x:c r="M27" s="89"/>
      <x:c r="N27" s="89"/>
      <x:c r="O27" s="89"/>
      <x:c r="P27" s="89"/>
      <x:c r="Q27" s="89"/>
      <x:c r="R27" s="89"/>
      <x:c r="S27" s="89"/>
      <x:c r="T27" s="89"/>
      <x:c r="U27" s="89"/>
      <x:c r="V27" s="89"/>
      <x:c r="W27" s="89"/>
      <x:c r="X27" s="89"/>
      <x:c r="Y27" s="89"/>
      <x:c r="Z27" s="89"/>
    </x:row>
    <x:row r="28">
      <x:c r="A28" s="95"/>
      <x:c r="B28" s="95"/>
      <x:c r="C28" s="95"/>
      <x:c r="D28" s="95"/>
      <x:c r="E28" s="95"/>
      <x:c r="F28" s="95"/>
      <x:c r="G28" s="114"/>
      <x:c r="H28" s="95"/>
      <x:c r="I28" s="89"/>
      <x:c r="J28" s="89"/>
      <x:c r="K28" s="89"/>
      <x:c r="L28" s="89"/>
      <x:c r="M28" s="89"/>
      <x:c r="N28" s="89"/>
      <x:c r="O28" s="89"/>
      <x:c r="P28" s="89"/>
      <x:c r="Q28" s="89"/>
      <x:c r="R28" s="89"/>
      <x:c r="S28" s="89"/>
      <x:c r="T28" s="89"/>
      <x:c r="U28" s="89"/>
      <x:c r="V28" s="89"/>
      <x:c r="W28" s="89"/>
      <x:c r="X28" s="89"/>
      <x:c r="Y28" s="89"/>
      <x:c r="Z28" s="89"/>
    </x:row>
    <x:row r="29">
      <x:c r="A29" s="95"/>
      <x:c r="B29" s="95"/>
      <x:c r="C29" s="95"/>
      <x:c r="D29" s="95"/>
      <x:c r="E29" s="95"/>
      <x:c r="F29" s="95"/>
      <x:c r="G29" s="114"/>
      <x:c r="H29" s="95"/>
      <x:c r="I29" s="89"/>
      <x:c r="J29" s="89"/>
      <x:c r="K29" s="89"/>
      <x:c r="L29" s="89"/>
      <x:c r="M29" s="89"/>
      <x:c r="N29" s="89"/>
      <x:c r="O29" s="89"/>
      <x:c r="P29" s="89"/>
      <x:c r="Q29" s="89"/>
      <x:c r="R29" s="89"/>
      <x:c r="S29" s="89"/>
      <x:c r="T29" s="89"/>
      <x:c r="U29" s="89"/>
      <x:c r="V29" s="89"/>
      <x:c r="W29" s="89"/>
      <x:c r="X29" s="89"/>
      <x:c r="Y29" s="89"/>
      <x:c r="Z29" s="89"/>
    </x:row>
    <x:row r="30">
      <x:c r="A30" s="95"/>
      <x:c r="B30" s="95"/>
      <x:c r="C30" s="95"/>
      <x:c r="D30" s="95"/>
      <x:c r="E30" s="95"/>
      <x:c r="F30" s="95"/>
      <x:c r="G30" s="114"/>
      <x:c r="H30" s="95"/>
      <x:c r="I30" s="89"/>
      <x:c r="J30" s="89"/>
      <x:c r="K30" s="89"/>
      <x:c r="L30" s="89"/>
      <x:c r="M30" s="89"/>
      <x:c r="N30" s="89"/>
      <x:c r="O30" s="89"/>
      <x:c r="P30" s="89"/>
      <x:c r="Q30" s="89"/>
      <x:c r="R30" s="89"/>
      <x:c r="S30" s="89"/>
      <x:c r="T30" s="89"/>
      <x:c r="U30" s="89"/>
      <x:c r="V30" s="89"/>
      <x:c r="W30" s="89"/>
      <x:c r="X30" s="89"/>
      <x:c r="Y30" s="89"/>
      <x:c r="Z30" s="89"/>
    </x:row>
    <x:row r="31">
      <x:c r="A31" s="95"/>
      <x:c r="B31" s="95"/>
      <x:c r="C31" s="95"/>
      <x:c r="D31" s="95"/>
      <x:c r="E31" s="95"/>
      <x:c r="F31" s="95"/>
      <x:c r="G31" s="114"/>
      <x:c r="H31" s="95"/>
      <x:c r="I31" s="89"/>
      <x:c r="J31" s="89"/>
      <x:c r="K31" s="89"/>
      <x:c r="L31" s="89"/>
      <x:c r="M31" s="89"/>
      <x:c r="N31" s="89"/>
      <x:c r="O31" s="89"/>
      <x:c r="P31" s="89"/>
      <x:c r="Q31" s="89"/>
      <x:c r="R31" s="89"/>
      <x:c r="S31" s="89"/>
      <x:c r="T31" s="89"/>
      <x:c r="U31" s="89"/>
      <x:c r="V31" s="89"/>
      <x:c r="W31" s="89"/>
      <x:c r="X31" s="89"/>
      <x:c r="Y31" s="89"/>
      <x:c r="Z31" s="89"/>
    </x:row>
    <x:row r="32">
      <x:c r="A32" s="95"/>
      <x:c r="B32" s="95"/>
      <x:c r="C32" s="95"/>
      <x:c r="D32" s="95"/>
      <x:c r="E32" s="95"/>
      <x:c r="F32" s="95"/>
      <x:c r="G32" s="114"/>
      <x:c r="H32" s="95"/>
      <x:c r="I32" s="89"/>
      <x:c r="J32" s="89"/>
      <x:c r="K32" s="89"/>
      <x:c r="L32" s="89"/>
      <x:c r="M32" s="89"/>
      <x:c r="N32" s="89"/>
      <x:c r="O32" s="89"/>
      <x:c r="P32" s="89"/>
      <x:c r="Q32" s="89"/>
      <x:c r="R32" s="89"/>
      <x:c r="S32" s="89"/>
      <x:c r="T32" s="89"/>
      <x:c r="U32" s="89"/>
      <x:c r="V32" s="89"/>
      <x:c r="W32" s="89"/>
      <x:c r="X32" s="89"/>
      <x:c r="Y32" s="89"/>
      <x:c r="Z32" s="89"/>
    </x:row>
    <x:row r="33">
      <x:c r="A33" s="95"/>
      <x:c r="B33" s="95"/>
      <x:c r="C33" s="95"/>
      <x:c r="D33" s="95"/>
      <x:c r="E33" s="95"/>
      <x:c r="F33" s="95"/>
      <x:c r="G33" s="114"/>
      <x:c r="H33" s="95"/>
      <x:c r="I33" s="89"/>
      <x:c r="J33" s="89"/>
      <x:c r="K33" s="89"/>
      <x:c r="L33" s="89"/>
      <x:c r="M33" s="89"/>
      <x:c r="N33" s="89"/>
      <x:c r="O33" s="89"/>
      <x:c r="P33" s="89"/>
      <x:c r="Q33" s="89"/>
      <x:c r="R33" s="89"/>
      <x:c r="S33" s="89"/>
      <x:c r="T33" s="89"/>
      <x:c r="U33" s="89"/>
      <x:c r="V33" s="89"/>
      <x:c r="W33" s="89"/>
      <x:c r="X33" s="89"/>
      <x:c r="Y33" s="89"/>
      <x:c r="Z33" s="89"/>
    </x:row>
    <x:row r="34">
      <x:c r="A34" s="95"/>
      <x:c r="B34" s="95"/>
      <x:c r="C34" s="95"/>
      <x:c r="D34" s="95"/>
      <x:c r="E34" s="95"/>
      <x:c r="F34" s="95"/>
      <x:c r="G34" s="114"/>
      <x:c r="H34" s="95"/>
      <x:c r="I34" s="89"/>
      <x:c r="J34" s="89"/>
      <x:c r="K34" s="89"/>
      <x:c r="L34" s="89"/>
      <x:c r="M34" s="89"/>
      <x:c r="N34" s="89"/>
      <x:c r="O34" s="89"/>
      <x:c r="P34" s="89"/>
      <x:c r="Q34" s="89"/>
      <x:c r="R34" s="89"/>
      <x:c r="S34" s="89"/>
      <x:c r="T34" s="89"/>
      <x:c r="U34" s="89"/>
      <x:c r="V34" s="89"/>
      <x:c r="W34" s="89"/>
      <x:c r="X34" s="89"/>
      <x:c r="Y34" s="89"/>
      <x:c r="Z34" s="89"/>
    </x:row>
    <x:row r="35">
      <x:c r="A35" s="95"/>
      <x:c r="B35" s="95"/>
      <x:c r="C35" s="95"/>
      <x:c r="D35" s="95"/>
      <x:c r="E35" s="95"/>
      <x:c r="F35" s="95"/>
      <x:c r="G35" s="114"/>
      <x:c r="H35" s="95"/>
      <x:c r="I35" s="89"/>
      <x:c r="J35" s="89"/>
      <x:c r="K35" s="89"/>
      <x:c r="L35" s="89"/>
      <x:c r="M35" s="89"/>
      <x:c r="N35" s="89"/>
      <x:c r="O35" s="89"/>
      <x:c r="P35" s="89"/>
      <x:c r="Q35" s="89"/>
      <x:c r="R35" s="89"/>
      <x:c r="S35" s="89"/>
      <x:c r="T35" s="89"/>
      <x:c r="U35" s="89"/>
      <x:c r="V35" s="89"/>
      <x:c r="W35" s="89"/>
      <x:c r="X35" s="89"/>
      <x:c r="Y35" s="89"/>
      <x:c r="Z35" s="89"/>
    </x:row>
    <x:row r="36">
      <x:c r="A36" s="95"/>
      <x:c r="B36" s="95"/>
      <x:c r="C36" s="95"/>
      <x:c r="D36" s="95"/>
      <x:c r="E36" s="95"/>
      <x:c r="F36" s="95"/>
      <x:c r="G36" s="114"/>
      <x:c r="H36" s="95"/>
      <x:c r="I36" s="89"/>
      <x:c r="J36" s="89"/>
      <x:c r="K36" s="89"/>
      <x:c r="L36" s="89"/>
      <x:c r="M36" s="89"/>
      <x:c r="N36" s="89"/>
      <x:c r="O36" s="89"/>
      <x:c r="P36" s="89"/>
      <x:c r="Q36" s="89"/>
      <x:c r="R36" s="89"/>
      <x:c r="S36" s="89"/>
      <x:c r="T36" s="89"/>
      <x:c r="U36" s="89"/>
      <x:c r="V36" s="89"/>
      <x:c r="W36" s="89"/>
      <x:c r="X36" s="89"/>
      <x:c r="Y36" s="89"/>
      <x:c r="Z36" s="89"/>
    </x:row>
    <x:row r="37">
      <x:c r="A37" s="95"/>
      <x:c r="B37" s="95"/>
      <x:c r="C37" s="95"/>
      <x:c r="D37" s="95"/>
      <x:c r="E37" s="95"/>
      <x:c r="F37" s="95"/>
      <x:c r="G37" s="114"/>
      <x:c r="H37" s="95"/>
      <x:c r="I37" s="89"/>
      <x:c r="J37" s="89"/>
      <x:c r="K37" s="89"/>
      <x:c r="L37" s="89"/>
      <x:c r="M37" s="89"/>
      <x:c r="N37" s="89"/>
      <x:c r="O37" s="89"/>
      <x:c r="P37" s="89"/>
      <x:c r="Q37" s="89"/>
      <x:c r="R37" s="89"/>
      <x:c r="S37" s="89"/>
      <x:c r="T37" s="89"/>
      <x:c r="U37" s="89"/>
      <x:c r="V37" s="89"/>
      <x:c r="W37" s="89"/>
      <x:c r="X37" s="89"/>
      <x:c r="Y37" s="89"/>
      <x:c r="Z37" s="89"/>
    </x:row>
    <x:row r="38">
      <x:c r="A38" s="95"/>
      <x:c r="B38" s="95"/>
      <x:c r="C38" s="95"/>
      <x:c r="D38" s="95"/>
      <x:c r="E38" s="95"/>
      <x:c r="F38" s="95"/>
      <x:c r="G38" s="114"/>
      <x:c r="H38" s="95"/>
      <x:c r="I38" s="89"/>
      <x:c r="J38" s="89"/>
      <x:c r="K38" s="89"/>
      <x:c r="L38" s="89"/>
      <x:c r="M38" s="89"/>
      <x:c r="N38" s="89"/>
      <x:c r="O38" s="89"/>
      <x:c r="P38" s="89"/>
      <x:c r="Q38" s="89"/>
      <x:c r="R38" s="89"/>
      <x:c r="S38" s="89"/>
      <x:c r="T38" s="89"/>
      <x:c r="U38" s="89"/>
      <x:c r="V38" s="89"/>
      <x:c r="W38" s="89"/>
      <x:c r="X38" s="89"/>
      <x:c r="Y38" s="89"/>
      <x:c r="Z38" s="89"/>
    </x:row>
    <x:row r="39">
      <x:c r="A39" s="95"/>
      <x:c r="B39" s="95"/>
      <x:c r="C39" s="95"/>
      <x:c r="D39" s="95"/>
      <x:c r="E39" s="95"/>
      <x:c r="F39" s="95"/>
      <x:c r="G39" s="114"/>
      <x:c r="H39" s="95"/>
      <x:c r="I39" s="89"/>
      <x:c r="J39" s="89"/>
      <x:c r="K39" s="89"/>
      <x:c r="L39" s="89"/>
      <x:c r="M39" s="89"/>
      <x:c r="N39" s="89"/>
      <x:c r="O39" s="89"/>
      <x:c r="P39" s="89"/>
      <x:c r="Q39" s="89"/>
      <x:c r="R39" s="89"/>
      <x:c r="S39" s="89"/>
      <x:c r="T39" s="89"/>
      <x:c r="U39" s="89"/>
      <x:c r="V39" s="89"/>
      <x:c r="W39" s="89"/>
      <x:c r="X39" s="89"/>
      <x:c r="Y39" s="89"/>
      <x:c r="Z39" s="89"/>
    </x:row>
    <x:row r="40">
      <x:c r="A40" s="95"/>
      <x:c r="B40" s="95"/>
      <x:c r="C40" s="95"/>
      <x:c r="D40" s="95"/>
      <x:c r="E40" s="95"/>
      <x:c r="F40" s="95"/>
      <x:c r="G40" s="114"/>
      <x:c r="H40" s="95"/>
      <x:c r="I40" s="89"/>
      <x:c r="J40" s="89"/>
      <x:c r="K40" s="89"/>
      <x:c r="L40" s="89"/>
      <x:c r="M40" s="89"/>
      <x:c r="N40" s="89"/>
      <x:c r="O40" s="89"/>
      <x:c r="P40" s="89"/>
      <x:c r="Q40" s="89"/>
      <x:c r="R40" s="89"/>
      <x:c r="S40" s="89"/>
      <x:c r="T40" s="89"/>
      <x:c r="U40" s="89"/>
      <x:c r="V40" s="89"/>
      <x:c r="W40" s="89"/>
      <x:c r="X40" s="89"/>
      <x:c r="Y40" s="89"/>
      <x:c r="Z40" s="89"/>
    </x:row>
    <x:row r="41">
      <x:c r="A41" s="95"/>
      <x:c r="B41" s="95"/>
      <x:c r="C41" s="95"/>
      <x:c r="D41" s="95"/>
      <x:c r="E41" s="95"/>
      <x:c r="F41" s="95"/>
      <x:c r="G41" s="114"/>
      <x:c r="H41" s="95"/>
      <x:c r="I41" s="89"/>
      <x:c r="J41" s="89"/>
      <x:c r="K41" s="89"/>
      <x:c r="L41" s="89"/>
      <x:c r="M41" s="89"/>
      <x:c r="N41" s="89"/>
      <x:c r="O41" s="89"/>
      <x:c r="P41" s="89"/>
      <x:c r="Q41" s="89"/>
      <x:c r="R41" s="89"/>
      <x:c r="S41" s="89"/>
      <x:c r="T41" s="89"/>
      <x:c r="U41" s="89"/>
      <x:c r="V41" s="89"/>
      <x:c r="W41" s="89"/>
      <x:c r="X41" s="89"/>
      <x:c r="Y41" s="89"/>
      <x:c r="Z41" s="89"/>
    </x:row>
    <x:row r="42">
      <x:c r="A42" s="95"/>
      <x:c r="B42" s="95"/>
      <x:c r="C42" s="95"/>
      <x:c r="D42" s="95"/>
      <x:c r="E42" s="95"/>
      <x:c r="F42" s="95"/>
      <x:c r="G42" s="114"/>
      <x:c r="H42" s="95"/>
      <x:c r="I42" s="89"/>
      <x:c r="J42" s="89"/>
      <x:c r="K42" s="89"/>
      <x:c r="L42" s="89"/>
      <x:c r="M42" s="89"/>
      <x:c r="N42" s="89"/>
      <x:c r="O42" s="89"/>
      <x:c r="P42" s="89"/>
      <x:c r="Q42" s="89"/>
      <x:c r="R42" s="89"/>
      <x:c r="S42" s="89"/>
      <x:c r="T42" s="89"/>
      <x:c r="U42" s="89"/>
      <x:c r="V42" s="89"/>
      <x:c r="W42" s="89"/>
      <x:c r="X42" s="89"/>
      <x:c r="Y42" s="89"/>
      <x:c r="Z42" s="89"/>
    </x:row>
    <x:row r="43">
      <x:c r="A43" s="95"/>
      <x:c r="B43" s="95"/>
      <x:c r="C43" s="95"/>
      <x:c r="D43" s="95"/>
      <x:c r="E43" s="95"/>
      <x:c r="F43" s="95"/>
      <x:c r="G43" s="114"/>
      <x:c r="H43" s="95"/>
      <x:c r="I43" s="89"/>
      <x:c r="J43" s="89"/>
      <x:c r="K43" s="89"/>
      <x:c r="L43" s="89"/>
      <x:c r="M43" s="89"/>
      <x:c r="N43" s="89"/>
      <x:c r="O43" s="89"/>
      <x:c r="P43" s="89"/>
      <x:c r="Q43" s="89"/>
      <x:c r="R43" s="89"/>
      <x:c r="S43" s="89"/>
      <x:c r="T43" s="89"/>
      <x:c r="U43" s="89"/>
      <x:c r="V43" s="89"/>
      <x:c r="W43" s="89"/>
      <x:c r="X43" s="89"/>
      <x:c r="Y43" s="89"/>
      <x:c r="Z43" s="89"/>
    </x:row>
    <x:row r="44">
      <x:c r="A44" s="95"/>
      <x:c r="B44" s="95"/>
      <x:c r="C44" s="95"/>
      <x:c r="D44" s="95"/>
      <x:c r="E44" s="95"/>
      <x:c r="F44" s="95"/>
      <x:c r="G44" s="114"/>
      <x:c r="H44" s="95"/>
      <x:c r="I44" s="89"/>
      <x:c r="J44" s="89"/>
      <x:c r="K44" s="89"/>
      <x:c r="L44" s="89"/>
      <x:c r="M44" s="89"/>
      <x:c r="N44" s="89"/>
      <x:c r="O44" s="89"/>
      <x:c r="P44" s="89"/>
      <x:c r="Q44" s="89"/>
      <x:c r="R44" s="89"/>
      <x:c r="S44" s="89"/>
      <x:c r="T44" s="89"/>
      <x:c r="U44" s="89"/>
      <x:c r="V44" s="89"/>
      <x:c r="W44" s="89"/>
      <x:c r="X44" s="89"/>
      <x:c r="Y44" s="89"/>
      <x:c r="Z44" s="89"/>
    </x:row>
    <x:row r="45">
      <x:c r="A45" s="95"/>
      <x:c r="B45" s="95"/>
      <x:c r="C45" s="95"/>
      <x:c r="D45" s="95"/>
      <x:c r="E45" s="95"/>
      <x:c r="F45" s="95"/>
      <x:c r="G45" s="114"/>
      <x:c r="H45" s="95"/>
      <x:c r="I45" s="89"/>
      <x:c r="J45" s="89"/>
      <x:c r="K45" s="89"/>
      <x:c r="L45" s="89"/>
      <x:c r="M45" s="89"/>
      <x:c r="N45" s="89"/>
      <x:c r="O45" s="89"/>
      <x:c r="P45" s="89"/>
      <x:c r="Q45" s="89"/>
      <x:c r="R45" s="89"/>
      <x:c r="S45" s="89"/>
      <x:c r="T45" s="89"/>
      <x:c r="U45" s="89"/>
      <x:c r="V45" s="89"/>
      <x:c r="W45" s="89"/>
      <x:c r="X45" s="89"/>
      <x:c r="Y45" s="89"/>
      <x:c r="Z45" s="89"/>
    </x:row>
    <x:row r="46">
      <x:c r="A46" s="95"/>
      <x:c r="B46" s="95"/>
      <x:c r="C46" s="95"/>
      <x:c r="D46" s="95"/>
      <x:c r="E46" s="95"/>
      <x:c r="F46" s="95"/>
      <x:c r="G46" s="114"/>
      <x:c r="H46" s="95"/>
      <x:c r="I46" s="89"/>
      <x:c r="J46" s="89"/>
      <x:c r="K46" s="89"/>
      <x:c r="L46" s="89"/>
      <x:c r="M46" s="89"/>
      <x:c r="N46" s="89"/>
      <x:c r="O46" s="89"/>
      <x:c r="P46" s="89"/>
      <x:c r="Q46" s="89"/>
      <x:c r="R46" s="89"/>
      <x:c r="S46" s="89"/>
      <x:c r="T46" s="89"/>
      <x:c r="U46" s="89"/>
      <x:c r="V46" s="89"/>
      <x:c r="W46" s="89"/>
      <x:c r="X46" s="89"/>
      <x:c r="Y46" s="89"/>
      <x:c r="Z46" s="89"/>
    </x:row>
    <x:row r="47">
      <x:c r="A47" s="95"/>
      <x:c r="B47" s="95"/>
      <x:c r="C47" s="95"/>
      <x:c r="D47" s="95"/>
      <x:c r="E47" s="95"/>
      <x:c r="F47" s="95"/>
      <x:c r="G47" s="114"/>
      <x:c r="H47" s="95"/>
      <x:c r="I47" s="89"/>
      <x:c r="J47" s="89"/>
      <x:c r="K47" s="89"/>
      <x:c r="L47" s="89"/>
      <x:c r="M47" s="89"/>
      <x:c r="N47" s="89"/>
      <x:c r="O47" s="89"/>
      <x:c r="P47" s="89"/>
      <x:c r="Q47" s="89"/>
      <x:c r="R47" s="89"/>
      <x:c r="S47" s="89"/>
      <x:c r="T47" s="89"/>
      <x:c r="U47" s="89"/>
      <x:c r="V47" s="89"/>
      <x:c r="W47" s="89"/>
      <x:c r="X47" s="89"/>
      <x:c r="Y47" s="89"/>
      <x:c r="Z47" s="89"/>
    </x:row>
    <x:row r="48">
      <x:c r="A48" s="95"/>
      <x:c r="B48" s="95"/>
      <x:c r="C48" s="95"/>
      <x:c r="D48" s="95"/>
      <x:c r="E48" s="95"/>
      <x:c r="F48" s="95"/>
      <x:c r="G48" s="114"/>
      <x:c r="H48" s="95"/>
      <x:c r="I48" s="89"/>
      <x:c r="J48" s="89"/>
      <x:c r="K48" s="89"/>
      <x:c r="L48" s="89"/>
      <x:c r="M48" s="89"/>
      <x:c r="N48" s="89"/>
      <x:c r="O48" s="89"/>
      <x:c r="P48" s="89"/>
      <x:c r="Q48" s="89"/>
      <x:c r="R48" s="89"/>
      <x:c r="S48" s="89"/>
      <x:c r="T48" s="89"/>
      <x:c r="U48" s="89"/>
      <x:c r="V48" s="89"/>
      <x:c r="W48" s="89"/>
      <x:c r="X48" s="89"/>
      <x:c r="Y48" s="89"/>
      <x:c r="Z48" s="89"/>
    </x:row>
    <x:row r="49">
      <x:c r="A49" s="95"/>
      <x:c r="B49" s="95"/>
      <x:c r="C49" s="95"/>
      <x:c r="D49" s="95"/>
      <x:c r="E49" s="95"/>
      <x:c r="F49" s="95"/>
      <x:c r="G49" s="114"/>
      <x:c r="H49" s="95"/>
      <x:c r="I49" s="89"/>
      <x:c r="J49" s="89"/>
      <x:c r="K49" s="89"/>
      <x:c r="L49" s="89"/>
      <x:c r="M49" s="89"/>
      <x:c r="N49" s="89"/>
      <x:c r="O49" s="89"/>
      <x:c r="P49" s="89"/>
      <x:c r="Q49" s="89"/>
      <x:c r="R49" s="89"/>
      <x:c r="S49" s="89"/>
      <x:c r="T49" s="89"/>
      <x:c r="U49" s="89"/>
      <x:c r="V49" s="89"/>
      <x:c r="W49" s="89"/>
      <x:c r="X49" s="89"/>
      <x:c r="Y49" s="89"/>
      <x:c r="Z49" s="89"/>
    </x:row>
    <x:row r="50">
      <x:c r="A50" s="95"/>
      <x:c r="B50" s="95"/>
      <x:c r="C50" s="95"/>
      <x:c r="D50" s="95"/>
      <x:c r="E50" s="95"/>
      <x:c r="F50" s="95"/>
      <x:c r="G50" s="114"/>
      <x:c r="H50" s="95"/>
      <x:c r="I50" s="89"/>
      <x:c r="J50" s="89"/>
      <x:c r="K50" s="89"/>
      <x:c r="L50" s="89"/>
      <x:c r="M50" s="89"/>
      <x:c r="N50" s="89"/>
      <x:c r="O50" s="89"/>
      <x:c r="P50" s="89"/>
      <x:c r="Q50" s="89"/>
      <x:c r="R50" s="89"/>
      <x:c r="S50" s="89"/>
      <x:c r="T50" s="89"/>
      <x:c r="U50" s="89"/>
      <x:c r="V50" s="89"/>
      <x:c r="W50" s="89"/>
      <x:c r="X50" s="89"/>
      <x:c r="Y50" s="89"/>
      <x:c r="Z50" s="89"/>
    </x:row>
    <x:row r="51">
      <x:c r="A51" s="95"/>
      <x:c r="B51" s="95"/>
      <x:c r="C51" s="95"/>
      <x:c r="D51" s="95"/>
      <x:c r="E51" s="95"/>
      <x:c r="F51" s="95"/>
      <x:c r="G51" s="114"/>
      <x:c r="H51" s="95"/>
      <x:c r="I51" s="89"/>
      <x:c r="J51" s="89"/>
      <x:c r="K51" s="89"/>
      <x:c r="L51" s="89"/>
      <x:c r="M51" s="89"/>
      <x:c r="N51" s="89"/>
      <x:c r="O51" s="89"/>
      <x:c r="P51" s="89"/>
      <x:c r="Q51" s="89"/>
      <x:c r="R51" s="89"/>
      <x:c r="S51" s="89"/>
      <x:c r="T51" s="89"/>
      <x:c r="U51" s="89"/>
      <x:c r="V51" s="89"/>
      <x:c r="W51" s="89"/>
      <x:c r="X51" s="89"/>
      <x:c r="Y51" s="89"/>
      <x:c r="Z51" s="89"/>
    </x:row>
    <x:row r="52">
      <x:c r="A52" s="95"/>
      <x:c r="B52" s="95"/>
      <x:c r="C52" s="95"/>
      <x:c r="D52" s="95"/>
      <x:c r="E52" s="95"/>
      <x:c r="F52" s="95"/>
      <x:c r="G52" s="114"/>
      <x:c r="H52" s="95"/>
      <x:c r="I52" s="89"/>
      <x:c r="J52" s="89"/>
      <x:c r="K52" s="89"/>
      <x:c r="L52" s="89"/>
      <x:c r="M52" s="89"/>
      <x:c r="N52" s="89"/>
      <x:c r="O52" s="89"/>
      <x:c r="P52" s="89"/>
      <x:c r="Q52" s="89"/>
      <x:c r="R52" s="89"/>
      <x:c r="S52" s="89"/>
      <x:c r="T52" s="89"/>
      <x:c r="U52" s="89"/>
      <x:c r="V52" s="89"/>
      <x:c r="W52" s="89"/>
      <x:c r="X52" s="89"/>
      <x:c r="Y52" s="89"/>
      <x:c r="Z52" s="89"/>
    </x:row>
    <x:row r="53">
      <x:c r="A53" s="95"/>
      <x:c r="B53" s="95"/>
      <x:c r="C53" s="95"/>
      <x:c r="D53" s="95"/>
      <x:c r="E53" s="95"/>
      <x:c r="F53" s="95"/>
      <x:c r="G53" s="114"/>
      <x:c r="H53" s="95"/>
      <x:c r="I53" s="89"/>
      <x:c r="J53" s="89"/>
      <x:c r="K53" s="89"/>
      <x:c r="L53" s="89"/>
      <x:c r="M53" s="89"/>
      <x:c r="N53" s="89"/>
      <x:c r="O53" s="89"/>
      <x:c r="P53" s="89"/>
      <x:c r="Q53" s="89"/>
      <x:c r="R53" s="89"/>
      <x:c r="S53" s="89"/>
      <x:c r="T53" s="89"/>
      <x:c r="U53" s="89"/>
      <x:c r="V53" s="89"/>
      <x:c r="W53" s="89"/>
      <x:c r="X53" s="89"/>
      <x:c r="Y53" s="89"/>
      <x:c r="Z53" s="89"/>
    </x:row>
    <x:row r="54">
      <x:c r="A54" s="95"/>
      <x:c r="B54" s="95"/>
      <x:c r="C54" s="95"/>
      <x:c r="D54" s="95"/>
      <x:c r="E54" s="95"/>
      <x:c r="F54" s="95"/>
      <x:c r="G54" s="114"/>
      <x:c r="H54" s="95"/>
      <x:c r="I54" s="89"/>
      <x:c r="J54" s="89"/>
      <x:c r="K54" s="89"/>
      <x:c r="L54" s="89"/>
      <x:c r="M54" s="89"/>
      <x:c r="N54" s="89"/>
      <x:c r="O54" s="89"/>
      <x:c r="P54" s="89"/>
      <x:c r="Q54" s="89"/>
      <x:c r="R54" s="89"/>
      <x:c r="S54" s="89"/>
      <x:c r="T54" s="89"/>
      <x:c r="U54" s="89"/>
      <x:c r="V54" s="89"/>
      <x:c r="W54" s="89"/>
      <x:c r="X54" s="89"/>
      <x:c r="Y54" s="89"/>
      <x:c r="Z54" s="89"/>
    </x:row>
    <x:row r="55">
      <x:c r="A55" s="95"/>
      <x:c r="B55" s="95"/>
      <x:c r="C55" s="95"/>
      <x:c r="D55" s="95"/>
      <x:c r="E55" s="95"/>
      <x:c r="F55" s="95"/>
      <x:c r="G55" s="114"/>
      <x:c r="H55" s="95"/>
      <x:c r="I55" s="89"/>
      <x:c r="J55" s="89"/>
      <x:c r="K55" s="89"/>
      <x:c r="L55" s="89"/>
      <x:c r="M55" s="89"/>
      <x:c r="N55" s="89"/>
      <x:c r="O55" s="89"/>
      <x:c r="P55" s="89"/>
      <x:c r="Q55" s="89"/>
      <x:c r="R55" s="89"/>
      <x:c r="S55" s="89"/>
      <x:c r="T55" s="89"/>
      <x:c r="U55" s="89"/>
      <x:c r="V55" s="89"/>
      <x:c r="W55" s="89"/>
      <x:c r="X55" s="89"/>
      <x:c r="Y55" s="89"/>
      <x:c r="Z55" s="89"/>
    </x:row>
    <x:row r="56">
      <x:c r="A56" s="95"/>
      <x:c r="B56" s="95"/>
      <x:c r="C56" s="95"/>
      <x:c r="D56" s="95"/>
      <x:c r="E56" s="95"/>
      <x:c r="F56" s="95"/>
      <x:c r="G56" s="114"/>
      <x:c r="H56" s="95"/>
      <x:c r="I56" s="89"/>
      <x:c r="J56" s="89"/>
      <x:c r="K56" s="89"/>
      <x:c r="L56" s="89"/>
      <x:c r="M56" s="89"/>
      <x:c r="N56" s="89"/>
      <x:c r="O56" s="89"/>
      <x:c r="P56" s="89"/>
      <x:c r="Q56" s="89"/>
      <x:c r="R56" s="89"/>
      <x:c r="S56" s="89"/>
      <x:c r="T56" s="89"/>
      <x:c r="U56" s="89"/>
      <x:c r="V56" s="89"/>
      <x:c r="W56" s="89"/>
      <x:c r="X56" s="89"/>
      <x:c r="Y56" s="89"/>
      <x:c r="Z56" s="89"/>
    </x:row>
    <x:row r="57">
      <x:c r="A57" s="95"/>
      <x:c r="B57" s="95"/>
      <x:c r="C57" s="95"/>
      <x:c r="D57" s="95"/>
      <x:c r="E57" s="95"/>
      <x:c r="F57" s="95"/>
      <x:c r="G57" s="114"/>
      <x:c r="H57" s="95"/>
      <x:c r="I57" s="89"/>
      <x:c r="J57" s="89"/>
      <x:c r="K57" s="89"/>
      <x:c r="L57" s="89"/>
      <x:c r="M57" s="89"/>
      <x:c r="N57" s="89"/>
      <x:c r="O57" s="89"/>
      <x:c r="P57" s="89"/>
      <x:c r="Q57" s="89"/>
      <x:c r="R57" s="89"/>
      <x:c r="S57" s="89"/>
      <x:c r="T57" s="89"/>
      <x:c r="U57" s="89"/>
      <x:c r="V57" s="89"/>
      <x:c r="W57" s="89"/>
      <x:c r="X57" s="89"/>
      <x:c r="Y57" s="89"/>
      <x:c r="Z57" s="89"/>
    </x:row>
    <x:row r="58">
      <x:c r="A58" s="95"/>
      <x:c r="B58" s="95"/>
      <x:c r="C58" s="95"/>
      <x:c r="D58" s="95"/>
      <x:c r="E58" s="95"/>
      <x:c r="F58" s="95"/>
      <x:c r="G58" s="114"/>
      <x:c r="H58" s="95"/>
      <x:c r="I58" s="89"/>
      <x:c r="J58" s="89"/>
      <x:c r="K58" s="89"/>
      <x:c r="L58" s="89"/>
      <x:c r="M58" s="89"/>
      <x:c r="N58" s="89"/>
      <x:c r="O58" s="89"/>
      <x:c r="P58" s="89"/>
      <x:c r="Q58" s="89"/>
      <x:c r="R58" s="89"/>
      <x:c r="S58" s="89"/>
      <x:c r="T58" s="89"/>
      <x:c r="U58" s="89"/>
      <x:c r="V58" s="89"/>
      <x:c r="W58" s="89"/>
      <x:c r="X58" s="89"/>
      <x:c r="Y58" s="89"/>
      <x:c r="Z58" s="89"/>
    </x:row>
    <x:row r="59">
      <x:c r="A59" s="95"/>
      <x:c r="B59" s="95"/>
      <x:c r="C59" s="95"/>
      <x:c r="D59" s="95"/>
      <x:c r="E59" s="95"/>
      <x:c r="F59" s="95"/>
      <x:c r="G59" s="114"/>
      <x:c r="H59" s="95"/>
      <x:c r="I59" s="89"/>
      <x:c r="J59" s="89"/>
      <x:c r="K59" s="89"/>
      <x:c r="L59" s="89"/>
      <x:c r="M59" s="89"/>
      <x:c r="N59" s="89"/>
      <x:c r="O59" s="89"/>
      <x:c r="P59" s="89"/>
      <x:c r="Q59" s="89"/>
      <x:c r="R59" s="89"/>
      <x:c r="S59" s="89"/>
      <x:c r="T59" s="89"/>
      <x:c r="U59" s="89"/>
      <x:c r="V59" s="89"/>
      <x:c r="W59" s="89"/>
      <x:c r="X59" s="89"/>
      <x:c r="Y59" s="89"/>
      <x:c r="Z59" s="89"/>
    </x:row>
    <x:row r="60">
      <x:c r="A60" s="95"/>
      <x:c r="B60" s="95"/>
      <x:c r="C60" s="95"/>
      <x:c r="D60" s="95"/>
      <x:c r="E60" s="95"/>
      <x:c r="F60" s="95"/>
      <x:c r="G60" s="114"/>
      <x:c r="H60" s="95"/>
      <x:c r="I60" s="89"/>
      <x:c r="J60" s="89"/>
      <x:c r="K60" s="89"/>
      <x:c r="L60" s="89"/>
      <x:c r="M60" s="89"/>
      <x:c r="N60" s="89"/>
      <x:c r="O60" s="89"/>
      <x:c r="P60" s="89"/>
      <x:c r="Q60" s="89"/>
      <x:c r="R60" s="89"/>
      <x:c r="S60" s="89"/>
      <x:c r="T60" s="89"/>
      <x:c r="U60" s="89"/>
      <x:c r="V60" s="89"/>
      <x:c r="W60" s="89"/>
      <x:c r="X60" s="89"/>
      <x:c r="Y60" s="89"/>
      <x:c r="Z60" s="89"/>
    </x:row>
    <x:row r="61">
      <x:c r="A61" s="95"/>
      <x:c r="B61" s="95"/>
      <x:c r="C61" s="95"/>
      <x:c r="D61" s="95"/>
      <x:c r="E61" s="95"/>
      <x:c r="F61" s="95"/>
      <x:c r="G61" s="114"/>
      <x:c r="H61" s="95"/>
      <x:c r="I61" s="89"/>
      <x:c r="J61" s="89"/>
      <x:c r="K61" s="89"/>
      <x:c r="L61" s="89"/>
      <x:c r="M61" s="89"/>
      <x:c r="N61" s="89"/>
      <x:c r="O61" s="89"/>
      <x:c r="P61" s="89"/>
      <x:c r="Q61" s="89"/>
      <x:c r="R61" s="89"/>
      <x:c r="S61" s="89"/>
      <x:c r="T61" s="89"/>
      <x:c r="U61" s="89"/>
      <x:c r="V61" s="89"/>
      <x:c r="W61" s="89"/>
      <x:c r="X61" s="89"/>
      <x:c r="Y61" s="89"/>
      <x:c r="Z61" s="89"/>
    </x:row>
    <x:row r="62">
      <x:c r="A62" s="95"/>
      <x:c r="B62" s="95"/>
      <x:c r="C62" s="95"/>
      <x:c r="D62" s="95"/>
      <x:c r="E62" s="95"/>
      <x:c r="F62" s="95"/>
      <x:c r="G62" s="114"/>
      <x:c r="H62" s="95"/>
      <x:c r="I62" s="89"/>
      <x:c r="J62" s="89"/>
      <x:c r="K62" s="89"/>
      <x:c r="L62" s="89"/>
      <x:c r="M62" s="89"/>
      <x:c r="N62" s="89"/>
      <x:c r="O62" s="89"/>
      <x:c r="P62" s="89"/>
      <x:c r="Q62" s="89"/>
      <x:c r="R62" s="89"/>
      <x:c r="S62" s="89"/>
      <x:c r="T62" s="89"/>
      <x:c r="U62" s="89"/>
      <x:c r="V62" s="89"/>
      <x:c r="W62" s="89"/>
      <x:c r="X62" s="89"/>
      <x:c r="Y62" s="89"/>
      <x:c r="Z62" s="89"/>
    </x:row>
    <x:row r="63">
      <x:c r="A63" s="95"/>
      <x:c r="B63" s="95"/>
      <x:c r="C63" s="95"/>
      <x:c r="D63" s="95"/>
      <x:c r="E63" s="95"/>
      <x:c r="F63" s="95"/>
      <x:c r="G63" s="114"/>
      <x:c r="H63" s="95"/>
      <x:c r="I63" s="89"/>
      <x:c r="J63" s="89"/>
      <x:c r="K63" s="89"/>
      <x:c r="L63" s="89"/>
      <x:c r="M63" s="89"/>
      <x:c r="N63" s="89"/>
      <x:c r="O63" s="89"/>
      <x:c r="P63" s="89"/>
      <x:c r="Q63" s="89"/>
      <x:c r="R63" s="89"/>
      <x:c r="S63" s="89"/>
      <x:c r="T63" s="89"/>
      <x:c r="U63" s="89"/>
      <x:c r="V63" s="89"/>
      <x:c r="W63" s="89"/>
      <x:c r="X63" s="89"/>
      <x:c r="Y63" s="89"/>
      <x:c r="Z63" s="89"/>
    </x:row>
    <x:row r="64">
      <x:c r="A64" s="95"/>
      <x:c r="B64" s="95"/>
      <x:c r="C64" s="95"/>
      <x:c r="D64" s="95"/>
      <x:c r="E64" s="95"/>
      <x:c r="F64" s="95"/>
      <x:c r="G64" s="114"/>
      <x:c r="H64" s="95"/>
      <x:c r="I64" s="89"/>
      <x:c r="J64" s="89"/>
      <x:c r="K64" s="89"/>
      <x:c r="L64" s="89"/>
      <x:c r="M64" s="89"/>
      <x:c r="N64" s="89"/>
      <x:c r="O64" s="89"/>
      <x:c r="P64" s="89"/>
      <x:c r="Q64" s="89"/>
      <x:c r="R64" s="89"/>
      <x:c r="S64" s="89"/>
      <x:c r="T64" s="89"/>
      <x:c r="U64" s="89"/>
      <x:c r="V64" s="89"/>
      <x:c r="W64" s="89"/>
      <x:c r="X64" s="89"/>
      <x:c r="Y64" s="89"/>
      <x:c r="Z64" s="89"/>
    </x:row>
    <x:row r="65">
      <x:c r="A65" s="95"/>
      <x:c r="B65" s="95"/>
      <x:c r="C65" s="95"/>
      <x:c r="D65" s="95"/>
      <x:c r="E65" s="95"/>
      <x:c r="F65" s="95"/>
      <x:c r="G65" s="114"/>
      <x:c r="H65" s="95"/>
      <x:c r="I65" s="89"/>
      <x:c r="J65" s="89"/>
      <x:c r="K65" s="89"/>
      <x:c r="L65" s="89"/>
      <x:c r="M65" s="89"/>
      <x:c r="N65" s="89"/>
      <x:c r="O65" s="89"/>
      <x:c r="P65" s="89"/>
      <x:c r="Q65" s="89"/>
      <x:c r="R65" s="89"/>
      <x:c r="S65" s="89"/>
      <x:c r="T65" s="89"/>
      <x:c r="U65" s="89"/>
      <x:c r="V65" s="89"/>
      <x:c r="W65" s="89"/>
      <x:c r="X65" s="89"/>
      <x:c r="Y65" s="89"/>
      <x:c r="Z65" s="89"/>
    </x:row>
    <x:row r="66">
      <x:c r="A66" s="95"/>
      <x:c r="B66" s="95"/>
      <x:c r="C66" s="95"/>
      <x:c r="D66" s="95"/>
      <x:c r="E66" s="95"/>
      <x:c r="F66" s="95"/>
      <x:c r="G66" s="114"/>
      <x:c r="H66" s="95"/>
      <x:c r="I66" s="89"/>
      <x:c r="J66" s="89"/>
      <x:c r="K66" s="89"/>
      <x:c r="L66" s="89"/>
      <x:c r="M66" s="89"/>
      <x:c r="N66" s="89"/>
      <x:c r="O66" s="89"/>
      <x:c r="P66" s="89"/>
      <x:c r="Q66" s="89"/>
      <x:c r="R66" s="89"/>
      <x:c r="S66" s="89"/>
      <x:c r="T66" s="89"/>
      <x:c r="U66" s="89"/>
      <x:c r="V66" s="89"/>
      <x:c r="W66" s="89"/>
      <x:c r="X66" s="89"/>
      <x:c r="Y66" s="89"/>
      <x:c r="Z66" s="89"/>
    </x:row>
    <x:row r="67">
      <x:c r="A67" s="95"/>
      <x:c r="B67" s="95"/>
      <x:c r="C67" s="95"/>
      <x:c r="D67" s="95"/>
      <x:c r="E67" s="95"/>
      <x:c r="F67" s="95"/>
      <x:c r="G67" s="114"/>
      <x:c r="H67" s="95"/>
      <x:c r="I67" s="89"/>
      <x:c r="J67" s="89"/>
      <x:c r="K67" s="89"/>
      <x:c r="L67" s="89"/>
      <x:c r="M67" s="89"/>
      <x:c r="N67" s="89"/>
      <x:c r="O67" s="89"/>
      <x:c r="P67" s="89"/>
      <x:c r="Q67" s="89"/>
      <x:c r="R67" s="89"/>
      <x:c r="S67" s="89"/>
      <x:c r="T67" s="89"/>
      <x:c r="U67" s="89"/>
      <x:c r="V67" s="89"/>
      <x:c r="W67" s="89"/>
      <x:c r="X67" s="89"/>
      <x:c r="Y67" s="89"/>
      <x:c r="Z67" s="89"/>
    </x:row>
    <x:row r="68">
      <x:c r="A68" s="95"/>
      <x:c r="B68" s="95"/>
      <x:c r="C68" s="95"/>
      <x:c r="D68" s="95"/>
      <x:c r="E68" s="95"/>
      <x:c r="F68" s="95"/>
      <x:c r="G68" s="114"/>
      <x:c r="H68" s="95"/>
      <x:c r="I68" s="89"/>
      <x:c r="J68" s="89"/>
      <x:c r="K68" s="89"/>
      <x:c r="L68" s="89"/>
      <x:c r="M68" s="89"/>
      <x:c r="N68" s="89"/>
      <x:c r="O68" s="89"/>
      <x:c r="P68" s="89"/>
      <x:c r="Q68" s="89"/>
      <x:c r="R68" s="89"/>
      <x:c r="S68" s="89"/>
      <x:c r="T68" s="89"/>
      <x:c r="U68" s="89"/>
      <x:c r="V68" s="89"/>
      <x:c r="W68" s="89"/>
      <x:c r="X68" s="89"/>
      <x:c r="Y68" s="89"/>
      <x:c r="Z68" s="89"/>
    </x:row>
    <x:row r="69">
      <x:c r="A69" s="95"/>
      <x:c r="B69" s="95"/>
      <x:c r="C69" s="95"/>
      <x:c r="D69" s="95"/>
      <x:c r="E69" s="95"/>
      <x:c r="F69" s="95"/>
      <x:c r="G69" s="114"/>
      <x:c r="H69" s="95"/>
      <x:c r="I69" s="89"/>
      <x:c r="J69" s="89"/>
      <x:c r="K69" s="89"/>
      <x:c r="L69" s="89"/>
      <x:c r="M69" s="89"/>
      <x:c r="N69" s="89"/>
      <x:c r="O69" s="89"/>
      <x:c r="P69" s="89"/>
      <x:c r="Q69" s="89"/>
      <x:c r="R69" s="89"/>
      <x:c r="S69" s="89"/>
      <x:c r="T69" s="89"/>
      <x:c r="U69" s="89"/>
      <x:c r="V69" s="89"/>
      <x:c r="W69" s="89"/>
      <x:c r="X69" s="89"/>
      <x:c r="Y69" s="89"/>
      <x:c r="Z69" s="89"/>
    </x:row>
    <x:row r="70">
      <x:c r="A70" s="95"/>
      <x:c r="B70" s="95"/>
      <x:c r="C70" s="95"/>
      <x:c r="D70" s="95"/>
      <x:c r="E70" s="95"/>
      <x:c r="F70" s="95"/>
      <x:c r="G70" s="114"/>
      <x:c r="H70" s="95"/>
      <x:c r="I70" s="89"/>
      <x:c r="J70" s="89"/>
      <x:c r="K70" s="89"/>
      <x:c r="L70" s="89"/>
      <x:c r="M70" s="89"/>
      <x:c r="N70" s="89"/>
      <x:c r="O70" s="89"/>
      <x:c r="P70" s="89"/>
      <x:c r="Q70" s="89"/>
      <x:c r="R70" s="89"/>
      <x:c r="S70" s="89"/>
      <x:c r="T70" s="89"/>
      <x:c r="U70" s="89"/>
      <x:c r="V70" s="89"/>
      <x:c r="W70" s="89"/>
      <x:c r="X70" s="89"/>
      <x:c r="Y70" s="89"/>
      <x:c r="Z70" s="89"/>
    </x:row>
    <x:row r="71">
      <x:c r="A71" s="95"/>
      <x:c r="B71" s="95"/>
      <x:c r="C71" s="95"/>
      <x:c r="D71" s="95"/>
      <x:c r="E71" s="95"/>
      <x:c r="F71" s="95"/>
      <x:c r="G71" s="114"/>
      <x:c r="H71" s="95"/>
      <x:c r="I71" s="89"/>
      <x:c r="J71" s="89"/>
      <x:c r="K71" s="89"/>
      <x:c r="L71" s="89"/>
      <x:c r="M71" s="89"/>
      <x:c r="N71" s="89"/>
      <x:c r="O71" s="89"/>
      <x:c r="P71" s="89"/>
      <x:c r="Q71" s="89"/>
      <x:c r="R71" s="89"/>
      <x:c r="S71" s="89"/>
      <x:c r="T71" s="89"/>
      <x:c r="U71" s="89"/>
      <x:c r="V71" s="89"/>
      <x:c r="W71" s="89"/>
      <x:c r="X71" s="89"/>
      <x:c r="Y71" s="89"/>
      <x:c r="Z71" s="89"/>
    </x:row>
    <x:row r="72">
      <x:c r="A72" s="95"/>
      <x:c r="B72" s="95"/>
      <x:c r="C72" s="95"/>
      <x:c r="D72" s="95"/>
      <x:c r="E72" s="95"/>
      <x:c r="F72" s="95"/>
      <x:c r="G72" s="114"/>
      <x:c r="H72" s="95"/>
      <x:c r="I72" s="89"/>
      <x:c r="J72" s="89"/>
      <x:c r="K72" s="89"/>
      <x:c r="L72" s="89"/>
      <x:c r="M72" s="89"/>
      <x:c r="N72" s="89"/>
      <x:c r="O72" s="89"/>
      <x:c r="P72" s="89"/>
      <x:c r="Q72" s="89"/>
      <x:c r="R72" s="89"/>
      <x:c r="S72" s="89"/>
      <x:c r="T72" s="89"/>
      <x:c r="U72" s="89"/>
      <x:c r="V72" s="89"/>
      <x:c r="W72" s="89"/>
      <x:c r="X72" s="89"/>
      <x:c r="Y72" s="89"/>
      <x:c r="Z72" s="89"/>
    </x:row>
    <x:row r="73">
      <x:c r="A73" s="95"/>
      <x:c r="B73" s="95"/>
      <x:c r="C73" s="95"/>
      <x:c r="D73" s="95"/>
      <x:c r="E73" s="95"/>
      <x:c r="F73" s="95"/>
      <x:c r="G73" s="114"/>
      <x:c r="H73" s="95"/>
      <x:c r="I73" s="89"/>
      <x:c r="J73" s="89"/>
      <x:c r="K73" s="89"/>
      <x:c r="L73" s="89"/>
      <x:c r="M73" s="89"/>
      <x:c r="N73" s="89"/>
      <x:c r="O73" s="89"/>
      <x:c r="P73" s="89"/>
      <x:c r="Q73" s="89"/>
      <x:c r="R73" s="89"/>
      <x:c r="S73" s="89"/>
      <x:c r="T73" s="89"/>
      <x:c r="U73" s="89"/>
      <x:c r="V73" s="89"/>
      <x:c r="W73" s="89"/>
      <x:c r="X73" s="89"/>
      <x:c r="Y73" s="89"/>
      <x:c r="Z73" s="89"/>
    </x:row>
    <x:row r="74">
      <x:c r="A74" s="95"/>
      <x:c r="B74" s="95"/>
      <x:c r="C74" s="95"/>
      <x:c r="D74" s="95"/>
      <x:c r="E74" s="95"/>
      <x:c r="F74" s="95"/>
      <x:c r="G74" s="114"/>
      <x:c r="H74" s="95"/>
      <x:c r="I74" s="89"/>
      <x:c r="J74" s="89"/>
      <x:c r="K74" s="89"/>
      <x:c r="L74" s="89"/>
      <x:c r="M74" s="89"/>
      <x:c r="N74" s="89"/>
      <x:c r="O74" s="89"/>
      <x:c r="P74" s="89"/>
      <x:c r="Q74" s="89"/>
      <x:c r="R74" s="89"/>
      <x:c r="S74" s="89"/>
      <x:c r="T74" s="89"/>
      <x:c r="U74" s="89"/>
      <x:c r="V74" s="89"/>
      <x:c r="W74" s="89"/>
      <x:c r="X74" s="89"/>
      <x:c r="Y74" s="89"/>
      <x:c r="Z74" s="89"/>
    </x:row>
    <x:row r="75">
      <x:c r="A75" s="95"/>
      <x:c r="B75" s="95"/>
      <x:c r="C75" s="95"/>
      <x:c r="D75" s="95"/>
      <x:c r="E75" s="95"/>
      <x:c r="F75" s="95"/>
      <x:c r="G75" s="114"/>
      <x:c r="H75" s="95"/>
      <x:c r="I75" s="89"/>
      <x:c r="J75" s="89"/>
      <x:c r="K75" s="89"/>
      <x:c r="L75" s="89"/>
      <x:c r="M75" s="89"/>
      <x:c r="N75" s="89"/>
      <x:c r="O75" s="89"/>
      <x:c r="P75" s="89"/>
      <x:c r="Q75" s="89"/>
      <x:c r="R75" s="89"/>
      <x:c r="S75" s="89"/>
      <x:c r="T75" s="89"/>
      <x:c r="U75" s="89"/>
      <x:c r="V75" s="89"/>
      <x:c r="W75" s="89"/>
      <x:c r="X75" s="89"/>
      <x:c r="Y75" s="89"/>
      <x:c r="Z75" s="89"/>
    </x:row>
    <x:row r="76">
      <x:c r="A76" s="95"/>
      <x:c r="B76" s="95"/>
      <x:c r="C76" s="95"/>
      <x:c r="D76" s="95"/>
      <x:c r="E76" s="95"/>
      <x:c r="F76" s="95"/>
      <x:c r="G76" s="114"/>
      <x:c r="H76" s="95"/>
      <x:c r="I76" s="89"/>
      <x:c r="J76" s="89"/>
      <x:c r="K76" s="89"/>
      <x:c r="L76" s="89"/>
      <x:c r="M76" s="89"/>
      <x:c r="N76" s="89"/>
      <x:c r="O76" s="89"/>
      <x:c r="P76" s="89"/>
      <x:c r="Q76" s="89"/>
      <x:c r="R76" s="89"/>
      <x:c r="S76" s="89"/>
      <x:c r="T76" s="89"/>
      <x:c r="U76" s="89"/>
      <x:c r="V76" s="89"/>
      <x:c r="W76" s="89"/>
      <x:c r="X76" s="89"/>
      <x:c r="Y76" s="89"/>
      <x:c r="Z76" s="89"/>
    </x:row>
    <x:row r="77">
      <x:c r="A77" s="95"/>
      <x:c r="B77" s="95"/>
      <x:c r="C77" s="95"/>
      <x:c r="D77" s="95"/>
      <x:c r="E77" s="95"/>
      <x:c r="F77" s="95"/>
      <x:c r="G77" s="114"/>
      <x:c r="H77" s="95"/>
      <x:c r="I77" s="89"/>
      <x:c r="J77" s="89"/>
      <x:c r="K77" s="89"/>
      <x:c r="L77" s="89"/>
      <x:c r="M77" s="89"/>
      <x:c r="N77" s="89"/>
      <x:c r="O77" s="89"/>
      <x:c r="P77" s="89"/>
      <x:c r="Q77" s="89"/>
      <x:c r="R77" s="89"/>
      <x:c r="S77" s="89"/>
      <x:c r="T77" s="89"/>
      <x:c r="U77" s="89"/>
      <x:c r="V77" s="89"/>
      <x:c r="W77" s="89"/>
      <x:c r="X77" s="89"/>
      <x:c r="Y77" s="89"/>
      <x:c r="Z77" s="89"/>
    </x:row>
    <x:row r="78">
      <x:c r="A78" s="95"/>
      <x:c r="B78" s="95"/>
      <x:c r="C78" s="95"/>
      <x:c r="D78" s="95"/>
      <x:c r="E78" s="95"/>
      <x:c r="F78" s="95"/>
      <x:c r="G78" s="114"/>
      <x:c r="H78" s="95"/>
      <x:c r="I78" s="89"/>
      <x:c r="J78" s="89"/>
      <x:c r="K78" s="89"/>
      <x:c r="L78" s="89"/>
      <x:c r="M78" s="89"/>
      <x:c r="N78" s="89"/>
      <x:c r="O78" s="89"/>
      <x:c r="P78" s="89"/>
      <x:c r="Q78" s="89"/>
      <x:c r="R78" s="89"/>
      <x:c r="S78" s="89"/>
      <x:c r="T78" s="89"/>
      <x:c r="U78" s="89"/>
      <x:c r="V78" s="89"/>
      <x:c r="W78" s="89"/>
      <x:c r="X78" s="89"/>
      <x:c r="Y78" s="89"/>
      <x:c r="Z78" s="89"/>
    </x:row>
    <x:row r="79">
      <x:c r="A79" s="95"/>
      <x:c r="B79" s="95"/>
      <x:c r="C79" s="95"/>
      <x:c r="D79" s="95"/>
      <x:c r="E79" s="95"/>
      <x:c r="F79" s="95"/>
      <x:c r="G79" s="114"/>
      <x:c r="H79" s="95"/>
      <x:c r="I79" s="89"/>
      <x:c r="J79" s="89"/>
      <x:c r="K79" s="89"/>
      <x:c r="L79" s="89"/>
      <x:c r="M79" s="89"/>
      <x:c r="N79" s="89"/>
      <x:c r="O79" s="89"/>
      <x:c r="P79" s="89"/>
      <x:c r="Q79" s="89"/>
      <x:c r="R79" s="89"/>
      <x:c r="S79" s="89"/>
      <x:c r="T79" s="89"/>
      <x:c r="U79" s="89"/>
      <x:c r="V79" s="89"/>
      <x:c r="W79" s="89"/>
      <x:c r="X79" s="89"/>
      <x:c r="Y79" s="89"/>
      <x:c r="Z79" s="89"/>
    </x:row>
    <x:row r="80">
      <x:c r="A80" s="95"/>
      <x:c r="B80" s="95"/>
      <x:c r="C80" s="95"/>
      <x:c r="D80" s="95"/>
      <x:c r="E80" s="95"/>
      <x:c r="F80" s="95"/>
      <x:c r="G80" s="114"/>
      <x:c r="H80" s="95"/>
      <x:c r="I80" s="89"/>
      <x:c r="J80" s="89"/>
      <x:c r="K80" s="89"/>
      <x:c r="L80" s="89"/>
      <x:c r="M80" s="89"/>
      <x:c r="N80" s="89"/>
      <x:c r="O80" s="89"/>
      <x:c r="P80" s="89"/>
      <x:c r="Q80" s="89"/>
      <x:c r="R80" s="89"/>
      <x:c r="S80" s="89"/>
      <x:c r="T80" s="89"/>
      <x:c r="U80" s="89"/>
      <x:c r="V80" s="89"/>
      <x:c r="W80" s="89"/>
      <x:c r="X80" s="89"/>
      <x:c r="Y80" s="89"/>
      <x:c r="Z80" s="89"/>
    </x:row>
    <x:row r="81">
      <x:c r="A81" s="95"/>
      <x:c r="B81" s="95"/>
      <x:c r="C81" s="95"/>
      <x:c r="D81" s="95"/>
      <x:c r="E81" s="95"/>
      <x:c r="F81" s="95"/>
      <x:c r="G81" s="114"/>
      <x:c r="H81" s="95"/>
      <x:c r="I81" s="89"/>
      <x:c r="J81" s="89"/>
      <x:c r="K81" s="89"/>
      <x:c r="L81" s="89"/>
      <x:c r="M81" s="89"/>
      <x:c r="N81" s="89"/>
      <x:c r="O81" s="89"/>
      <x:c r="P81" s="89"/>
      <x:c r="Q81" s="89"/>
      <x:c r="R81" s="89"/>
      <x:c r="S81" s="89"/>
      <x:c r="T81" s="89"/>
      <x:c r="U81" s="89"/>
      <x:c r="V81" s="89"/>
      <x:c r="W81" s="89"/>
      <x:c r="X81" s="89"/>
      <x:c r="Y81" s="89"/>
      <x:c r="Z81" s="89"/>
    </x:row>
    <x:row r="82">
      <x:c r="A82" s="95"/>
      <x:c r="B82" s="95"/>
      <x:c r="C82" s="95"/>
      <x:c r="D82" s="95"/>
      <x:c r="E82" s="95"/>
      <x:c r="F82" s="95"/>
      <x:c r="G82" s="114"/>
      <x:c r="H82" s="95"/>
      <x:c r="I82" s="89"/>
      <x:c r="J82" s="89"/>
      <x:c r="K82" s="89"/>
      <x:c r="L82" s="89"/>
      <x:c r="M82" s="89"/>
      <x:c r="N82" s="89"/>
      <x:c r="O82" s="89"/>
      <x:c r="P82" s="89"/>
      <x:c r="Q82" s="89"/>
      <x:c r="R82" s="89"/>
      <x:c r="S82" s="89"/>
      <x:c r="T82" s="89"/>
      <x:c r="U82" s="89"/>
      <x:c r="V82" s="89"/>
      <x:c r="W82" s="89"/>
      <x:c r="X82" s="89"/>
      <x:c r="Y82" s="89"/>
      <x:c r="Z82" s="89"/>
    </x:row>
    <x:row r="83">
      <x:c r="A83" s="95"/>
      <x:c r="B83" s="95"/>
      <x:c r="C83" s="95"/>
      <x:c r="D83" s="95"/>
      <x:c r="E83" s="95"/>
      <x:c r="F83" s="95"/>
      <x:c r="G83" s="114"/>
      <x:c r="H83" s="95"/>
      <x:c r="I83" s="89"/>
      <x:c r="J83" s="89"/>
      <x:c r="K83" s="89"/>
      <x:c r="L83" s="89"/>
      <x:c r="M83" s="89"/>
      <x:c r="N83" s="89"/>
      <x:c r="O83" s="89"/>
      <x:c r="P83" s="89"/>
      <x:c r="Q83" s="89"/>
      <x:c r="R83" s="89"/>
      <x:c r="S83" s="89"/>
      <x:c r="T83" s="89"/>
      <x:c r="U83" s="89"/>
      <x:c r="V83" s="89"/>
      <x:c r="W83" s="89"/>
      <x:c r="X83" s="89"/>
      <x:c r="Y83" s="89"/>
      <x:c r="Z83" s="89"/>
    </x:row>
    <x:row r="84">
      <x:c r="A84" s="95"/>
      <x:c r="B84" s="95"/>
      <x:c r="C84" s="95"/>
      <x:c r="D84" s="95"/>
      <x:c r="E84" s="95"/>
      <x:c r="F84" s="95"/>
      <x:c r="G84" s="114"/>
      <x:c r="H84" s="95"/>
      <x:c r="I84" s="89"/>
      <x:c r="J84" s="89"/>
      <x:c r="K84" s="89"/>
      <x:c r="L84" s="89"/>
      <x:c r="M84" s="89"/>
      <x:c r="N84" s="89"/>
      <x:c r="O84" s="89"/>
      <x:c r="P84" s="89"/>
      <x:c r="Q84" s="89"/>
      <x:c r="R84" s="89"/>
      <x:c r="S84" s="89"/>
      <x:c r="T84" s="89"/>
      <x:c r="U84" s="89"/>
      <x:c r="V84" s="89"/>
      <x:c r="W84" s="89"/>
      <x:c r="X84" s="89"/>
      <x:c r="Y84" s="89"/>
      <x:c r="Z84" s="89"/>
    </x:row>
    <x:row r="85">
      <x:c r="A85" s="95"/>
      <x:c r="B85" s="95"/>
      <x:c r="C85" s="95"/>
      <x:c r="D85" s="95"/>
      <x:c r="E85" s="95"/>
      <x:c r="F85" s="95"/>
      <x:c r="G85" s="114"/>
      <x:c r="H85" s="95"/>
      <x:c r="I85" s="89"/>
      <x:c r="J85" s="89"/>
      <x:c r="K85" s="89"/>
      <x:c r="L85" s="89"/>
      <x:c r="M85" s="89"/>
      <x:c r="N85" s="89"/>
      <x:c r="O85" s="89"/>
      <x:c r="P85" s="89"/>
      <x:c r="Q85" s="89"/>
      <x:c r="R85" s="89"/>
      <x:c r="S85" s="89"/>
      <x:c r="T85" s="89"/>
      <x:c r="U85" s="89"/>
      <x:c r="V85" s="89"/>
      <x:c r="W85" s="89"/>
      <x:c r="X85" s="89"/>
      <x:c r="Y85" s="89"/>
      <x:c r="Z85" s="89"/>
    </x:row>
    <x:row r="86">
      <x:c r="A86" s="95"/>
      <x:c r="B86" s="95"/>
      <x:c r="C86" s="95"/>
      <x:c r="D86" s="95"/>
      <x:c r="E86" s="95"/>
      <x:c r="F86" s="95"/>
      <x:c r="G86" s="114"/>
      <x:c r="H86" s="95"/>
      <x:c r="I86" s="89"/>
      <x:c r="J86" s="89"/>
      <x:c r="K86" s="89"/>
      <x:c r="L86" s="89"/>
      <x:c r="M86" s="89"/>
      <x:c r="N86" s="89"/>
      <x:c r="O86" s="89"/>
      <x:c r="P86" s="89"/>
      <x:c r="Q86" s="89"/>
      <x:c r="R86" s="89"/>
      <x:c r="S86" s="89"/>
      <x:c r="T86" s="89"/>
      <x:c r="U86" s="89"/>
      <x:c r="V86" s="89"/>
      <x:c r="W86" s="89"/>
      <x:c r="X86" s="89"/>
      <x:c r="Y86" s="89"/>
      <x:c r="Z86" s="89"/>
    </x:row>
    <x:row r="87">
      <x:c r="A87" s="95"/>
      <x:c r="B87" s="95"/>
      <x:c r="C87" s="95"/>
      <x:c r="D87" s="95"/>
      <x:c r="E87" s="95"/>
      <x:c r="F87" s="95"/>
      <x:c r="G87" s="114"/>
      <x:c r="H87" s="95"/>
      <x:c r="I87" s="89"/>
      <x:c r="J87" s="89"/>
      <x:c r="K87" s="89"/>
      <x:c r="L87" s="89"/>
      <x:c r="M87" s="89"/>
      <x:c r="N87" s="89"/>
      <x:c r="O87" s="89"/>
      <x:c r="P87" s="89"/>
      <x:c r="Q87" s="89"/>
      <x:c r="R87" s="89"/>
      <x:c r="S87" s="89"/>
      <x:c r="T87" s="89"/>
      <x:c r="U87" s="89"/>
      <x:c r="V87" s="89"/>
      <x:c r="W87" s="89"/>
      <x:c r="X87" s="89"/>
      <x:c r="Y87" s="89"/>
      <x:c r="Z87" s="89"/>
    </x:row>
    <x:row r="88">
      <x:c r="A88" s="95"/>
      <x:c r="B88" s="95"/>
      <x:c r="C88" s="95"/>
      <x:c r="D88" s="95"/>
      <x:c r="E88" s="95"/>
      <x:c r="F88" s="95"/>
      <x:c r="G88" s="114"/>
      <x:c r="H88" s="95"/>
      <x:c r="I88" s="89"/>
      <x:c r="J88" s="89"/>
      <x:c r="K88" s="89"/>
      <x:c r="L88" s="89"/>
      <x:c r="M88" s="89"/>
      <x:c r="N88" s="89"/>
      <x:c r="O88" s="89"/>
      <x:c r="P88" s="89"/>
      <x:c r="Q88" s="89"/>
      <x:c r="R88" s="89"/>
      <x:c r="S88" s="89"/>
      <x:c r="T88" s="89"/>
      <x:c r="U88" s="89"/>
      <x:c r="V88" s="89"/>
      <x:c r="W88" s="89"/>
      <x:c r="X88" s="89"/>
      <x:c r="Y88" s="89"/>
      <x:c r="Z88" s="89"/>
    </x:row>
    <x:row r="89">
      <x:c r="A89" s="95"/>
      <x:c r="B89" s="95"/>
      <x:c r="C89" s="95"/>
      <x:c r="D89" s="95"/>
      <x:c r="E89" s="95"/>
      <x:c r="F89" s="95"/>
      <x:c r="G89" s="114"/>
      <x:c r="H89" s="95"/>
      <x:c r="I89" s="89"/>
      <x:c r="J89" s="89"/>
      <x:c r="K89" s="89"/>
      <x:c r="L89" s="89"/>
      <x:c r="M89" s="89"/>
      <x:c r="N89" s="89"/>
      <x:c r="O89" s="89"/>
      <x:c r="P89" s="89"/>
      <x:c r="Q89" s="89"/>
      <x:c r="R89" s="89"/>
      <x:c r="S89" s="89"/>
      <x:c r="T89" s="89"/>
      <x:c r="U89" s="89"/>
      <x:c r="V89" s="89"/>
      <x:c r="W89" s="89"/>
      <x:c r="X89" s="89"/>
      <x:c r="Y89" s="89"/>
      <x:c r="Z89" s="89"/>
    </x:row>
    <x:row r="90">
      <x:c r="A90" s="95"/>
      <x:c r="B90" s="95"/>
      <x:c r="C90" s="95"/>
      <x:c r="D90" s="95"/>
      <x:c r="E90" s="95"/>
      <x:c r="F90" s="95"/>
      <x:c r="G90" s="114"/>
      <x:c r="H90" s="95"/>
      <x:c r="I90" s="89"/>
      <x:c r="J90" s="89"/>
      <x:c r="K90" s="89"/>
      <x:c r="L90" s="89"/>
      <x:c r="M90" s="89"/>
      <x:c r="N90" s="89"/>
      <x:c r="O90" s="89"/>
      <x:c r="P90" s="89"/>
      <x:c r="Q90" s="89"/>
      <x:c r="R90" s="89"/>
      <x:c r="S90" s="89"/>
      <x:c r="T90" s="89"/>
      <x:c r="U90" s="89"/>
      <x:c r="V90" s="89"/>
      <x:c r="W90" s="89"/>
      <x:c r="X90" s="89"/>
      <x:c r="Y90" s="89"/>
      <x:c r="Z90" s="89"/>
    </x:row>
    <x:row r="91">
      <x:c r="A91" s="95"/>
      <x:c r="B91" s="95"/>
      <x:c r="C91" s="95"/>
      <x:c r="D91" s="95"/>
      <x:c r="E91" s="95"/>
      <x:c r="F91" s="95"/>
      <x:c r="G91" s="114"/>
      <x:c r="H91" s="95"/>
      <x:c r="I91" s="89"/>
      <x:c r="J91" s="89"/>
      <x:c r="K91" s="89"/>
      <x:c r="L91" s="89"/>
      <x:c r="M91" s="89"/>
      <x:c r="N91" s="89"/>
      <x:c r="O91" s="89"/>
      <x:c r="P91" s="89"/>
      <x:c r="Q91" s="89"/>
      <x:c r="R91" s="89"/>
      <x:c r="S91" s="89"/>
      <x:c r="T91" s="89"/>
      <x:c r="U91" s="89"/>
      <x:c r="V91" s="89"/>
      <x:c r="W91" s="89"/>
      <x:c r="X91" s="89"/>
      <x:c r="Y91" s="89"/>
      <x:c r="Z91" s="89"/>
    </x:row>
    <x:row r="92">
      <x:c r="A92" s="95"/>
      <x:c r="B92" s="95"/>
      <x:c r="C92" s="95"/>
      <x:c r="D92" s="95"/>
      <x:c r="E92" s="95"/>
      <x:c r="F92" s="95"/>
      <x:c r="G92" s="114"/>
      <x:c r="H92" s="95"/>
      <x:c r="I92" s="89"/>
      <x:c r="J92" s="89"/>
      <x:c r="K92" s="89"/>
      <x:c r="L92" s="89"/>
      <x:c r="M92" s="89"/>
      <x:c r="N92" s="89"/>
      <x:c r="O92" s="89"/>
      <x:c r="P92" s="89"/>
      <x:c r="Q92" s="89"/>
      <x:c r="R92" s="89"/>
      <x:c r="S92" s="89"/>
      <x:c r="T92" s="89"/>
      <x:c r="U92" s="89"/>
      <x:c r="V92" s="89"/>
      <x:c r="W92" s="89"/>
      <x:c r="X92" s="89"/>
      <x:c r="Y92" s="89"/>
      <x:c r="Z92" s="89"/>
    </x:row>
    <x:row r="93">
      <x:c r="A93" s="95"/>
      <x:c r="B93" s="95"/>
      <x:c r="C93" s="95"/>
      <x:c r="D93" s="95"/>
      <x:c r="E93" s="95"/>
      <x:c r="F93" s="95"/>
      <x:c r="G93" s="114"/>
      <x:c r="H93" s="95"/>
      <x:c r="I93" s="89"/>
      <x:c r="J93" s="89"/>
      <x:c r="K93" s="89"/>
      <x:c r="L93" s="89"/>
      <x:c r="M93" s="89"/>
      <x:c r="N93" s="89"/>
      <x:c r="O93" s="89"/>
      <x:c r="P93" s="89"/>
      <x:c r="Q93" s="89"/>
      <x:c r="R93" s="89"/>
      <x:c r="S93" s="89"/>
      <x:c r="T93" s="89"/>
      <x:c r="U93" s="89"/>
      <x:c r="V93" s="89"/>
      <x:c r="W93" s="89"/>
      <x:c r="X93" s="89"/>
      <x:c r="Y93" s="89"/>
      <x:c r="Z93" s="89"/>
    </x:row>
    <x:row r="94">
      <x:c r="A94" s="95"/>
      <x:c r="B94" s="95"/>
      <x:c r="C94" s="95"/>
      <x:c r="D94" s="95"/>
      <x:c r="E94" s="95"/>
      <x:c r="F94" s="95"/>
      <x:c r="G94" s="114"/>
      <x:c r="H94" s="95"/>
      <x:c r="I94" s="89"/>
      <x:c r="J94" s="89"/>
      <x:c r="K94" s="89"/>
      <x:c r="L94" s="89"/>
      <x:c r="M94" s="89"/>
      <x:c r="N94" s="89"/>
      <x:c r="O94" s="89"/>
      <x:c r="P94" s="89"/>
      <x:c r="Q94" s="89"/>
      <x:c r="R94" s="89"/>
      <x:c r="S94" s="89"/>
      <x:c r="T94" s="89"/>
      <x:c r="U94" s="89"/>
      <x:c r="V94" s="89"/>
      <x:c r="W94" s="89"/>
      <x:c r="X94" s="89"/>
      <x:c r="Y94" s="89"/>
      <x:c r="Z94" s="89"/>
    </x:row>
    <x:row r="95">
      <x:c r="A95" s="95"/>
      <x:c r="B95" s="95"/>
      <x:c r="C95" s="95"/>
      <x:c r="D95" s="95"/>
      <x:c r="E95" s="95"/>
      <x:c r="F95" s="95"/>
      <x:c r="G95" s="114"/>
      <x:c r="H95" s="95"/>
      <x:c r="I95" s="89"/>
      <x:c r="J95" s="89"/>
      <x:c r="K95" s="89"/>
      <x:c r="L95" s="89"/>
      <x:c r="M95" s="89"/>
      <x:c r="N95" s="89"/>
      <x:c r="O95" s="89"/>
      <x:c r="P95" s="89"/>
      <x:c r="Q95" s="89"/>
      <x:c r="R95" s="89"/>
      <x:c r="S95" s="89"/>
      <x:c r="T95" s="89"/>
      <x:c r="U95" s="89"/>
      <x:c r="V95" s="89"/>
      <x:c r="W95" s="89"/>
      <x:c r="X95" s="89"/>
      <x:c r="Y95" s="89"/>
      <x:c r="Z95" s="89"/>
    </x:row>
    <x:row r="96">
      <x:c r="A96" s="95"/>
      <x:c r="B96" s="95"/>
      <x:c r="C96" s="95"/>
      <x:c r="D96" s="95"/>
      <x:c r="E96" s="95"/>
      <x:c r="F96" s="95"/>
      <x:c r="G96" s="114"/>
      <x:c r="H96" s="95"/>
      <x:c r="I96" s="89"/>
      <x:c r="J96" s="89"/>
      <x:c r="K96" s="89"/>
      <x:c r="L96" s="89"/>
      <x:c r="M96" s="89"/>
      <x:c r="N96" s="89"/>
      <x:c r="O96" s="89"/>
      <x:c r="P96" s="89"/>
      <x:c r="Q96" s="89"/>
      <x:c r="R96" s="89"/>
      <x:c r="S96" s="89"/>
      <x:c r="T96" s="89"/>
      <x:c r="U96" s="89"/>
      <x:c r="V96" s="89"/>
      <x:c r="W96" s="89"/>
      <x:c r="X96" s="89"/>
      <x:c r="Y96" s="89"/>
      <x:c r="Z96" s="89"/>
    </x:row>
    <x:row r="97">
      <x:c r="A97" s="95"/>
      <x:c r="B97" s="95"/>
      <x:c r="C97" s="95"/>
      <x:c r="D97" s="95"/>
      <x:c r="E97" s="95"/>
      <x:c r="F97" s="95"/>
      <x:c r="G97" s="114"/>
      <x:c r="H97" s="95"/>
      <x:c r="I97" s="89"/>
      <x:c r="J97" s="89"/>
      <x:c r="K97" s="89"/>
      <x:c r="L97" s="89"/>
      <x:c r="M97" s="89"/>
      <x:c r="N97" s="89"/>
      <x:c r="O97" s="89"/>
      <x:c r="P97" s="89"/>
      <x:c r="Q97" s="89"/>
      <x:c r="R97" s="89"/>
      <x:c r="S97" s="89"/>
      <x:c r="T97" s="89"/>
      <x:c r="U97" s="89"/>
      <x:c r="V97" s="89"/>
      <x:c r="W97" s="89"/>
      <x:c r="X97" s="89"/>
      <x:c r="Y97" s="89"/>
      <x:c r="Z97" s="89"/>
    </x:row>
    <x:row r="98">
      <x:c r="A98" s="95"/>
      <x:c r="B98" s="95"/>
      <x:c r="C98" s="95"/>
      <x:c r="D98" s="95"/>
      <x:c r="E98" s="95"/>
      <x:c r="F98" s="95"/>
      <x:c r="G98" s="114"/>
      <x:c r="H98" s="95"/>
      <x:c r="I98" s="89"/>
      <x:c r="J98" s="89"/>
      <x:c r="K98" s="89"/>
      <x:c r="L98" s="89"/>
      <x:c r="M98" s="89"/>
      <x:c r="N98" s="89"/>
      <x:c r="O98" s="89"/>
      <x:c r="P98" s="89"/>
      <x:c r="Q98" s="89"/>
      <x:c r="R98" s="89"/>
      <x:c r="S98" s="89"/>
      <x:c r="T98" s="89"/>
      <x:c r="U98" s="89"/>
      <x:c r="V98" s="89"/>
      <x:c r="W98" s="89"/>
      <x:c r="X98" s="89"/>
      <x:c r="Y98" s="89"/>
      <x:c r="Z98" s="89"/>
    </x:row>
    <x:row r="99">
      <x:c r="A99" s="95"/>
      <x:c r="B99" s="95"/>
      <x:c r="C99" s="95"/>
      <x:c r="D99" s="95"/>
      <x:c r="E99" s="95"/>
      <x:c r="F99" s="95"/>
      <x:c r="G99" s="114"/>
      <x:c r="H99" s="95"/>
      <x:c r="I99" s="89"/>
      <x:c r="J99" s="89"/>
      <x:c r="K99" s="89"/>
      <x:c r="L99" s="89"/>
      <x:c r="M99" s="89"/>
      <x:c r="N99" s="89"/>
      <x:c r="O99" s="89"/>
      <x:c r="P99" s="89"/>
      <x:c r="Q99" s="89"/>
      <x:c r="R99" s="89"/>
      <x:c r="S99" s="89"/>
      <x:c r="T99" s="89"/>
      <x:c r="U99" s="89"/>
      <x:c r="V99" s="89"/>
      <x:c r="W99" s="89"/>
      <x:c r="X99" s="89"/>
      <x:c r="Y99" s="89"/>
      <x:c r="Z99" s="89"/>
    </x:row>
    <x:row r="100">
      <x:c r="A100" s="95"/>
      <x:c r="B100" s="95"/>
      <x:c r="C100" s="95"/>
      <x:c r="D100" s="95"/>
      <x:c r="E100" s="95"/>
      <x:c r="F100" s="95"/>
      <x:c r="G100" s="114"/>
      <x:c r="H100" s="95"/>
      <x:c r="I100" s="89"/>
      <x:c r="J100" s="89"/>
      <x:c r="K100" s="89"/>
      <x:c r="L100" s="89"/>
      <x:c r="M100" s="89"/>
      <x:c r="N100" s="89"/>
      <x:c r="O100" s="89"/>
      <x:c r="P100" s="89"/>
      <x:c r="Q100" s="89"/>
      <x:c r="R100" s="89"/>
      <x:c r="S100" s="89"/>
      <x:c r="T100" s="89"/>
      <x:c r="U100" s="89"/>
      <x:c r="V100" s="89"/>
      <x:c r="W100" s="89"/>
      <x:c r="X100" s="89"/>
      <x:c r="Y100" s="89"/>
      <x:c r="Z100" s="89"/>
    </x:row>
    <x:row r="101">
      <x:c r="A101" s="95"/>
      <x:c r="B101" s="95"/>
      <x:c r="C101" s="95"/>
      <x:c r="D101" s="95"/>
      <x:c r="E101" s="95"/>
      <x:c r="F101" s="95"/>
      <x:c r="G101" s="114"/>
      <x:c r="H101" s="95"/>
      <x:c r="I101" s="89"/>
      <x:c r="J101" s="89"/>
      <x:c r="K101" s="89"/>
      <x:c r="L101" s="89"/>
      <x:c r="M101" s="89"/>
      <x:c r="N101" s="89"/>
      <x:c r="O101" s="89"/>
      <x:c r="P101" s="89"/>
      <x:c r="Q101" s="89"/>
      <x:c r="R101" s="89"/>
      <x:c r="S101" s="89"/>
      <x:c r="T101" s="89"/>
      <x:c r="U101" s="89"/>
      <x:c r="V101" s="89"/>
      <x:c r="W101" s="89"/>
      <x:c r="X101" s="89"/>
      <x:c r="Y101" s="89"/>
      <x:c r="Z101" s="89"/>
    </x:row>
    <x:row r="102">
      <x:c r="A102" s="95"/>
      <x:c r="B102" s="95"/>
      <x:c r="C102" s="95"/>
      <x:c r="D102" s="95"/>
      <x:c r="E102" s="95"/>
      <x:c r="F102" s="95"/>
      <x:c r="G102" s="114"/>
      <x:c r="H102" s="95"/>
      <x:c r="I102" s="89"/>
      <x:c r="J102" s="89"/>
      <x:c r="K102" s="89"/>
      <x:c r="L102" s="89"/>
      <x:c r="M102" s="89"/>
      <x:c r="N102" s="89"/>
      <x:c r="O102" s="89"/>
      <x:c r="P102" s="89"/>
      <x:c r="Q102" s="89"/>
      <x:c r="R102" s="89"/>
      <x:c r="S102" s="89"/>
      <x:c r="T102" s="89"/>
      <x:c r="U102" s="89"/>
      <x:c r="V102" s="89"/>
      <x:c r="W102" s="89"/>
      <x:c r="X102" s="89"/>
      <x:c r="Y102" s="89"/>
      <x:c r="Z102" s="89"/>
    </x:row>
    <x:row r="103">
      <x:c r="A103" s="95"/>
      <x:c r="B103" s="95"/>
      <x:c r="C103" s="95"/>
      <x:c r="D103" s="95"/>
      <x:c r="E103" s="95"/>
      <x:c r="F103" s="95"/>
      <x:c r="G103" s="114"/>
      <x:c r="H103" s="95"/>
      <x:c r="I103" s="89"/>
      <x:c r="J103" s="89"/>
      <x:c r="K103" s="89"/>
      <x:c r="L103" s="89"/>
      <x:c r="M103" s="89"/>
      <x:c r="N103" s="89"/>
      <x:c r="O103" s="89"/>
      <x:c r="P103" s="89"/>
      <x:c r="Q103" s="89"/>
      <x:c r="R103" s="89"/>
      <x:c r="S103" s="89"/>
      <x:c r="T103" s="89"/>
      <x:c r="U103" s="89"/>
      <x:c r="V103" s="89"/>
      <x:c r="W103" s="89"/>
      <x:c r="X103" s="89"/>
      <x:c r="Y103" s="89"/>
      <x:c r="Z103" s="89"/>
    </x:row>
    <x:row r="104">
      <x:c r="A104" s="89"/>
      <x:c r="B104" s="89"/>
      <x:c r="C104" s="89"/>
      <x:c r="D104" s="89"/>
      <x:c r="E104" s="89"/>
      <x:c r="F104" s="89"/>
      <x:c r="G104" s="89"/>
      <x:c r="H104" s="89"/>
      <x:c r="I104" s="89"/>
      <x:c r="J104" s="89"/>
      <x:c r="K104" s="89"/>
      <x:c r="L104" s="89"/>
      <x:c r="M104" s="89"/>
      <x:c r="N104" s="89"/>
      <x:c r="O104" s="89"/>
      <x:c r="P104" s="89"/>
      <x:c r="Q104" s="89"/>
      <x:c r="R104" s="89"/>
      <x:c r="S104" s="89"/>
      <x:c r="T104" s="89"/>
      <x:c r="U104" s="89"/>
      <x:c r="V104" s="89"/>
      <x:c r="W104" s="89"/>
      <x:c r="X104" s="89"/>
      <x:c r="Y104" s="89"/>
      <x:c r="Z104" s="89"/>
    </x:row>
    <x:row r="105">
      <x:c r="A105" s="89"/>
      <x:c r="B105" s="89"/>
      <x:c r="C105" s="89"/>
      <x:c r="D105" s="89"/>
      <x:c r="E105" s="89"/>
      <x:c r="F105" s="89"/>
      <x:c r="G105" s="89"/>
      <x:c r="H105" s="89"/>
      <x:c r="I105" s="89"/>
      <x:c r="J105" s="89"/>
      <x:c r="K105" s="89"/>
      <x:c r="L105" s="89"/>
      <x:c r="M105" s="89"/>
      <x:c r="N105" s="89"/>
      <x:c r="O105" s="89"/>
      <x:c r="P105" s="89"/>
      <x:c r="Q105" s="89"/>
      <x:c r="R105" s="89"/>
      <x:c r="S105" s="89"/>
      <x:c r="T105" s="89"/>
      <x:c r="U105" s="89"/>
      <x:c r="V105" s="89"/>
      <x:c r="W105" s="89"/>
      <x:c r="X105" s="89"/>
      <x:c r="Y105" s="89"/>
      <x:c r="Z105" s="89"/>
    </x:row>
    <x:row r="106">
      <x:c r="A106" s="89"/>
      <x:c r="B106" s="89"/>
      <x:c r="C106" s="89"/>
      <x:c r="D106" s="89"/>
      <x:c r="E106" s="89"/>
      <x:c r="F106" s="89"/>
      <x:c r="G106" s="89"/>
      <x:c r="H106" s="89"/>
      <x:c r="I106" s="89"/>
      <x:c r="J106" s="89"/>
      <x:c r="K106" s="89"/>
      <x:c r="L106" s="89"/>
      <x:c r="M106" s="89"/>
      <x:c r="N106" s="89"/>
      <x:c r="O106" s="89"/>
      <x:c r="P106" s="89"/>
      <x:c r="Q106" s="89"/>
      <x:c r="R106" s="89"/>
      <x:c r="S106" s="89"/>
      <x:c r="T106" s="89"/>
      <x:c r="U106" s="89"/>
      <x:c r="V106" s="89"/>
      <x:c r="W106" s="89"/>
      <x:c r="X106" s="89"/>
      <x:c r="Y106" s="89"/>
      <x:c r="Z106" s="89"/>
    </x:row>
    <x:row r="107">
      <x:c r="A107" s="89"/>
      <x:c r="B107" s="89"/>
      <x:c r="C107" s="89"/>
      <x:c r="D107" s="89"/>
      <x:c r="E107" s="89"/>
      <x:c r="F107" s="89"/>
      <x:c r="G107" s="89"/>
      <x:c r="H107" s="89"/>
      <x:c r="I107" s="89"/>
      <x:c r="J107" s="89"/>
      <x:c r="K107" s="89"/>
      <x:c r="L107" s="89"/>
      <x:c r="M107" s="89"/>
      <x:c r="N107" s="89"/>
      <x:c r="O107" s="89"/>
      <x:c r="P107" s="89"/>
      <x:c r="Q107" s="89"/>
      <x:c r="R107" s="89"/>
      <x:c r="S107" s="89"/>
      <x:c r="T107" s="89"/>
      <x:c r="U107" s="89"/>
      <x:c r="V107" s="89"/>
      <x:c r="W107" s="89"/>
      <x:c r="X107" s="89"/>
      <x:c r="Y107" s="89"/>
      <x:c r="Z107" s="89"/>
    </x:row>
    <x:row r="108">
      <x:c r="A108" s="89"/>
      <x:c r="B108" s="89"/>
      <x:c r="C108" s="89"/>
      <x:c r="D108" s="89"/>
      <x:c r="E108" s="89"/>
      <x:c r="F108" s="89"/>
      <x:c r="G108" s="89"/>
      <x:c r="H108" s="89"/>
      <x:c r="I108" s="89"/>
      <x:c r="J108" s="89"/>
      <x:c r="K108" s="89"/>
      <x:c r="L108" s="89"/>
      <x:c r="M108" s="89"/>
      <x:c r="N108" s="89"/>
      <x:c r="O108" s="89"/>
      <x:c r="P108" s="89"/>
      <x:c r="Q108" s="89"/>
      <x:c r="R108" s="89"/>
      <x:c r="S108" s="89"/>
      <x:c r="T108" s="89"/>
      <x:c r="U108" s="89"/>
      <x:c r="V108" s="89"/>
      <x:c r="W108" s="89"/>
      <x:c r="X108" s="89"/>
      <x:c r="Y108" s="89"/>
      <x:c r="Z108" s="89"/>
    </x:row>
    <x:row r="109">
      <x:c r="A109" s="89"/>
      <x:c r="B109" s="89"/>
      <x:c r="C109" s="89"/>
      <x:c r="D109" s="89"/>
      <x:c r="E109" s="89"/>
      <x:c r="F109" s="89"/>
      <x:c r="G109" s="89"/>
      <x:c r="H109" s="89"/>
      <x:c r="I109" s="89"/>
      <x:c r="J109" s="89"/>
      <x:c r="K109" s="89"/>
      <x:c r="L109" s="89"/>
      <x:c r="M109" s="89"/>
      <x:c r="N109" s="89"/>
      <x:c r="O109" s="89"/>
      <x:c r="P109" s="89"/>
      <x:c r="Q109" s="89"/>
      <x:c r="R109" s="89"/>
      <x:c r="S109" s="89"/>
      <x:c r="T109" s="89"/>
      <x:c r="U109" s="89"/>
      <x:c r="V109" s="89"/>
      <x:c r="W109" s="89"/>
      <x:c r="X109" s="89"/>
      <x:c r="Y109" s="89"/>
      <x:c r="Z109" s="89"/>
    </x:row>
    <x:row r="110">
      <x:c r="A110" s="89"/>
      <x:c r="B110" s="89"/>
      <x:c r="C110" s="89"/>
      <x:c r="D110" s="89"/>
      <x:c r="E110" s="89"/>
      <x:c r="F110" s="89"/>
      <x:c r="G110" s="89"/>
      <x:c r="H110" s="89"/>
      <x:c r="I110" s="89"/>
      <x:c r="J110" s="89"/>
      <x:c r="K110" s="89"/>
      <x:c r="L110" s="89"/>
      <x:c r="M110" s="89"/>
      <x:c r="N110" s="89"/>
      <x:c r="O110" s="89"/>
      <x:c r="P110" s="89"/>
      <x:c r="Q110" s="89"/>
      <x:c r="R110" s="89"/>
      <x:c r="S110" s="89"/>
      <x:c r="T110" s="89"/>
      <x:c r="U110" s="89"/>
      <x:c r="V110" s="89"/>
      <x:c r="W110" s="89"/>
      <x:c r="X110" s="89"/>
      <x:c r="Y110" s="89"/>
      <x:c r="Z110" s="89"/>
    </x:row>
    <x:row r="111">
      <x:c r="A111" s="89"/>
      <x:c r="B111" s="89"/>
      <x:c r="C111" s="89"/>
      <x:c r="D111" s="89"/>
      <x:c r="E111" s="89"/>
      <x:c r="F111" s="89"/>
      <x:c r="G111" s="89"/>
      <x:c r="H111" s="89"/>
      <x:c r="I111" s="89"/>
      <x:c r="J111" s="89"/>
      <x:c r="K111" s="89"/>
      <x:c r="L111" s="89"/>
      <x:c r="M111" s="89"/>
      <x:c r="N111" s="89"/>
      <x:c r="O111" s="89"/>
      <x:c r="P111" s="89"/>
      <x:c r="Q111" s="89"/>
      <x:c r="R111" s="89"/>
      <x:c r="S111" s="89"/>
      <x:c r="T111" s="89"/>
      <x:c r="U111" s="89"/>
      <x:c r="V111" s="89"/>
      <x:c r="W111" s="89"/>
      <x:c r="X111" s="89"/>
      <x:c r="Y111" s="89"/>
      <x:c r="Z111" s="89"/>
    </x:row>
    <x:row r="112">
      <x:c r="A112" s="89"/>
      <x:c r="B112" s="89"/>
      <x:c r="C112" s="89"/>
      <x:c r="D112" s="89"/>
      <x:c r="E112" s="89"/>
      <x:c r="F112" s="89"/>
      <x:c r="G112" s="89"/>
      <x:c r="H112" s="89"/>
      <x:c r="I112" s="89"/>
      <x:c r="J112" s="89"/>
      <x:c r="K112" s="89"/>
      <x:c r="L112" s="89"/>
      <x:c r="M112" s="89"/>
      <x:c r="N112" s="89"/>
      <x:c r="O112" s="89"/>
      <x:c r="P112" s="89"/>
      <x:c r="Q112" s="89"/>
      <x:c r="R112" s="89"/>
      <x:c r="S112" s="89"/>
      <x:c r="T112" s="89"/>
      <x:c r="U112" s="89"/>
      <x:c r="V112" s="89"/>
      <x:c r="W112" s="89"/>
      <x:c r="X112" s="89"/>
      <x:c r="Y112" s="89"/>
      <x:c r="Z112" s="89"/>
    </x:row>
    <x:row r="113">
      <x:c r="A113" s="89"/>
      <x:c r="B113" s="89"/>
      <x:c r="C113" s="89"/>
      <x:c r="D113" s="89"/>
      <x:c r="E113" s="89"/>
      <x:c r="F113" s="89"/>
      <x:c r="G113" s="89"/>
      <x:c r="H113" s="89"/>
      <x:c r="I113" s="89"/>
      <x:c r="J113" s="89"/>
      <x:c r="K113" s="89"/>
      <x:c r="L113" s="89"/>
      <x:c r="M113" s="89"/>
      <x:c r="N113" s="89"/>
      <x:c r="O113" s="89"/>
      <x:c r="P113" s="89"/>
      <x:c r="Q113" s="89"/>
      <x:c r="R113" s="89"/>
      <x:c r="S113" s="89"/>
      <x:c r="T113" s="89"/>
      <x:c r="U113" s="89"/>
      <x:c r="V113" s="89"/>
      <x:c r="W113" s="89"/>
      <x:c r="X113" s="89"/>
      <x:c r="Y113" s="89"/>
      <x:c r="Z113" s="89"/>
    </x:row>
    <x:row r="114">
      <x:c r="A114" s="89"/>
      <x:c r="B114" s="89"/>
      <x:c r="C114" s="89"/>
      <x:c r="D114" s="89"/>
      <x:c r="E114" s="89"/>
      <x:c r="F114" s="89"/>
      <x:c r="G114" s="89"/>
      <x:c r="H114" s="89"/>
      <x:c r="I114" s="89"/>
      <x:c r="J114" s="89"/>
      <x:c r="K114" s="89"/>
      <x:c r="L114" s="89"/>
      <x:c r="M114" s="89"/>
      <x:c r="N114" s="89"/>
      <x:c r="O114" s="89"/>
      <x:c r="P114" s="89"/>
      <x:c r="Q114" s="89"/>
      <x:c r="R114" s="89"/>
      <x:c r="S114" s="89"/>
      <x:c r="T114" s="89"/>
      <x:c r="U114" s="89"/>
      <x:c r="V114" s="89"/>
      <x:c r="W114" s="89"/>
      <x:c r="X114" s="89"/>
      <x:c r="Y114" s="89"/>
      <x:c r="Z114" s="89"/>
    </x:row>
    <x:row r="115">
      <x:c r="A115" s="89"/>
      <x:c r="B115" s="89"/>
      <x:c r="C115" s="89"/>
      <x:c r="D115" s="89"/>
      <x:c r="E115" s="89"/>
      <x:c r="F115" s="89"/>
      <x:c r="G115" s="89"/>
      <x:c r="H115" s="89"/>
      <x:c r="I115" s="89"/>
      <x:c r="J115" s="89"/>
      <x:c r="K115" s="89"/>
      <x:c r="L115" s="89"/>
      <x:c r="M115" s="89"/>
      <x:c r="N115" s="89"/>
      <x:c r="O115" s="89"/>
      <x:c r="P115" s="89"/>
      <x:c r="Q115" s="89"/>
      <x:c r="R115" s="89"/>
      <x:c r="S115" s="89"/>
      <x:c r="T115" s="89"/>
      <x:c r="U115" s="89"/>
      <x:c r="V115" s="89"/>
      <x:c r="W115" s="89"/>
      <x:c r="X115" s="89"/>
      <x:c r="Y115" s="89"/>
      <x:c r="Z115" s="89"/>
    </x:row>
    <x:row r="116">
      <x:c r="A116" s="89"/>
      <x:c r="B116" s="89"/>
      <x:c r="C116" s="89"/>
      <x:c r="D116" s="89"/>
      <x:c r="E116" s="89"/>
      <x:c r="F116" s="89"/>
      <x:c r="G116" s="89"/>
      <x:c r="H116" s="89"/>
      <x:c r="I116" s="89"/>
      <x:c r="J116" s="89"/>
      <x:c r="K116" s="89"/>
      <x:c r="L116" s="89"/>
      <x:c r="M116" s="89"/>
      <x:c r="N116" s="89"/>
      <x:c r="O116" s="89"/>
      <x:c r="P116" s="89"/>
      <x:c r="Q116" s="89"/>
      <x:c r="R116" s="89"/>
      <x:c r="S116" s="89"/>
      <x:c r="T116" s="89"/>
      <x:c r="U116" s="89"/>
      <x:c r="V116" s="89"/>
      <x:c r="W116" s="89"/>
      <x:c r="X116" s="89"/>
      <x:c r="Y116" s="89"/>
      <x:c r="Z116" s="89"/>
    </x:row>
    <x:row r="117">
      <x:c r="A117" s="89"/>
      <x:c r="B117" s="89"/>
      <x:c r="C117" s="89"/>
      <x:c r="D117" s="89"/>
      <x:c r="E117" s="89"/>
      <x:c r="F117" s="89"/>
      <x:c r="G117" s="89"/>
      <x:c r="H117" s="89"/>
      <x:c r="I117" s="89"/>
      <x:c r="J117" s="89"/>
      <x:c r="K117" s="89"/>
      <x:c r="L117" s="89"/>
      <x:c r="M117" s="89"/>
      <x:c r="N117" s="89"/>
      <x:c r="O117" s="89"/>
      <x:c r="P117" s="89"/>
      <x:c r="Q117" s="89"/>
      <x:c r="R117" s="89"/>
      <x:c r="S117" s="89"/>
      <x:c r="T117" s="89"/>
      <x:c r="U117" s="89"/>
      <x:c r="V117" s="89"/>
      <x:c r="W117" s="89"/>
      <x:c r="X117" s="89"/>
      <x:c r="Y117" s="89"/>
      <x:c r="Z117" s="89"/>
    </x:row>
    <x:row r="118">
      <x:c r="A118" s="89"/>
      <x:c r="B118" s="89"/>
      <x:c r="C118" s="89"/>
      <x:c r="D118" s="89"/>
      <x:c r="E118" s="89"/>
      <x:c r="F118" s="89"/>
      <x:c r="G118" s="89"/>
      <x:c r="H118" s="89"/>
      <x:c r="I118" s="89"/>
      <x:c r="J118" s="89"/>
      <x:c r="K118" s="89"/>
      <x:c r="L118" s="89"/>
      <x:c r="M118" s="89"/>
      <x:c r="N118" s="89"/>
      <x:c r="O118" s="89"/>
      <x:c r="P118" s="89"/>
      <x:c r="Q118" s="89"/>
      <x:c r="R118" s="89"/>
      <x:c r="S118" s="89"/>
      <x:c r="T118" s="89"/>
      <x:c r="U118" s="89"/>
      <x:c r="V118" s="89"/>
      <x:c r="W118" s="89"/>
      <x:c r="X118" s="89"/>
      <x:c r="Y118" s="89"/>
      <x:c r="Z118" s="89"/>
    </x:row>
    <x:row r="119">
      <x:c r="A119" s="89"/>
      <x:c r="B119" s="89"/>
      <x:c r="C119" s="89"/>
      <x:c r="D119" s="89"/>
      <x:c r="E119" s="89"/>
      <x:c r="F119" s="89"/>
      <x:c r="G119" s="89"/>
      <x:c r="H119" s="89"/>
      <x:c r="I119" s="89"/>
      <x:c r="J119" s="89"/>
      <x:c r="K119" s="89"/>
      <x:c r="L119" s="89"/>
      <x:c r="M119" s="89"/>
      <x:c r="N119" s="89"/>
      <x:c r="O119" s="89"/>
      <x:c r="P119" s="89"/>
      <x:c r="Q119" s="89"/>
      <x:c r="R119" s="89"/>
      <x:c r="S119" s="89"/>
      <x:c r="T119" s="89"/>
      <x:c r="U119" s="89"/>
      <x:c r="V119" s="89"/>
      <x:c r="W119" s="89"/>
      <x:c r="X119" s="89"/>
      <x:c r="Y119" s="89"/>
      <x:c r="Z119" s="89"/>
    </x:row>
    <x:row r="120">
      <x:c r="A120" s="89"/>
      <x:c r="B120" s="89"/>
      <x:c r="C120" s="89"/>
      <x:c r="D120" s="89"/>
      <x:c r="E120" s="89"/>
      <x:c r="F120" s="89"/>
      <x:c r="G120" s="89"/>
      <x:c r="H120" s="89"/>
      <x:c r="I120" s="89"/>
      <x:c r="J120" s="89"/>
      <x:c r="K120" s="89"/>
      <x:c r="L120" s="89"/>
      <x:c r="M120" s="89"/>
      <x:c r="N120" s="89"/>
      <x:c r="O120" s="89"/>
      <x:c r="P120" s="89"/>
      <x:c r="Q120" s="89"/>
      <x:c r="R120" s="89"/>
      <x:c r="S120" s="89"/>
      <x:c r="T120" s="89"/>
      <x:c r="U120" s="89"/>
      <x:c r="V120" s="89"/>
      <x:c r="W120" s="89"/>
      <x:c r="X120" s="89"/>
      <x:c r="Y120" s="89"/>
      <x:c r="Z120" s="89"/>
    </x:row>
    <x:row r="121">
      <x:c r="A121" s="89"/>
      <x:c r="B121" s="89"/>
      <x:c r="C121" s="89"/>
      <x:c r="D121" s="89"/>
      <x:c r="E121" s="89"/>
      <x:c r="F121" s="89"/>
      <x:c r="G121" s="89"/>
      <x:c r="H121" s="89"/>
      <x:c r="I121" s="89"/>
      <x:c r="J121" s="89"/>
      <x:c r="K121" s="89"/>
      <x:c r="L121" s="89"/>
      <x:c r="M121" s="89"/>
      <x:c r="N121" s="89"/>
      <x:c r="O121" s="89"/>
      <x:c r="P121" s="89"/>
      <x:c r="Q121" s="89"/>
      <x:c r="R121" s="89"/>
      <x:c r="S121" s="89"/>
      <x:c r="T121" s="89"/>
      <x:c r="U121" s="89"/>
      <x:c r="V121" s="89"/>
      <x:c r="W121" s="89"/>
      <x:c r="X121" s="89"/>
      <x:c r="Y121" s="89"/>
      <x:c r="Z121" s="89"/>
    </x:row>
    <x:row r="122">
      <x:c r="A122" s="89"/>
      <x:c r="B122" s="89"/>
      <x:c r="C122" s="89"/>
      <x:c r="D122" s="89"/>
      <x:c r="E122" s="89"/>
      <x:c r="F122" s="89"/>
      <x:c r="G122" s="89"/>
      <x:c r="H122" s="89"/>
      <x:c r="I122" s="89"/>
      <x:c r="J122" s="89"/>
      <x:c r="K122" s="89"/>
      <x:c r="L122" s="89"/>
      <x:c r="M122" s="89"/>
      <x:c r="N122" s="89"/>
      <x:c r="O122" s="89"/>
      <x:c r="P122" s="89"/>
      <x:c r="Q122" s="89"/>
      <x:c r="R122" s="89"/>
      <x:c r="S122" s="89"/>
      <x:c r="T122" s="89"/>
      <x:c r="U122" s="89"/>
      <x:c r="V122" s="89"/>
      <x:c r="W122" s="89"/>
      <x:c r="X122" s="89"/>
      <x:c r="Y122" s="89"/>
      <x:c r="Z122" s="89"/>
    </x:row>
    <x:row r="123">
      <x:c r="A123" s="89"/>
      <x:c r="B123" s="89"/>
      <x:c r="C123" s="89"/>
      <x:c r="D123" s="89"/>
      <x:c r="E123" s="89"/>
      <x:c r="F123" s="89"/>
      <x:c r="G123" s="89"/>
      <x:c r="H123" s="89"/>
      <x:c r="I123" s="89"/>
      <x:c r="J123" s="89"/>
      <x:c r="K123" s="89"/>
      <x:c r="L123" s="89"/>
      <x:c r="M123" s="89"/>
      <x:c r="N123" s="89"/>
      <x:c r="O123" s="89"/>
      <x:c r="P123" s="89"/>
      <x:c r="Q123" s="89"/>
      <x:c r="R123" s="89"/>
      <x:c r="S123" s="89"/>
      <x:c r="T123" s="89"/>
      <x:c r="U123" s="89"/>
      <x:c r="V123" s="89"/>
      <x:c r="W123" s="89"/>
      <x:c r="X123" s="89"/>
      <x:c r="Y123" s="89"/>
      <x:c r="Z123" s="89"/>
    </x:row>
    <x:row r="124">
      <x:c r="A124" s="89"/>
      <x:c r="B124" s="89"/>
      <x:c r="C124" s="89"/>
      <x:c r="D124" s="89"/>
      <x:c r="E124" s="89"/>
      <x:c r="F124" s="89"/>
      <x:c r="G124" s="89"/>
      <x:c r="H124" s="89"/>
      <x:c r="I124" s="89"/>
      <x:c r="J124" s="89"/>
      <x:c r="K124" s="89"/>
      <x:c r="L124" s="89"/>
      <x:c r="M124" s="89"/>
      <x:c r="N124" s="89"/>
      <x:c r="O124" s="89"/>
      <x:c r="P124" s="89"/>
      <x:c r="Q124" s="89"/>
      <x:c r="R124" s="89"/>
      <x:c r="S124" s="89"/>
      <x:c r="T124" s="89"/>
      <x:c r="U124" s="89"/>
      <x:c r="V124" s="89"/>
      <x:c r="W124" s="89"/>
      <x:c r="X124" s="89"/>
      <x:c r="Y124" s="89"/>
      <x:c r="Z124" s="89"/>
    </x:row>
    <x:row r="125">
      <x:c r="A125" s="89"/>
      <x:c r="B125" s="89"/>
      <x:c r="C125" s="89"/>
      <x:c r="D125" s="89"/>
      <x:c r="E125" s="89"/>
      <x:c r="F125" s="89"/>
      <x:c r="G125" s="89"/>
      <x:c r="H125" s="89"/>
      <x:c r="I125" s="89"/>
      <x:c r="J125" s="89"/>
      <x:c r="K125" s="89"/>
      <x:c r="L125" s="89"/>
      <x:c r="M125" s="89"/>
      <x:c r="N125" s="89"/>
      <x:c r="O125" s="89"/>
      <x:c r="P125" s="89"/>
      <x:c r="Q125" s="89"/>
      <x:c r="R125" s="89"/>
      <x:c r="S125" s="89"/>
      <x:c r="T125" s="89"/>
      <x:c r="U125" s="89"/>
      <x:c r="V125" s="89"/>
      <x:c r="W125" s="89"/>
      <x:c r="X125" s="89"/>
      <x:c r="Y125" s="89"/>
      <x:c r="Z125" s="89"/>
    </x:row>
    <x:row r="126">
      <x:c r="A126" s="89"/>
      <x:c r="B126" s="89"/>
      <x:c r="C126" s="89"/>
      <x:c r="D126" s="89"/>
      <x:c r="E126" s="89"/>
      <x:c r="F126" s="89"/>
      <x:c r="G126" s="89"/>
      <x:c r="H126" s="89"/>
      <x:c r="I126" s="89"/>
      <x:c r="J126" s="89"/>
      <x:c r="K126" s="89"/>
      <x:c r="L126" s="89"/>
      <x:c r="M126" s="89"/>
      <x:c r="N126" s="89"/>
      <x:c r="O126" s="89"/>
      <x:c r="P126" s="89"/>
      <x:c r="Q126" s="89"/>
      <x:c r="R126" s="89"/>
      <x:c r="S126" s="89"/>
      <x:c r="T126" s="89"/>
      <x:c r="U126" s="89"/>
      <x:c r="V126" s="89"/>
      <x:c r="W126" s="89"/>
      <x:c r="X126" s="89"/>
      <x:c r="Y126" s="89"/>
      <x:c r="Z126" s="89"/>
    </x:row>
    <x:row r="127">
      <x:c r="A127" s="89"/>
      <x:c r="B127" s="89"/>
      <x:c r="C127" s="89"/>
      <x:c r="D127" s="89"/>
      <x:c r="E127" s="89"/>
      <x:c r="F127" s="89"/>
      <x:c r="G127" s="89"/>
      <x:c r="H127" s="89"/>
      <x:c r="I127" s="89"/>
      <x:c r="J127" s="89"/>
      <x:c r="K127" s="89"/>
      <x:c r="L127" s="89"/>
      <x:c r="M127" s="89"/>
      <x:c r="N127" s="89"/>
      <x:c r="O127" s="89"/>
      <x:c r="P127" s="89"/>
      <x:c r="Q127" s="89"/>
      <x:c r="R127" s="89"/>
      <x:c r="S127" s="89"/>
      <x:c r="T127" s="89"/>
      <x:c r="U127" s="89"/>
      <x:c r="V127" s="89"/>
      <x:c r="W127" s="89"/>
      <x:c r="X127" s="89"/>
      <x:c r="Y127" s="89"/>
      <x:c r="Z127" s="89"/>
    </x:row>
    <x:row r="128">
      <x:c r="A128" s="89"/>
      <x:c r="B128" s="89"/>
      <x:c r="C128" s="89"/>
      <x:c r="D128" s="89"/>
      <x:c r="E128" s="89"/>
      <x:c r="F128" s="89"/>
      <x:c r="G128" s="89"/>
      <x:c r="H128" s="89"/>
      <x:c r="I128" s="89"/>
      <x:c r="J128" s="89"/>
      <x:c r="K128" s="89"/>
      <x:c r="L128" s="89"/>
      <x:c r="M128" s="89"/>
      <x:c r="N128" s="89"/>
      <x:c r="O128" s="89"/>
      <x:c r="P128" s="89"/>
      <x:c r="Q128" s="89"/>
      <x:c r="R128" s="89"/>
      <x:c r="S128" s="89"/>
      <x:c r="T128" s="89"/>
      <x:c r="U128" s="89"/>
      <x:c r="V128" s="89"/>
      <x:c r="W128" s="89"/>
      <x:c r="X128" s="89"/>
      <x:c r="Y128" s="89"/>
      <x:c r="Z128" s="89"/>
    </x:row>
    <x:row r="129">
      <x:c r="A129" s="89"/>
      <x:c r="B129" s="89"/>
      <x:c r="C129" s="89"/>
      <x:c r="D129" s="89"/>
      <x:c r="E129" s="89"/>
      <x:c r="F129" s="89"/>
      <x:c r="G129" s="89"/>
      <x:c r="H129" s="89"/>
      <x:c r="I129" s="89"/>
      <x:c r="J129" s="89"/>
      <x:c r="K129" s="89"/>
      <x:c r="L129" s="89"/>
      <x:c r="M129" s="89"/>
      <x:c r="N129" s="89"/>
      <x:c r="O129" s="89"/>
      <x:c r="P129" s="89"/>
      <x:c r="Q129" s="89"/>
      <x:c r="R129" s="89"/>
      <x:c r="S129" s="89"/>
      <x:c r="T129" s="89"/>
      <x:c r="U129" s="89"/>
      <x:c r="V129" s="89"/>
      <x:c r="W129" s="89"/>
      <x:c r="X129" s="89"/>
      <x:c r="Y129" s="89"/>
      <x:c r="Z129" s="89"/>
    </x:row>
    <x:row r="130">
      <x:c r="A130" s="89"/>
      <x:c r="B130" s="89"/>
      <x:c r="C130" s="89"/>
      <x:c r="D130" s="89"/>
      <x:c r="E130" s="89"/>
      <x:c r="F130" s="89"/>
      <x:c r="G130" s="89"/>
      <x:c r="H130" s="89"/>
      <x:c r="I130" s="89"/>
      <x:c r="J130" s="89"/>
      <x:c r="K130" s="89"/>
      <x:c r="L130" s="89"/>
      <x:c r="M130" s="89"/>
      <x:c r="N130" s="89"/>
      <x:c r="O130" s="89"/>
      <x:c r="P130" s="89"/>
      <x:c r="Q130" s="89"/>
      <x:c r="R130" s="89"/>
      <x:c r="S130" s="89"/>
      <x:c r="T130" s="89"/>
      <x:c r="U130" s="89"/>
      <x:c r="V130" s="89"/>
      <x:c r="W130" s="89"/>
      <x:c r="X130" s="89"/>
      <x:c r="Y130" s="89"/>
      <x:c r="Z130" s="89"/>
    </x:row>
    <x:row r="131">
      <x:c r="A131" s="89"/>
      <x:c r="B131" s="89"/>
      <x:c r="C131" s="89"/>
      <x:c r="D131" s="89"/>
      <x:c r="E131" s="89"/>
      <x:c r="F131" s="89"/>
      <x:c r="G131" s="89"/>
      <x:c r="H131" s="89"/>
      <x:c r="I131" s="89"/>
      <x:c r="J131" s="89"/>
      <x:c r="K131" s="89"/>
      <x:c r="L131" s="89"/>
      <x:c r="M131" s="89"/>
      <x:c r="N131" s="89"/>
      <x:c r="O131" s="89"/>
      <x:c r="P131" s="89"/>
      <x:c r="Q131" s="89"/>
      <x:c r="R131" s="89"/>
      <x:c r="S131" s="89"/>
      <x:c r="T131" s="89"/>
      <x:c r="U131" s="89"/>
      <x:c r="V131" s="89"/>
      <x:c r="W131" s="89"/>
      <x:c r="X131" s="89"/>
      <x:c r="Y131" s="89"/>
      <x:c r="Z131" s="89"/>
    </x:row>
    <x:row r="132">
      <x:c r="A132" s="89"/>
      <x:c r="B132" s="89"/>
      <x:c r="C132" s="89"/>
      <x:c r="D132" s="89"/>
      <x:c r="E132" s="89"/>
      <x:c r="F132" s="89"/>
      <x:c r="G132" s="89"/>
      <x:c r="H132" s="89"/>
      <x:c r="I132" s="89"/>
      <x:c r="J132" s="89"/>
      <x:c r="K132" s="89"/>
      <x:c r="L132" s="89"/>
      <x:c r="M132" s="89"/>
      <x:c r="N132" s="89"/>
      <x:c r="O132" s="89"/>
      <x:c r="P132" s="89"/>
      <x:c r="Q132" s="89"/>
      <x:c r="R132" s="89"/>
      <x:c r="S132" s="89"/>
      <x:c r="T132" s="89"/>
      <x:c r="U132" s="89"/>
      <x:c r="V132" s="89"/>
      <x:c r="W132" s="89"/>
      <x:c r="X132" s="89"/>
      <x:c r="Y132" s="89"/>
      <x:c r="Z132" s="89"/>
    </x:row>
    <x:row r="133">
      <x:c r="A133" s="89"/>
      <x:c r="B133" s="89"/>
      <x:c r="C133" s="89"/>
      <x:c r="D133" s="89"/>
      <x:c r="E133" s="89"/>
      <x:c r="F133" s="89"/>
      <x:c r="G133" s="89"/>
      <x:c r="H133" s="89"/>
      <x:c r="I133" s="89"/>
      <x:c r="J133" s="89"/>
      <x:c r="K133" s="89"/>
      <x:c r="L133" s="89"/>
      <x:c r="M133" s="89"/>
      <x:c r="N133" s="89"/>
      <x:c r="O133" s="89"/>
      <x:c r="P133" s="89"/>
      <x:c r="Q133" s="89"/>
      <x:c r="R133" s="89"/>
      <x:c r="S133" s="89"/>
      <x:c r="T133" s="89"/>
      <x:c r="U133" s="89"/>
      <x:c r="V133" s="89"/>
      <x:c r="W133" s="89"/>
      <x:c r="X133" s="89"/>
      <x:c r="Y133" s="89"/>
      <x:c r="Z133" s="89"/>
    </x:row>
    <x:row r="134">
      <x:c r="A134" s="89"/>
      <x:c r="B134" s="89"/>
      <x:c r="C134" s="89"/>
      <x:c r="D134" s="89"/>
      <x:c r="E134" s="89"/>
      <x:c r="F134" s="89"/>
      <x:c r="G134" s="89"/>
      <x:c r="H134" s="89"/>
      <x:c r="I134" s="89"/>
      <x:c r="J134" s="89"/>
      <x:c r="K134" s="89"/>
      <x:c r="L134" s="89"/>
      <x:c r="M134" s="89"/>
      <x:c r="N134" s="89"/>
      <x:c r="O134" s="89"/>
      <x:c r="P134" s="89"/>
      <x:c r="Q134" s="89"/>
      <x:c r="R134" s="89"/>
      <x:c r="S134" s="89"/>
      <x:c r="T134" s="89"/>
      <x:c r="U134" s="89"/>
      <x:c r="V134" s="89"/>
      <x:c r="W134" s="89"/>
      <x:c r="X134" s="89"/>
      <x:c r="Y134" s="89"/>
      <x:c r="Z134" s="89"/>
    </x:row>
    <x:row r="135">
      <x:c r="A135" s="89"/>
      <x:c r="B135" s="89"/>
      <x:c r="C135" s="89"/>
      <x:c r="D135" s="89"/>
      <x:c r="E135" s="89"/>
      <x:c r="F135" s="89"/>
      <x:c r="G135" s="89"/>
      <x:c r="H135" s="89"/>
      <x:c r="I135" s="89"/>
      <x:c r="J135" s="89"/>
      <x:c r="K135" s="89"/>
      <x:c r="L135" s="89"/>
      <x:c r="M135" s="89"/>
      <x:c r="N135" s="89"/>
      <x:c r="O135" s="89"/>
      <x:c r="P135" s="89"/>
      <x:c r="Q135" s="89"/>
      <x:c r="R135" s="89"/>
      <x:c r="S135" s="89"/>
      <x:c r="T135" s="89"/>
      <x:c r="U135" s="89"/>
      <x:c r="V135" s="89"/>
      <x:c r="W135" s="89"/>
      <x:c r="X135" s="89"/>
      <x:c r="Y135" s="89"/>
      <x:c r="Z135" s="89"/>
    </x:row>
    <x:row r="136">
      <x:c r="A136" s="89"/>
      <x:c r="B136" s="89"/>
      <x:c r="C136" s="89"/>
      <x:c r="D136" s="89"/>
      <x:c r="E136" s="89"/>
      <x:c r="F136" s="89"/>
      <x:c r="G136" s="89"/>
      <x:c r="H136" s="89"/>
      <x:c r="I136" s="89"/>
      <x:c r="J136" s="89"/>
      <x:c r="K136" s="89"/>
      <x:c r="L136" s="89"/>
      <x:c r="M136" s="89"/>
      <x:c r="N136" s="89"/>
      <x:c r="O136" s="89"/>
      <x:c r="P136" s="89"/>
      <x:c r="Q136" s="89"/>
      <x:c r="R136" s="89"/>
      <x:c r="S136" s="89"/>
      <x:c r="T136" s="89"/>
      <x:c r="U136" s="89"/>
      <x:c r="V136" s="89"/>
      <x:c r="W136" s="89"/>
      <x:c r="X136" s="89"/>
      <x:c r="Y136" s="89"/>
      <x:c r="Z136" s="89"/>
    </x:row>
    <x:row r="137">
      <x:c r="A137" s="89"/>
      <x:c r="B137" s="89"/>
      <x:c r="C137" s="89"/>
      <x:c r="D137" s="89"/>
      <x:c r="E137" s="89"/>
      <x:c r="F137" s="89"/>
      <x:c r="G137" s="89"/>
      <x:c r="H137" s="89"/>
      <x:c r="I137" s="89"/>
      <x:c r="J137" s="89"/>
      <x:c r="K137" s="89"/>
      <x:c r="L137" s="89"/>
      <x:c r="M137" s="89"/>
      <x:c r="N137" s="89"/>
      <x:c r="O137" s="89"/>
      <x:c r="P137" s="89"/>
      <x:c r="Q137" s="89"/>
      <x:c r="R137" s="89"/>
      <x:c r="S137" s="89"/>
      <x:c r="T137" s="89"/>
      <x:c r="U137" s="89"/>
      <x:c r="V137" s="89"/>
      <x:c r="W137" s="89"/>
      <x:c r="X137" s="89"/>
      <x:c r="Y137" s="89"/>
      <x:c r="Z137" s="89"/>
    </x:row>
    <x:row r="138">
      <x:c r="A138" s="89"/>
      <x:c r="B138" s="89"/>
      <x:c r="C138" s="89"/>
      <x:c r="D138" s="89"/>
      <x:c r="E138" s="89"/>
      <x:c r="F138" s="89"/>
      <x:c r="G138" s="89"/>
      <x:c r="H138" s="89"/>
      <x:c r="I138" s="89"/>
      <x:c r="J138" s="89"/>
      <x:c r="K138" s="89"/>
      <x:c r="L138" s="89"/>
      <x:c r="M138" s="89"/>
      <x:c r="N138" s="89"/>
      <x:c r="O138" s="89"/>
      <x:c r="P138" s="89"/>
      <x:c r="Q138" s="89"/>
      <x:c r="R138" s="89"/>
      <x:c r="S138" s="89"/>
      <x:c r="T138" s="89"/>
      <x:c r="U138" s="89"/>
      <x:c r="V138" s="89"/>
      <x:c r="W138" s="89"/>
      <x:c r="X138" s="89"/>
      <x:c r="Y138" s="89"/>
      <x:c r="Z138" s="89"/>
    </x:row>
    <x:row r="139">
      <x:c r="A139" s="89"/>
      <x:c r="B139" s="89"/>
      <x:c r="C139" s="89"/>
      <x:c r="D139" s="89"/>
      <x:c r="E139" s="89"/>
      <x:c r="F139" s="89"/>
      <x:c r="G139" s="89"/>
      <x:c r="H139" s="89"/>
      <x:c r="I139" s="89"/>
      <x:c r="J139" s="89"/>
      <x:c r="K139" s="89"/>
      <x:c r="L139" s="89"/>
      <x:c r="M139" s="89"/>
      <x:c r="N139" s="89"/>
      <x:c r="O139" s="89"/>
      <x:c r="P139" s="89"/>
      <x:c r="Q139" s="89"/>
      <x:c r="R139" s="89"/>
      <x:c r="S139" s="89"/>
      <x:c r="T139" s="89"/>
      <x:c r="U139" s="89"/>
      <x:c r="V139" s="89"/>
      <x:c r="W139" s="89"/>
      <x:c r="X139" s="89"/>
      <x:c r="Y139" s="89"/>
      <x:c r="Z139" s="89"/>
    </x:row>
    <x:row r="140">
      <x:c r="A140" s="89"/>
      <x:c r="B140" s="89"/>
      <x:c r="C140" s="89"/>
      <x:c r="D140" s="89"/>
      <x:c r="E140" s="89"/>
      <x:c r="F140" s="89"/>
      <x:c r="G140" s="89"/>
      <x:c r="H140" s="89"/>
      <x:c r="I140" s="89"/>
      <x:c r="J140" s="89"/>
      <x:c r="K140" s="89"/>
      <x:c r="L140" s="89"/>
      <x:c r="M140" s="89"/>
      <x:c r="N140" s="89"/>
      <x:c r="O140" s="89"/>
      <x:c r="P140" s="89"/>
      <x:c r="Q140" s="89"/>
      <x:c r="R140" s="89"/>
      <x:c r="S140" s="89"/>
      <x:c r="T140" s="89"/>
      <x:c r="U140" s="89"/>
      <x:c r="V140" s="89"/>
      <x:c r="W140" s="89"/>
      <x:c r="X140" s="89"/>
      <x:c r="Y140" s="89"/>
      <x:c r="Z140" s="89"/>
    </x:row>
    <x:row r="141">
      <x:c r="A141" s="89"/>
      <x:c r="B141" s="89"/>
      <x:c r="C141" s="89"/>
      <x:c r="D141" s="89"/>
      <x:c r="E141" s="89"/>
      <x:c r="F141" s="89"/>
      <x:c r="G141" s="89"/>
      <x:c r="H141" s="89"/>
      <x:c r="I141" s="89"/>
      <x:c r="J141" s="89"/>
      <x:c r="K141" s="89"/>
      <x:c r="L141" s="89"/>
      <x:c r="M141" s="89"/>
      <x:c r="N141" s="89"/>
      <x:c r="O141" s="89"/>
      <x:c r="P141" s="89"/>
      <x:c r="Q141" s="89"/>
      <x:c r="R141" s="89"/>
      <x:c r="S141" s="89"/>
      <x:c r="T141" s="89"/>
      <x:c r="U141" s="89"/>
      <x:c r="V141" s="89"/>
      <x:c r="W141" s="89"/>
      <x:c r="X141" s="89"/>
      <x:c r="Y141" s="89"/>
      <x:c r="Z141" s="89"/>
    </x:row>
    <x:row r="142">
      <x:c r="A142" s="89"/>
      <x:c r="B142" s="89"/>
      <x:c r="C142" s="89"/>
      <x:c r="D142" s="89"/>
      <x:c r="E142" s="89"/>
      <x:c r="F142" s="89"/>
      <x:c r="G142" s="89"/>
      <x:c r="H142" s="89"/>
      <x:c r="I142" s="89"/>
      <x:c r="J142" s="89"/>
      <x:c r="K142" s="89"/>
      <x:c r="L142" s="89"/>
      <x:c r="M142" s="89"/>
      <x:c r="N142" s="89"/>
      <x:c r="O142" s="89"/>
      <x:c r="P142" s="89"/>
      <x:c r="Q142" s="89"/>
      <x:c r="R142" s="89"/>
      <x:c r="S142" s="89"/>
      <x:c r="T142" s="89"/>
      <x:c r="U142" s="89"/>
      <x:c r="V142" s="89"/>
      <x:c r="W142" s="89"/>
      <x:c r="X142" s="89"/>
      <x:c r="Y142" s="89"/>
      <x:c r="Z142" s="89"/>
    </x:row>
    <x:row r="143">
      <x:c r="A143" s="89"/>
      <x:c r="B143" s="89"/>
      <x:c r="C143" s="89"/>
      <x:c r="D143" s="89"/>
      <x:c r="E143" s="89"/>
      <x:c r="F143" s="89"/>
      <x:c r="G143" s="89"/>
      <x:c r="H143" s="89"/>
      <x:c r="I143" s="89"/>
      <x:c r="J143" s="89"/>
      <x:c r="K143" s="89"/>
      <x:c r="L143" s="89"/>
      <x:c r="M143" s="89"/>
      <x:c r="N143" s="89"/>
      <x:c r="O143" s="89"/>
      <x:c r="P143" s="89"/>
      <x:c r="Q143" s="89"/>
      <x:c r="R143" s="89"/>
      <x:c r="S143" s="89"/>
      <x:c r="T143" s="89"/>
      <x:c r="U143" s="89"/>
      <x:c r="V143" s="89"/>
      <x:c r="W143" s="89"/>
      <x:c r="X143" s="89"/>
      <x:c r="Y143" s="89"/>
      <x:c r="Z143" s="89"/>
    </x:row>
    <x:row r="144">
      <x:c r="A144" s="89"/>
      <x:c r="B144" s="89"/>
      <x:c r="C144" s="89"/>
      <x:c r="D144" s="89"/>
      <x:c r="E144" s="89"/>
      <x:c r="F144" s="89"/>
      <x:c r="G144" s="89"/>
      <x:c r="H144" s="89"/>
      <x:c r="I144" s="89"/>
      <x:c r="J144" s="89"/>
      <x:c r="K144" s="89"/>
      <x:c r="L144" s="89"/>
      <x:c r="M144" s="89"/>
      <x:c r="N144" s="89"/>
      <x:c r="O144" s="89"/>
      <x:c r="P144" s="89"/>
      <x:c r="Q144" s="89"/>
      <x:c r="R144" s="89"/>
      <x:c r="S144" s="89"/>
      <x:c r="T144" s="89"/>
      <x:c r="U144" s="89"/>
      <x:c r="V144" s="89"/>
      <x:c r="W144" s="89"/>
      <x:c r="X144" s="89"/>
      <x:c r="Y144" s="89"/>
      <x:c r="Z144" s="89"/>
    </x:row>
    <x:row r="145">
      <x:c r="A145" s="89"/>
      <x:c r="B145" s="89"/>
      <x:c r="C145" s="89"/>
      <x:c r="D145" s="89"/>
      <x:c r="E145" s="89"/>
      <x:c r="F145" s="89"/>
      <x:c r="G145" s="89"/>
      <x:c r="H145" s="89"/>
      <x:c r="I145" s="89"/>
      <x:c r="J145" s="89"/>
      <x:c r="K145" s="89"/>
      <x:c r="L145" s="89"/>
      <x:c r="M145" s="89"/>
      <x:c r="N145" s="89"/>
      <x:c r="O145" s="89"/>
      <x:c r="P145" s="89"/>
      <x:c r="Q145" s="89"/>
      <x:c r="R145" s="89"/>
      <x:c r="S145" s="89"/>
      <x:c r="T145" s="89"/>
      <x:c r="U145" s="89"/>
      <x:c r="V145" s="89"/>
      <x:c r="W145" s="89"/>
      <x:c r="X145" s="89"/>
      <x:c r="Y145" s="89"/>
      <x:c r="Z145" s="89"/>
    </x:row>
    <x:row r="146">
      <x:c r="A146" s="89"/>
      <x:c r="B146" s="89"/>
      <x:c r="C146" s="89"/>
      <x:c r="D146" s="89"/>
      <x:c r="E146" s="89"/>
      <x:c r="F146" s="89"/>
      <x:c r="G146" s="89"/>
      <x:c r="H146" s="89"/>
      <x:c r="I146" s="89"/>
      <x:c r="J146" s="89"/>
      <x:c r="K146" s="89"/>
      <x:c r="L146" s="89"/>
      <x:c r="M146" s="89"/>
      <x:c r="N146" s="89"/>
      <x:c r="O146" s="89"/>
      <x:c r="P146" s="89"/>
      <x:c r="Q146" s="89"/>
      <x:c r="R146" s="89"/>
      <x:c r="S146" s="89"/>
      <x:c r="T146" s="89"/>
      <x:c r="U146" s="89"/>
      <x:c r="V146" s="89"/>
      <x:c r="W146" s="89"/>
      <x:c r="X146" s="89"/>
      <x:c r="Y146" s="89"/>
      <x:c r="Z146" s="89"/>
    </x:row>
    <x:row r="147">
      <x:c r="A147" s="89"/>
      <x:c r="B147" s="89"/>
      <x:c r="C147" s="89"/>
      <x:c r="D147" s="89"/>
      <x:c r="E147" s="89"/>
      <x:c r="F147" s="89"/>
      <x:c r="G147" s="89"/>
      <x:c r="H147" s="89"/>
      <x:c r="I147" s="89"/>
      <x:c r="J147" s="89"/>
      <x:c r="K147" s="89"/>
      <x:c r="L147" s="89"/>
      <x:c r="M147" s="89"/>
      <x:c r="N147" s="89"/>
      <x:c r="O147" s="89"/>
      <x:c r="P147" s="89"/>
      <x:c r="Q147" s="89"/>
      <x:c r="R147" s="89"/>
      <x:c r="S147" s="89"/>
      <x:c r="T147" s="89"/>
      <x:c r="U147" s="89"/>
      <x:c r="V147" s="89"/>
      <x:c r="W147" s="89"/>
      <x:c r="X147" s="89"/>
      <x:c r="Y147" s="89"/>
      <x:c r="Z147" s="89"/>
    </x:row>
    <x:row r="148">
      <x:c r="A148" s="89"/>
      <x:c r="B148" s="89"/>
      <x:c r="C148" s="89"/>
      <x:c r="D148" s="89"/>
      <x:c r="E148" s="89"/>
      <x:c r="F148" s="89"/>
      <x:c r="G148" s="89"/>
      <x:c r="H148" s="89"/>
      <x:c r="I148" s="89"/>
      <x:c r="J148" s="89"/>
      <x:c r="K148" s="89"/>
      <x:c r="L148" s="89"/>
      <x:c r="M148" s="89"/>
      <x:c r="N148" s="89"/>
      <x:c r="O148" s="89"/>
      <x:c r="P148" s="89"/>
      <x:c r="Q148" s="89"/>
      <x:c r="R148" s="89"/>
      <x:c r="S148" s="89"/>
      <x:c r="T148" s="89"/>
      <x:c r="U148" s="89"/>
      <x:c r="V148" s="89"/>
      <x:c r="W148" s="89"/>
      <x:c r="X148" s="89"/>
      <x:c r="Y148" s="89"/>
      <x:c r="Z148" s="89"/>
    </x:row>
    <x:row r="149">
      <x:c r="A149" s="89"/>
      <x:c r="B149" s="89"/>
      <x:c r="C149" s="89"/>
      <x:c r="D149" s="89"/>
      <x:c r="E149" s="89"/>
      <x:c r="F149" s="89"/>
      <x:c r="G149" s="89"/>
      <x:c r="H149" s="89"/>
      <x:c r="I149" s="89"/>
      <x:c r="J149" s="89"/>
      <x:c r="K149" s="89"/>
      <x:c r="L149" s="89"/>
      <x:c r="M149" s="89"/>
      <x:c r="N149" s="89"/>
      <x:c r="O149" s="89"/>
      <x:c r="P149" s="89"/>
      <x:c r="Q149" s="89"/>
      <x:c r="R149" s="89"/>
      <x:c r="S149" s="89"/>
      <x:c r="T149" s="89"/>
      <x:c r="U149" s="89"/>
      <x:c r="V149" s="89"/>
      <x:c r="W149" s="89"/>
      <x:c r="X149" s="89"/>
      <x:c r="Y149" s="89"/>
      <x:c r="Z149" s="89"/>
    </x:row>
    <x:row r="150">
      <x:c r="A150" s="89"/>
      <x:c r="B150" s="89"/>
      <x:c r="C150" s="89"/>
      <x:c r="D150" s="89"/>
      <x:c r="E150" s="89"/>
      <x:c r="F150" s="89"/>
      <x:c r="G150" s="89"/>
      <x:c r="H150" s="89"/>
      <x:c r="I150" s="89"/>
      <x:c r="J150" s="89"/>
      <x:c r="K150" s="89"/>
      <x:c r="L150" s="89"/>
      <x:c r="M150" s="89"/>
      <x:c r="N150" s="89"/>
      <x:c r="O150" s="89"/>
      <x:c r="P150" s="89"/>
      <x:c r="Q150" s="89"/>
      <x:c r="R150" s="89"/>
      <x:c r="S150" s="89"/>
      <x:c r="T150" s="89"/>
      <x:c r="U150" s="89"/>
      <x:c r="V150" s="89"/>
      <x:c r="W150" s="89"/>
      <x:c r="X150" s="89"/>
      <x:c r="Y150" s="89"/>
      <x:c r="Z150" s="89"/>
    </x:row>
    <x:row r="151">
      <x:c r="A151" s="89"/>
      <x:c r="B151" s="89"/>
      <x:c r="C151" s="89"/>
      <x:c r="D151" s="89"/>
      <x:c r="E151" s="89"/>
      <x:c r="F151" s="89"/>
      <x:c r="G151" s="89"/>
      <x:c r="H151" s="89"/>
      <x:c r="I151" s="89"/>
      <x:c r="J151" s="89"/>
      <x:c r="K151" s="89"/>
      <x:c r="L151" s="89"/>
      <x:c r="M151" s="89"/>
      <x:c r="N151" s="89"/>
      <x:c r="O151" s="89"/>
      <x:c r="P151" s="89"/>
      <x:c r="Q151" s="89"/>
      <x:c r="R151" s="89"/>
      <x:c r="S151" s="89"/>
      <x:c r="T151" s="89"/>
      <x:c r="U151" s="89"/>
      <x:c r="V151" s="89"/>
      <x:c r="W151" s="89"/>
      <x:c r="X151" s="89"/>
      <x:c r="Y151" s="89"/>
      <x:c r="Z151" s="89"/>
    </x:row>
    <x:row r="152">
      <x:c r="A152" s="89"/>
      <x:c r="B152" s="89"/>
      <x:c r="C152" s="89"/>
      <x:c r="D152" s="89"/>
      <x:c r="E152" s="89"/>
      <x:c r="F152" s="89"/>
      <x:c r="G152" s="89"/>
      <x:c r="H152" s="89"/>
      <x:c r="I152" s="89"/>
      <x:c r="J152" s="89"/>
      <x:c r="K152" s="89"/>
      <x:c r="L152" s="89"/>
      <x:c r="M152" s="89"/>
      <x:c r="N152" s="89"/>
      <x:c r="O152" s="89"/>
      <x:c r="P152" s="89"/>
      <x:c r="Q152" s="89"/>
      <x:c r="R152" s="89"/>
      <x:c r="S152" s="89"/>
      <x:c r="T152" s="89"/>
      <x:c r="U152" s="89"/>
      <x:c r="V152" s="89"/>
      <x:c r="W152" s="89"/>
      <x:c r="X152" s="89"/>
      <x:c r="Y152" s="89"/>
      <x:c r="Z152" s="89"/>
    </x:row>
    <x:row r="153">
      <x:c r="A153" s="89"/>
      <x:c r="B153" s="89"/>
      <x:c r="C153" s="89"/>
      <x:c r="D153" s="89"/>
      <x:c r="E153" s="89"/>
      <x:c r="F153" s="89"/>
      <x:c r="G153" s="89"/>
      <x:c r="H153" s="89"/>
      <x:c r="I153" s="89"/>
      <x:c r="J153" s="89"/>
      <x:c r="K153" s="89"/>
      <x:c r="L153" s="89"/>
      <x:c r="M153" s="89"/>
      <x:c r="N153" s="89"/>
      <x:c r="O153" s="89"/>
      <x:c r="P153" s="89"/>
      <x:c r="Q153" s="89"/>
      <x:c r="R153" s="89"/>
      <x:c r="S153" s="89"/>
      <x:c r="T153" s="89"/>
      <x:c r="U153" s="89"/>
      <x:c r="V153" s="89"/>
      <x:c r="W153" s="89"/>
      <x:c r="X153" s="89"/>
      <x:c r="Y153" s="89"/>
      <x:c r="Z153" s="89"/>
    </x:row>
    <x:row r="154">
      <x:c r="A154" s="89"/>
      <x:c r="B154" s="89"/>
      <x:c r="C154" s="89"/>
      <x:c r="D154" s="89"/>
      <x:c r="E154" s="89"/>
      <x:c r="F154" s="89"/>
      <x:c r="G154" s="89"/>
      <x:c r="H154" s="89"/>
      <x:c r="I154" s="89"/>
      <x:c r="J154" s="89"/>
      <x:c r="K154" s="89"/>
      <x:c r="L154" s="89"/>
      <x:c r="M154" s="89"/>
      <x:c r="N154" s="89"/>
      <x:c r="O154" s="89"/>
      <x:c r="P154" s="89"/>
      <x:c r="Q154" s="89"/>
      <x:c r="R154" s="89"/>
      <x:c r="S154" s="89"/>
      <x:c r="T154" s="89"/>
      <x:c r="U154" s="89"/>
      <x:c r="V154" s="89"/>
      <x:c r="W154" s="89"/>
      <x:c r="X154" s="89"/>
      <x:c r="Y154" s="89"/>
      <x:c r="Z154" s="89"/>
    </x:row>
    <x:row r="155">
      <x:c r="A155" s="89"/>
      <x:c r="B155" s="89"/>
      <x:c r="C155" s="89"/>
      <x:c r="D155" s="89"/>
      <x:c r="E155" s="89"/>
      <x:c r="F155" s="89"/>
      <x:c r="G155" s="89"/>
      <x:c r="H155" s="89"/>
      <x:c r="I155" s="89"/>
      <x:c r="J155" s="89"/>
      <x:c r="K155" s="89"/>
      <x:c r="L155" s="89"/>
      <x:c r="M155" s="89"/>
      <x:c r="N155" s="89"/>
      <x:c r="O155" s="89"/>
      <x:c r="P155" s="89"/>
      <x:c r="Q155" s="89"/>
      <x:c r="R155" s="89"/>
      <x:c r="S155" s="89"/>
      <x:c r="T155" s="89"/>
      <x:c r="U155" s="89"/>
      <x:c r="V155" s="89"/>
      <x:c r="W155" s="89"/>
      <x:c r="X155" s="89"/>
      <x:c r="Y155" s="89"/>
      <x:c r="Z155" s="89"/>
    </x:row>
    <x:row r="156">
      <x:c r="A156" s="89"/>
      <x:c r="B156" s="89"/>
      <x:c r="C156" s="89"/>
      <x:c r="D156" s="89"/>
      <x:c r="E156" s="89"/>
      <x:c r="F156" s="89"/>
      <x:c r="G156" s="89"/>
      <x:c r="H156" s="89"/>
      <x:c r="I156" s="89"/>
      <x:c r="J156" s="89"/>
      <x:c r="K156" s="89"/>
      <x:c r="L156" s="89"/>
      <x:c r="M156" s="89"/>
      <x:c r="N156" s="89"/>
      <x:c r="O156" s="89"/>
      <x:c r="P156" s="89"/>
      <x:c r="Q156" s="89"/>
      <x:c r="R156" s="89"/>
      <x:c r="S156" s="89"/>
      <x:c r="T156" s="89"/>
      <x:c r="U156" s="89"/>
      <x:c r="V156" s="89"/>
      <x:c r="W156" s="89"/>
      <x:c r="X156" s="89"/>
      <x:c r="Y156" s="89"/>
      <x:c r="Z156" s="89"/>
    </x:row>
    <x:row r="157">
      <x:c r="A157" s="89"/>
      <x:c r="B157" s="89"/>
      <x:c r="C157" s="89"/>
      <x:c r="D157" s="89"/>
      <x:c r="E157" s="89"/>
      <x:c r="F157" s="89"/>
      <x:c r="G157" s="89"/>
      <x:c r="H157" s="89"/>
      <x:c r="I157" s="89"/>
      <x:c r="J157" s="89"/>
      <x:c r="K157" s="89"/>
      <x:c r="L157" s="89"/>
      <x:c r="M157" s="89"/>
      <x:c r="N157" s="89"/>
      <x:c r="O157" s="89"/>
      <x:c r="P157" s="89"/>
      <x:c r="Q157" s="89"/>
      <x:c r="R157" s="89"/>
      <x:c r="S157" s="89"/>
      <x:c r="T157" s="89"/>
      <x:c r="U157" s="89"/>
      <x:c r="V157" s="89"/>
      <x:c r="W157" s="89"/>
      <x:c r="X157" s="89"/>
      <x:c r="Y157" s="89"/>
      <x:c r="Z157" s="89"/>
    </x:row>
    <x:row r="158">
      <x:c r="A158" s="89"/>
      <x:c r="B158" s="89"/>
      <x:c r="C158" s="89"/>
      <x:c r="D158" s="89"/>
      <x:c r="E158" s="89"/>
      <x:c r="F158" s="89"/>
      <x:c r="G158" s="89"/>
      <x:c r="H158" s="89"/>
      <x:c r="I158" s="89"/>
      <x:c r="J158" s="89"/>
      <x:c r="K158" s="89"/>
      <x:c r="L158" s="89"/>
      <x:c r="M158" s="89"/>
      <x:c r="N158" s="89"/>
      <x:c r="O158" s="89"/>
      <x:c r="P158" s="89"/>
      <x:c r="Q158" s="89"/>
      <x:c r="R158" s="89"/>
      <x:c r="S158" s="89"/>
      <x:c r="T158" s="89"/>
      <x:c r="U158" s="89"/>
      <x:c r="V158" s="89"/>
      <x:c r="W158" s="89"/>
      <x:c r="X158" s="89"/>
      <x:c r="Y158" s="89"/>
      <x:c r="Z158" s="89"/>
    </x:row>
    <x:row r="159">
      <x:c r="A159" s="89"/>
      <x:c r="B159" s="89"/>
      <x:c r="C159" s="89"/>
      <x:c r="D159" s="89"/>
      <x:c r="E159" s="89"/>
      <x:c r="F159" s="89"/>
      <x:c r="G159" s="89"/>
      <x:c r="H159" s="89"/>
      <x:c r="I159" s="89"/>
      <x:c r="J159" s="89"/>
      <x:c r="K159" s="89"/>
      <x:c r="L159" s="89"/>
      <x:c r="M159" s="89"/>
      <x:c r="N159" s="89"/>
      <x:c r="O159" s="89"/>
      <x:c r="P159" s="89"/>
      <x:c r="Q159" s="89"/>
      <x:c r="R159" s="89"/>
      <x:c r="S159" s="89"/>
      <x:c r="T159" s="89"/>
      <x:c r="U159" s="89"/>
      <x:c r="V159" s="89"/>
      <x:c r="W159" s="89"/>
      <x:c r="X159" s="89"/>
      <x:c r="Y159" s="89"/>
      <x:c r="Z159" s="89"/>
    </x:row>
    <x:row r="160">
      <x:c r="A160" s="89"/>
      <x:c r="B160" s="89"/>
      <x:c r="C160" s="89"/>
      <x:c r="D160" s="89"/>
      <x:c r="E160" s="89"/>
      <x:c r="F160" s="89"/>
      <x:c r="G160" s="89"/>
      <x:c r="H160" s="89"/>
      <x:c r="I160" s="89"/>
      <x:c r="J160" s="89"/>
      <x:c r="K160" s="89"/>
      <x:c r="L160" s="89"/>
      <x:c r="M160" s="89"/>
      <x:c r="N160" s="89"/>
      <x:c r="O160" s="89"/>
      <x:c r="P160" s="89"/>
      <x:c r="Q160" s="89"/>
      <x:c r="R160" s="89"/>
      <x:c r="S160" s="89"/>
      <x:c r="T160" s="89"/>
      <x:c r="U160" s="89"/>
      <x:c r="V160" s="89"/>
      <x:c r="W160" s="89"/>
      <x:c r="X160" s="89"/>
      <x:c r="Y160" s="89"/>
      <x:c r="Z160" s="89"/>
    </x:row>
    <x:row r="161">
      <x:c r="A161" s="89"/>
      <x:c r="B161" s="89"/>
      <x:c r="C161" s="89"/>
      <x:c r="D161" s="89"/>
      <x:c r="E161" s="89"/>
      <x:c r="F161" s="89"/>
      <x:c r="G161" s="89"/>
      <x:c r="H161" s="89"/>
      <x:c r="I161" s="89"/>
      <x:c r="J161" s="89"/>
      <x:c r="K161" s="89"/>
      <x:c r="L161" s="89"/>
      <x:c r="M161" s="89"/>
      <x:c r="N161" s="89"/>
      <x:c r="O161" s="89"/>
      <x:c r="P161" s="89"/>
      <x:c r="Q161" s="89"/>
      <x:c r="R161" s="89"/>
      <x:c r="S161" s="89"/>
      <x:c r="T161" s="89"/>
      <x:c r="U161" s="89"/>
      <x:c r="V161" s="89"/>
      <x:c r="W161" s="89"/>
      <x:c r="X161" s="89"/>
      <x:c r="Y161" s="89"/>
      <x:c r="Z161" s="89"/>
    </x:row>
    <x:row r="162">
      <x:c r="A162" s="89"/>
      <x:c r="B162" s="89"/>
      <x:c r="C162" s="89"/>
      <x:c r="D162" s="89"/>
      <x:c r="E162" s="89"/>
      <x:c r="F162" s="89"/>
      <x:c r="G162" s="89"/>
      <x:c r="H162" s="89"/>
      <x:c r="I162" s="89"/>
      <x:c r="J162" s="89"/>
      <x:c r="K162" s="89"/>
      <x:c r="L162" s="89"/>
      <x:c r="M162" s="89"/>
      <x:c r="N162" s="89"/>
      <x:c r="O162" s="89"/>
      <x:c r="P162" s="89"/>
      <x:c r="Q162" s="89"/>
      <x:c r="R162" s="89"/>
      <x:c r="S162" s="89"/>
      <x:c r="T162" s="89"/>
      <x:c r="U162" s="89"/>
      <x:c r="V162" s="89"/>
      <x:c r="W162" s="89"/>
      <x:c r="X162" s="89"/>
      <x:c r="Y162" s="89"/>
      <x:c r="Z162" s="89"/>
    </x:row>
    <x:row r="163">
      <x:c r="A163" s="89"/>
      <x:c r="B163" s="89"/>
      <x:c r="C163" s="89"/>
      <x:c r="D163" s="89"/>
      <x:c r="E163" s="89"/>
      <x:c r="F163" s="89"/>
      <x:c r="G163" s="89"/>
      <x:c r="H163" s="89"/>
      <x:c r="I163" s="89"/>
      <x:c r="J163" s="89"/>
      <x:c r="K163" s="89"/>
      <x:c r="L163" s="89"/>
      <x:c r="M163" s="89"/>
      <x:c r="N163" s="89"/>
      <x:c r="O163" s="89"/>
      <x:c r="P163" s="89"/>
      <x:c r="Q163" s="89"/>
      <x:c r="R163" s="89"/>
      <x:c r="S163" s="89"/>
      <x:c r="T163" s="89"/>
      <x:c r="U163" s="89"/>
      <x:c r="V163" s="89"/>
      <x:c r="W163" s="89"/>
      <x:c r="X163" s="89"/>
      <x:c r="Y163" s="89"/>
      <x:c r="Z163" s="89"/>
    </x:row>
    <x:row r="164">
      <x:c r="A164" s="89"/>
      <x:c r="B164" s="89"/>
      <x:c r="C164" s="89"/>
      <x:c r="D164" s="89"/>
      <x:c r="E164" s="89"/>
      <x:c r="F164" s="89"/>
      <x:c r="G164" s="89"/>
      <x:c r="H164" s="89"/>
      <x:c r="I164" s="89"/>
      <x:c r="J164" s="89"/>
      <x:c r="K164" s="89"/>
      <x:c r="L164" s="89"/>
      <x:c r="M164" s="89"/>
      <x:c r="N164" s="89"/>
      <x:c r="O164" s="89"/>
      <x:c r="P164" s="89"/>
      <x:c r="Q164" s="89"/>
      <x:c r="R164" s="89"/>
      <x:c r="S164" s="89"/>
      <x:c r="T164" s="89"/>
      <x:c r="U164" s="89"/>
      <x:c r="V164" s="89"/>
      <x:c r="W164" s="89"/>
      <x:c r="X164" s="89"/>
      <x:c r="Y164" s="89"/>
      <x:c r="Z164" s="89"/>
    </x:row>
    <x:row r="165">
      <x:c r="A165" s="89"/>
      <x:c r="B165" s="89"/>
      <x:c r="C165" s="89"/>
      <x:c r="D165" s="89"/>
      <x:c r="E165" s="89"/>
      <x:c r="F165" s="89"/>
      <x:c r="G165" s="89"/>
      <x:c r="H165" s="89"/>
      <x:c r="I165" s="89"/>
      <x:c r="J165" s="89"/>
      <x:c r="K165" s="89"/>
      <x:c r="L165" s="89"/>
      <x:c r="M165" s="89"/>
      <x:c r="N165" s="89"/>
      <x:c r="O165" s="89"/>
      <x:c r="P165" s="89"/>
      <x:c r="Q165" s="89"/>
      <x:c r="R165" s="89"/>
      <x:c r="S165" s="89"/>
      <x:c r="T165" s="89"/>
      <x:c r="U165" s="89"/>
      <x:c r="V165" s="89"/>
      <x:c r="W165" s="89"/>
      <x:c r="X165" s="89"/>
      <x:c r="Y165" s="89"/>
      <x:c r="Z165" s="89"/>
    </x:row>
    <x:row r="166">
      <x:c r="A166" s="89"/>
      <x:c r="B166" s="89"/>
      <x:c r="C166" s="89"/>
      <x:c r="D166" s="89"/>
      <x:c r="E166" s="89"/>
      <x:c r="F166" s="89"/>
      <x:c r="G166" s="89"/>
      <x:c r="H166" s="89"/>
      <x:c r="I166" s="89"/>
      <x:c r="J166" s="89"/>
      <x:c r="K166" s="89"/>
      <x:c r="L166" s="89"/>
      <x:c r="M166" s="89"/>
      <x:c r="N166" s="89"/>
      <x:c r="O166" s="89"/>
      <x:c r="P166" s="89"/>
      <x:c r="Q166" s="89"/>
      <x:c r="R166" s="89"/>
      <x:c r="S166" s="89"/>
      <x:c r="T166" s="89"/>
      <x:c r="U166" s="89"/>
      <x:c r="V166" s="89"/>
      <x:c r="W166" s="89"/>
      <x:c r="X166" s="89"/>
      <x:c r="Y166" s="89"/>
      <x:c r="Z166" s="89"/>
    </x:row>
    <x:row r="167">
      <x:c r="A167" s="89"/>
      <x:c r="B167" s="89"/>
      <x:c r="C167" s="89"/>
      <x:c r="D167" s="89"/>
      <x:c r="E167" s="89"/>
      <x:c r="F167" s="89"/>
      <x:c r="G167" s="89"/>
      <x:c r="H167" s="89"/>
      <x:c r="I167" s="89"/>
      <x:c r="J167" s="89"/>
      <x:c r="K167" s="89"/>
      <x:c r="L167" s="89"/>
      <x:c r="M167" s="89"/>
      <x:c r="N167" s="89"/>
      <x:c r="O167" s="89"/>
      <x:c r="P167" s="89"/>
      <x:c r="Q167" s="89"/>
      <x:c r="R167" s="89"/>
      <x:c r="S167" s="89"/>
      <x:c r="T167" s="89"/>
      <x:c r="U167" s="89"/>
      <x:c r="V167" s="89"/>
      <x:c r="W167" s="89"/>
      <x:c r="X167" s="89"/>
      <x:c r="Y167" s="89"/>
      <x:c r="Z167" s="89"/>
    </x:row>
    <x:row r="168">
      <x:c r="A168" s="89"/>
      <x:c r="B168" s="89"/>
      <x:c r="C168" s="89"/>
      <x:c r="D168" s="89"/>
      <x:c r="E168" s="89"/>
      <x:c r="F168" s="89"/>
      <x:c r="G168" s="89"/>
      <x:c r="H168" s="89"/>
      <x:c r="I168" s="89"/>
      <x:c r="J168" s="89"/>
      <x:c r="K168" s="89"/>
      <x:c r="L168" s="89"/>
      <x:c r="M168" s="89"/>
      <x:c r="N168" s="89"/>
      <x:c r="O168" s="89"/>
      <x:c r="P168" s="89"/>
      <x:c r="Q168" s="89"/>
      <x:c r="R168" s="89"/>
      <x:c r="S168" s="89"/>
      <x:c r="T168" s="89"/>
      <x:c r="U168" s="89"/>
      <x:c r="V168" s="89"/>
      <x:c r="W168" s="89"/>
      <x:c r="X168" s="89"/>
      <x:c r="Y168" s="89"/>
      <x:c r="Z168" s="89"/>
    </x:row>
    <x:row r="169">
      <x:c r="A169" s="89"/>
      <x:c r="B169" s="89"/>
      <x:c r="C169" s="89"/>
      <x:c r="D169" s="89"/>
      <x:c r="E169" s="89"/>
      <x:c r="F169" s="89"/>
      <x:c r="G169" s="89"/>
      <x:c r="H169" s="89"/>
      <x:c r="I169" s="89"/>
      <x:c r="J169" s="89"/>
      <x:c r="K169" s="89"/>
      <x:c r="L169" s="89"/>
      <x:c r="M169" s="89"/>
      <x:c r="N169" s="89"/>
      <x:c r="O169" s="89"/>
      <x:c r="P169" s="89"/>
      <x:c r="Q169" s="89"/>
      <x:c r="R169" s="89"/>
      <x:c r="S169" s="89"/>
      <x:c r="T169" s="89"/>
      <x:c r="U169" s="89"/>
      <x:c r="V169" s="89"/>
      <x:c r="W169" s="89"/>
      <x:c r="X169" s="89"/>
      <x:c r="Y169" s="89"/>
      <x:c r="Z169" s="89"/>
    </x:row>
    <x:row r="170">
      <x:c r="A170" s="89"/>
      <x:c r="B170" s="89"/>
      <x:c r="C170" s="89"/>
      <x:c r="D170" s="89"/>
      <x:c r="E170" s="89"/>
      <x:c r="F170" s="89"/>
      <x:c r="G170" s="89"/>
      <x:c r="H170" s="89"/>
      <x:c r="I170" s="89"/>
      <x:c r="J170" s="89"/>
      <x:c r="K170" s="89"/>
      <x:c r="L170" s="89"/>
      <x:c r="M170" s="89"/>
      <x:c r="N170" s="89"/>
      <x:c r="O170" s="89"/>
      <x:c r="P170" s="89"/>
      <x:c r="Q170" s="89"/>
      <x:c r="R170" s="89"/>
      <x:c r="S170" s="89"/>
      <x:c r="T170" s="89"/>
      <x:c r="U170" s="89"/>
      <x:c r="V170" s="89"/>
      <x:c r="W170" s="89"/>
      <x:c r="X170" s="89"/>
      <x:c r="Y170" s="89"/>
      <x:c r="Z170" s="89"/>
    </x:row>
    <x:row r="171">
      <x:c r="A171" s="89"/>
      <x:c r="B171" s="89"/>
      <x:c r="C171" s="89"/>
      <x:c r="D171" s="89"/>
      <x:c r="E171" s="89"/>
      <x:c r="F171" s="89"/>
      <x:c r="G171" s="89"/>
      <x:c r="H171" s="89"/>
      <x:c r="I171" s="89"/>
      <x:c r="J171" s="89"/>
      <x:c r="K171" s="89"/>
      <x:c r="L171" s="89"/>
      <x:c r="M171" s="89"/>
      <x:c r="N171" s="89"/>
      <x:c r="O171" s="89"/>
      <x:c r="P171" s="89"/>
      <x:c r="Q171" s="89"/>
      <x:c r="R171" s="89"/>
      <x:c r="S171" s="89"/>
      <x:c r="T171" s="89"/>
      <x:c r="U171" s="89"/>
      <x:c r="V171" s="89"/>
      <x:c r="W171" s="89"/>
      <x:c r="X171" s="89"/>
      <x:c r="Y171" s="89"/>
      <x:c r="Z171" s="89"/>
    </x:row>
    <x:row r="172">
      <x:c r="A172" s="89"/>
      <x:c r="B172" s="89"/>
      <x:c r="C172" s="89"/>
      <x:c r="D172" s="89"/>
      <x:c r="E172" s="89"/>
      <x:c r="F172" s="89"/>
      <x:c r="G172" s="89"/>
      <x:c r="H172" s="89"/>
      <x:c r="I172" s="89"/>
      <x:c r="J172" s="89"/>
      <x:c r="K172" s="89"/>
      <x:c r="L172" s="89"/>
      <x:c r="M172" s="89"/>
      <x:c r="N172" s="89"/>
      <x:c r="O172" s="89"/>
      <x:c r="P172" s="89"/>
      <x:c r="Q172" s="89"/>
      <x:c r="R172" s="89"/>
      <x:c r="S172" s="89"/>
      <x:c r="T172" s="89"/>
      <x:c r="U172" s="89"/>
      <x:c r="V172" s="89"/>
      <x:c r="W172" s="89"/>
      <x:c r="X172" s="89"/>
      <x:c r="Y172" s="89"/>
      <x:c r="Z172" s="89"/>
    </x:row>
    <x:row r="173">
      <x:c r="A173" s="89"/>
      <x:c r="B173" s="89"/>
      <x:c r="C173" s="89"/>
      <x:c r="D173" s="89"/>
      <x:c r="E173" s="89"/>
      <x:c r="F173" s="89"/>
      <x:c r="G173" s="89"/>
      <x:c r="H173" s="89"/>
      <x:c r="I173" s="89"/>
      <x:c r="J173" s="89"/>
      <x:c r="K173" s="89"/>
      <x:c r="L173" s="89"/>
      <x:c r="M173" s="89"/>
      <x:c r="N173" s="89"/>
      <x:c r="O173" s="89"/>
      <x:c r="P173" s="89"/>
      <x:c r="Q173" s="89"/>
      <x:c r="R173" s="89"/>
      <x:c r="S173" s="89"/>
      <x:c r="T173" s="89"/>
      <x:c r="U173" s="89"/>
      <x:c r="V173" s="89"/>
      <x:c r="W173" s="89"/>
      <x:c r="X173" s="89"/>
      <x:c r="Y173" s="89"/>
      <x:c r="Z173" s="89"/>
    </x:row>
    <x:row r="174">
      <x:c r="A174" s="89"/>
      <x:c r="B174" s="89"/>
      <x:c r="C174" s="89"/>
      <x:c r="D174" s="89"/>
      <x:c r="E174" s="89"/>
      <x:c r="F174" s="89"/>
      <x:c r="G174" s="89"/>
      <x:c r="H174" s="89"/>
      <x:c r="I174" s="89"/>
      <x:c r="J174" s="89"/>
      <x:c r="K174" s="89"/>
      <x:c r="L174" s="89"/>
      <x:c r="M174" s="89"/>
      <x:c r="N174" s="89"/>
      <x:c r="O174" s="89"/>
      <x:c r="P174" s="89"/>
      <x:c r="Q174" s="89"/>
      <x:c r="R174" s="89"/>
      <x:c r="S174" s="89"/>
      <x:c r="T174" s="89"/>
      <x:c r="U174" s="89"/>
      <x:c r="V174" s="89"/>
      <x:c r="W174" s="89"/>
      <x:c r="X174" s="89"/>
      <x:c r="Y174" s="89"/>
      <x:c r="Z174" s="89"/>
    </x:row>
    <x:row r="175">
      <x:c r="A175" s="89"/>
      <x:c r="B175" s="89"/>
      <x:c r="C175" s="89"/>
      <x:c r="D175" s="89"/>
      <x:c r="E175" s="89"/>
      <x:c r="F175" s="89"/>
      <x:c r="G175" s="89"/>
      <x:c r="H175" s="89"/>
      <x:c r="I175" s="89"/>
      <x:c r="J175" s="89"/>
      <x:c r="K175" s="89"/>
      <x:c r="L175" s="89"/>
      <x:c r="M175" s="89"/>
      <x:c r="N175" s="89"/>
      <x:c r="O175" s="89"/>
      <x:c r="P175" s="89"/>
      <x:c r="Q175" s="89"/>
      <x:c r="R175" s="89"/>
      <x:c r="S175" s="89"/>
      <x:c r="T175" s="89"/>
      <x:c r="U175" s="89"/>
      <x:c r="V175" s="89"/>
      <x:c r="W175" s="89"/>
      <x:c r="X175" s="89"/>
      <x:c r="Y175" s="89"/>
      <x:c r="Z175" s="89"/>
    </x:row>
    <x:row r="176">
      <x:c r="A176" s="89"/>
      <x:c r="B176" s="89"/>
      <x:c r="C176" s="89"/>
      <x:c r="D176" s="89"/>
      <x:c r="E176" s="89"/>
      <x:c r="F176" s="89"/>
      <x:c r="G176" s="89"/>
      <x:c r="H176" s="89"/>
      <x:c r="I176" s="89"/>
      <x:c r="J176" s="89"/>
      <x:c r="K176" s="89"/>
      <x:c r="L176" s="89"/>
      <x:c r="M176" s="89"/>
      <x:c r="N176" s="89"/>
      <x:c r="O176" s="89"/>
      <x:c r="P176" s="89"/>
      <x:c r="Q176" s="89"/>
      <x:c r="R176" s="89"/>
      <x:c r="S176" s="89"/>
      <x:c r="T176" s="89"/>
      <x:c r="U176" s="89"/>
      <x:c r="V176" s="89"/>
      <x:c r="W176" s="89"/>
      <x:c r="X176" s="89"/>
      <x:c r="Y176" s="89"/>
      <x:c r="Z176" s="89"/>
    </x:row>
    <x:row r="177">
      <x:c r="A177" s="89"/>
      <x:c r="B177" s="89"/>
      <x:c r="C177" s="89"/>
      <x:c r="D177" s="89"/>
      <x:c r="E177" s="89"/>
      <x:c r="F177" s="89"/>
      <x:c r="G177" s="89"/>
      <x:c r="H177" s="89"/>
      <x:c r="I177" s="89"/>
      <x:c r="J177" s="89"/>
      <x:c r="K177" s="89"/>
      <x:c r="L177" s="89"/>
      <x:c r="M177" s="89"/>
      <x:c r="N177" s="89"/>
      <x:c r="O177" s="89"/>
      <x:c r="P177" s="89"/>
      <x:c r="Q177" s="89"/>
      <x:c r="R177" s="89"/>
      <x:c r="S177" s="89"/>
      <x:c r="T177" s="89"/>
      <x:c r="U177" s="89"/>
      <x:c r="V177" s="89"/>
      <x:c r="W177" s="89"/>
      <x:c r="X177" s="89"/>
      <x:c r="Y177" s="89"/>
      <x:c r="Z177" s="89"/>
    </x:row>
    <x:row r="178">
      <x:c r="A178" s="89"/>
      <x:c r="B178" s="89"/>
      <x:c r="C178" s="89"/>
      <x:c r="D178" s="89"/>
      <x:c r="E178" s="89"/>
      <x:c r="F178" s="89"/>
      <x:c r="G178" s="89"/>
      <x:c r="H178" s="89"/>
      <x:c r="I178" s="89"/>
      <x:c r="J178" s="89"/>
      <x:c r="K178" s="89"/>
      <x:c r="L178" s="89"/>
      <x:c r="M178" s="89"/>
      <x:c r="N178" s="89"/>
      <x:c r="O178" s="89"/>
      <x:c r="P178" s="89"/>
      <x:c r="Q178" s="89"/>
      <x:c r="R178" s="89"/>
      <x:c r="S178" s="89"/>
      <x:c r="T178" s="89"/>
      <x:c r="U178" s="89"/>
      <x:c r="V178" s="89"/>
      <x:c r="W178" s="89"/>
      <x:c r="X178" s="89"/>
      <x:c r="Y178" s="89"/>
      <x:c r="Z178" s="89"/>
    </x:row>
    <x:row r="179">
      <x:c r="A179" s="89"/>
      <x:c r="B179" s="89"/>
      <x:c r="C179" s="89"/>
      <x:c r="D179" s="89"/>
      <x:c r="E179" s="89"/>
      <x:c r="F179" s="89"/>
      <x:c r="G179" s="89"/>
      <x:c r="H179" s="89"/>
      <x:c r="I179" s="89"/>
      <x:c r="J179" s="89"/>
      <x:c r="K179" s="89"/>
      <x:c r="L179" s="89"/>
      <x:c r="M179" s="89"/>
      <x:c r="N179" s="89"/>
      <x:c r="O179" s="89"/>
      <x:c r="P179" s="89"/>
      <x:c r="Q179" s="89"/>
      <x:c r="R179" s="89"/>
      <x:c r="S179" s="89"/>
      <x:c r="T179" s="89"/>
      <x:c r="U179" s="89"/>
      <x:c r="V179" s="89"/>
      <x:c r="W179" s="89"/>
      <x:c r="X179" s="89"/>
      <x:c r="Y179" s="89"/>
      <x:c r="Z179" s="89"/>
    </x:row>
    <x:row r="180">
      <x:c r="A180" s="89"/>
      <x:c r="B180" s="89"/>
      <x:c r="C180" s="89"/>
      <x:c r="D180" s="89"/>
      <x:c r="E180" s="89"/>
      <x:c r="F180" s="89"/>
      <x:c r="G180" s="89"/>
      <x:c r="H180" s="89"/>
      <x:c r="I180" s="89"/>
      <x:c r="J180" s="89"/>
      <x:c r="K180" s="89"/>
      <x:c r="L180" s="89"/>
      <x:c r="M180" s="89"/>
      <x:c r="N180" s="89"/>
      <x:c r="O180" s="89"/>
      <x:c r="P180" s="89"/>
      <x:c r="Q180" s="89"/>
      <x:c r="R180" s="89"/>
      <x:c r="S180" s="89"/>
      <x:c r="T180" s="89"/>
      <x:c r="U180" s="89"/>
      <x:c r="V180" s="89"/>
      <x:c r="W180" s="89"/>
      <x:c r="X180" s="89"/>
      <x:c r="Y180" s="89"/>
      <x:c r="Z180" s="89"/>
    </x:row>
    <x:row r="181">
      <x:c r="A181" s="89"/>
      <x:c r="B181" s="89"/>
      <x:c r="C181" s="89"/>
      <x:c r="D181" s="89"/>
      <x:c r="E181" s="89"/>
      <x:c r="F181" s="89"/>
      <x:c r="G181" s="89"/>
      <x:c r="H181" s="89"/>
      <x:c r="I181" s="89"/>
      <x:c r="J181" s="89"/>
      <x:c r="K181" s="89"/>
      <x:c r="L181" s="89"/>
      <x:c r="M181" s="89"/>
      <x:c r="N181" s="89"/>
      <x:c r="O181" s="89"/>
      <x:c r="P181" s="89"/>
      <x:c r="Q181" s="89"/>
      <x:c r="R181" s="89"/>
      <x:c r="S181" s="89"/>
      <x:c r="T181" s="89"/>
      <x:c r="U181" s="89"/>
      <x:c r="V181" s="89"/>
      <x:c r="W181" s="89"/>
      <x:c r="X181" s="89"/>
      <x:c r="Y181" s="89"/>
      <x:c r="Z181" s="89"/>
    </x:row>
    <x:row r="182">
      <x:c r="A182" s="89"/>
      <x:c r="B182" s="89"/>
      <x:c r="C182" s="89"/>
      <x:c r="D182" s="89"/>
      <x:c r="E182" s="89"/>
      <x:c r="F182" s="89"/>
      <x:c r="G182" s="89"/>
      <x:c r="H182" s="89"/>
      <x:c r="I182" s="89"/>
      <x:c r="J182" s="89"/>
      <x:c r="K182" s="89"/>
      <x:c r="L182" s="89"/>
      <x:c r="M182" s="89"/>
      <x:c r="N182" s="89"/>
      <x:c r="O182" s="89"/>
      <x:c r="P182" s="89"/>
      <x:c r="Q182" s="89"/>
      <x:c r="R182" s="89"/>
      <x:c r="S182" s="89"/>
      <x:c r="T182" s="89"/>
      <x:c r="U182" s="89"/>
      <x:c r="V182" s="89"/>
      <x:c r="W182" s="89"/>
      <x:c r="X182" s="89"/>
      <x:c r="Y182" s="89"/>
      <x:c r="Z182" s="89"/>
    </x:row>
    <x:row r="183">
      <x:c r="A183" s="89"/>
      <x:c r="B183" s="89"/>
      <x:c r="C183" s="89"/>
      <x:c r="D183" s="89"/>
      <x:c r="E183" s="89"/>
      <x:c r="F183" s="89"/>
      <x:c r="G183" s="89"/>
      <x:c r="H183" s="89"/>
      <x:c r="I183" s="89"/>
      <x:c r="J183" s="89"/>
      <x:c r="K183" s="89"/>
      <x:c r="L183" s="89"/>
      <x:c r="M183" s="89"/>
      <x:c r="N183" s="89"/>
      <x:c r="O183" s="89"/>
      <x:c r="P183" s="89"/>
      <x:c r="Q183" s="89"/>
      <x:c r="R183" s="89"/>
      <x:c r="S183" s="89"/>
      <x:c r="T183" s="89"/>
      <x:c r="U183" s="89"/>
      <x:c r="V183" s="89"/>
      <x:c r="W183" s="89"/>
      <x:c r="X183" s="89"/>
      <x:c r="Y183" s="89"/>
      <x:c r="Z183" s="89"/>
    </x:row>
    <x:row r="184">
      <x:c r="A184" s="89"/>
      <x:c r="B184" s="89"/>
      <x:c r="C184" s="89"/>
      <x:c r="D184" s="89"/>
      <x:c r="E184" s="89"/>
      <x:c r="F184" s="89"/>
      <x:c r="G184" s="89"/>
      <x:c r="H184" s="89"/>
      <x:c r="I184" s="89"/>
      <x:c r="J184" s="89"/>
      <x:c r="K184" s="89"/>
      <x:c r="L184" s="89"/>
      <x:c r="M184" s="89"/>
      <x:c r="N184" s="89"/>
      <x:c r="O184" s="89"/>
      <x:c r="P184" s="89"/>
      <x:c r="Q184" s="89"/>
      <x:c r="R184" s="89"/>
      <x:c r="S184" s="89"/>
      <x:c r="T184" s="89"/>
      <x:c r="U184" s="89"/>
      <x:c r="V184" s="89"/>
      <x:c r="W184" s="89"/>
      <x:c r="X184" s="89"/>
      <x:c r="Y184" s="89"/>
      <x:c r="Z184" s="89"/>
    </x:row>
    <x:row r="185">
      <x:c r="A185" s="89"/>
      <x:c r="B185" s="89"/>
      <x:c r="C185" s="89"/>
      <x:c r="D185" s="89"/>
      <x:c r="E185" s="89"/>
      <x:c r="F185" s="89"/>
      <x:c r="G185" s="89"/>
      <x:c r="H185" s="89"/>
      <x:c r="I185" s="89"/>
      <x:c r="J185" s="89"/>
      <x:c r="K185" s="89"/>
      <x:c r="L185" s="89"/>
      <x:c r="M185" s="89"/>
      <x:c r="N185" s="89"/>
      <x:c r="O185" s="89"/>
      <x:c r="P185" s="89"/>
      <x:c r="Q185" s="89"/>
      <x:c r="R185" s="89"/>
      <x:c r="S185" s="89"/>
      <x:c r="T185" s="89"/>
      <x:c r="U185" s="89"/>
      <x:c r="V185" s="89"/>
      <x:c r="W185" s="89"/>
      <x:c r="X185" s="89"/>
      <x:c r="Y185" s="89"/>
      <x:c r="Z185" s="89"/>
    </x:row>
    <x:row r="186">
      <x:c r="A186" s="89"/>
      <x:c r="B186" s="89"/>
      <x:c r="C186" s="89"/>
      <x:c r="D186" s="89"/>
      <x:c r="E186" s="89"/>
      <x:c r="F186" s="89"/>
      <x:c r="G186" s="89"/>
      <x:c r="H186" s="89"/>
      <x:c r="I186" s="89"/>
      <x:c r="J186" s="89"/>
      <x:c r="K186" s="89"/>
      <x:c r="L186" s="89"/>
      <x:c r="M186" s="89"/>
      <x:c r="N186" s="89"/>
      <x:c r="O186" s="89"/>
      <x:c r="P186" s="89"/>
      <x:c r="Q186" s="89"/>
      <x:c r="R186" s="89"/>
      <x:c r="S186" s="89"/>
      <x:c r="T186" s="89"/>
      <x:c r="U186" s="89"/>
      <x:c r="V186" s="89"/>
      <x:c r="W186" s="89"/>
      <x:c r="X186" s="89"/>
      <x:c r="Y186" s="89"/>
      <x:c r="Z186" s="89"/>
    </x:row>
    <x:row r="187">
      <x:c r="A187" s="89"/>
      <x:c r="B187" s="89"/>
      <x:c r="C187" s="89"/>
      <x:c r="D187" s="89"/>
      <x:c r="E187" s="89"/>
      <x:c r="F187" s="89"/>
      <x:c r="G187" s="89"/>
      <x:c r="H187" s="89"/>
      <x:c r="I187" s="89"/>
      <x:c r="J187" s="89"/>
      <x:c r="K187" s="89"/>
      <x:c r="L187" s="89"/>
      <x:c r="M187" s="89"/>
      <x:c r="N187" s="89"/>
      <x:c r="O187" s="89"/>
      <x:c r="P187" s="89"/>
      <x:c r="Q187" s="89"/>
      <x:c r="R187" s="89"/>
      <x:c r="S187" s="89"/>
      <x:c r="T187" s="89"/>
      <x:c r="U187" s="89"/>
      <x:c r="V187" s="89"/>
      <x:c r="W187" s="89"/>
      <x:c r="X187" s="89"/>
      <x:c r="Y187" s="89"/>
      <x:c r="Z187" s="89"/>
    </x:row>
    <x:row r="188">
      <x:c r="A188" s="89"/>
      <x:c r="B188" s="89"/>
      <x:c r="C188" s="89"/>
      <x:c r="D188" s="89"/>
      <x:c r="E188" s="89"/>
      <x:c r="F188" s="89"/>
      <x:c r="G188" s="89"/>
      <x:c r="H188" s="89"/>
      <x:c r="I188" s="89"/>
      <x:c r="J188" s="89"/>
      <x:c r="K188" s="89"/>
      <x:c r="L188" s="89"/>
      <x:c r="M188" s="89"/>
      <x:c r="N188" s="89"/>
      <x:c r="O188" s="89"/>
      <x:c r="P188" s="89"/>
      <x:c r="Q188" s="89"/>
      <x:c r="R188" s="89"/>
      <x:c r="S188" s="89"/>
      <x:c r="T188" s="89"/>
      <x:c r="U188" s="89"/>
      <x:c r="V188" s="89"/>
      <x:c r="W188" s="89"/>
      <x:c r="X188" s="89"/>
      <x:c r="Y188" s="89"/>
      <x:c r="Z188" s="89"/>
    </x:row>
    <x:row r="189">
      <x:c r="A189" s="89"/>
      <x:c r="B189" s="89"/>
      <x:c r="C189" s="89"/>
      <x:c r="D189" s="89"/>
      <x:c r="E189" s="89"/>
      <x:c r="F189" s="89"/>
      <x:c r="G189" s="89"/>
      <x:c r="H189" s="89"/>
      <x:c r="I189" s="89"/>
      <x:c r="J189" s="89"/>
      <x:c r="K189" s="89"/>
      <x:c r="L189" s="89"/>
      <x:c r="M189" s="89"/>
      <x:c r="N189" s="89"/>
      <x:c r="O189" s="89"/>
      <x:c r="P189" s="89"/>
      <x:c r="Q189" s="89"/>
      <x:c r="R189" s="89"/>
      <x:c r="S189" s="89"/>
      <x:c r="T189" s="89"/>
      <x:c r="U189" s="89"/>
      <x:c r="V189" s="89"/>
      <x:c r="W189" s="89"/>
      <x:c r="X189" s="89"/>
      <x:c r="Y189" s="89"/>
      <x:c r="Z189" s="89"/>
    </x:row>
    <x:row r="190">
      <x:c r="A190" s="89"/>
      <x:c r="B190" s="89"/>
      <x:c r="C190" s="89"/>
      <x:c r="D190" s="89"/>
      <x:c r="E190" s="89"/>
      <x:c r="F190" s="89"/>
      <x:c r="G190" s="89"/>
      <x:c r="H190" s="89"/>
      <x:c r="I190" s="89"/>
      <x:c r="J190" s="89"/>
      <x:c r="K190" s="89"/>
      <x:c r="L190" s="89"/>
      <x:c r="M190" s="89"/>
      <x:c r="N190" s="89"/>
      <x:c r="O190" s="89"/>
      <x:c r="P190" s="89"/>
      <x:c r="Q190" s="89"/>
      <x:c r="R190" s="89"/>
      <x:c r="S190" s="89"/>
      <x:c r="T190" s="89"/>
      <x:c r="U190" s="89"/>
      <x:c r="V190" s="89"/>
      <x:c r="W190" s="89"/>
      <x:c r="X190" s="89"/>
      <x:c r="Y190" s="89"/>
      <x:c r="Z190" s="89"/>
    </x:row>
    <x:row r="191">
      <x:c r="A191" s="89"/>
      <x:c r="B191" s="89"/>
      <x:c r="C191" s="89"/>
      <x:c r="D191" s="89"/>
      <x:c r="E191" s="89"/>
      <x:c r="F191" s="89"/>
      <x:c r="G191" s="89"/>
      <x:c r="H191" s="89"/>
      <x:c r="I191" s="89"/>
      <x:c r="J191" s="89"/>
      <x:c r="K191" s="89"/>
      <x:c r="L191" s="89"/>
      <x:c r="M191" s="89"/>
      <x:c r="N191" s="89"/>
      <x:c r="O191" s="89"/>
      <x:c r="P191" s="89"/>
      <x:c r="Q191" s="89"/>
      <x:c r="R191" s="89"/>
      <x:c r="S191" s="89"/>
      <x:c r="T191" s="89"/>
      <x:c r="U191" s="89"/>
      <x:c r="V191" s="89"/>
      <x:c r="W191" s="89"/>
      <x:c r="X191" s="89"/>
      <x:c r="Y191" s="89"/>
      <x:c r="Z191" s="89"/>
    </x:row>
    <x:row r="192">
      <x:c r="A192" s="89"/>
      <x:c r="B192" s="89"/>
      <x:c r="C192" s="89"/>
      <x:c r="D192" s="89"/>
      <x:c r="E192" s="89"/>
      <x:c r="F192" s="89"/>
      <x:c r="G192" s="89"/>
      <x:c r="H192" s="89"/>
      <x:c r="I192" s="89"/>
      <x:c r="J192" s="89"/>
      <x:c r="K192" s="89"/>
      <x:c r="L192" s="89"/>
      <x:c r="M192" s="89"/>
      <x:c r="N192" s="89"/>
      <x:c r="O192" s="89"/>
      <x:c r="P192" s="89"/>
      <x:c r="Q192" s="89"/>
      <x:c r="R192" s="89"/>
      <x:c r="S192" s="89"/>
      <x:c r="T192" s="89"/>
      <x:c r="U192" s="89"/>
      <x:c r="V192" s="89"/>
      <x:c r="W192" s="89"/>
      <x:c r="X192" s="89"/>
      <x:c r="Y192" s="89"/>
      <x:c r="Z192" s="89"/>
    </x:row>
    <x:row r="193">
      <x:c r="A193" s="89"/>
      <x:c r="B193" s="89"/>
      <x:c r="C193" s="89"/>
      <x:c r="D193" s="89"/>
      <x:c r="E193" s="89"/>
      <x:c r="F193" s="89"/>
      <x:c r="G193" s="89"/>
      <x:c r="H193" s="89"/>
      <x:c r="I193" s="89"/>
      <x:c r="J193" s="89"/>
      <x:c r="K193" s="89"/>
      <x:c r="L193" s="89"/>
      <x:c r="M193" s="89"/>
      <x:c r="N193" s="89"/>
      <x:c r="O193" s="89"/>
      <x:c r="P193" s="89"/>
      <x:c r="Q193" s="89"/>
      <x:c r="R193" s="89"/>
      <x:c r="S193" s="89"/>
      <x:c r="T193" s="89"/>
      <x:c r="U193" s="89"/>
      <x:c r="V193" s="89"/>
      <x:c r="W193" s="89"/>
      <x:c r="X193" s="89"/>
      <x:c r="Y193" s="89"/>
      <x:c r="Z193" s="89"/>
    </x:row>
    <x:row r="194">
      <x:c r="A194" s="89"/>
      <x:c r="B194" s="89"/>
      <x:c r="C194" s="89"/>
      <x:c r="D194" s="89"/>
      <x:c r="E194" s="89"/>
      <x:c r="F194" s="89"/>
      <x:c r="G194" s="89"/>
      <x:c r="H194" s="89"/>
      <x:c r="I194" s="89"/>
      <x:c r="J194" s="89"/>
      <x:c r="K194" s="89"/>
      <x:c r="L194" s="89"/>
      <x:c r="M194" s="89"/>
      <x:c r="N194" s="89"/>
      <x:c r="O194" s="89"/>
      <x:c r="P194" s="89"/>
      <x:c r="Q194" s="89"/>
      <x:c r="R194" s="89"/>
      <x:c r="S194" s="89"/>
      <x:c r="T194" s="89"/>
      <x:c r="U194" s="89"/>
      <x:c r="V194" s="89"/>
      <x:c r="W194" s="89"/>
      <x:c r="X194" s="89"/>
      <x:c r="Y194" s="89"/>
      <x:c r="Z194" s="89"/>
    </x:row>
    <x:row r="195">
      <x:c r="A195" s="89"/>
      <x:c r="B195" s="89"/>
      <x:c r="C195" s="89"/>
      <x:c r="D195" s="89"/>
      <x:c r="E195" s="89"/>
      <x:c r="F195" s="89"/>
      <x:c r="G195" s="89"/>
      <x:c r="H195" s="89"/>
      <x:c r="I195" s="89"/>
      <x:c r="J195" s="89"/>
      <x:c r="K195" s="89"/>
      <x:c r="L195" s="89"/>
      <x:c r="M195" s="89"/>
      <x:c r="N195" s="89"/>
      <x:c r="O195" s="89"/>
      <x:c r="P195" s="89"/>
      <x:c r="Q195" s="89"/>
      <x:c r="R195" s="89"/>
      <x:c r="S195" s="89"/>
      <x:c r="T195" s="89"/>
      <x:c r="U195" s="89"/>
      <x:c r="V195" s="89"/>
      <x:c r="W195" s="89"/>
      <x:c r="X195" s="89"/>
      <x:c r="Y195" s="89"/>
      <x:c r="Z195" s="89"/>
    </x:row>
    <x:row r="196">
      <x:c r="A196" s="89"/>
      <x:c r="B196" s="89"/>
      <x:c r="C196" s="89"/>
      <x:c r="D196" s="89"/>
      <x:c r="E196" s="89"/>
      <x:c r="F196" s="89"/>
      <x:c r="G196" s="89"/>
      <x:c r="H196" s="89"/>
      <x:c r="I196" s="89"/>
      <x:c r="J196" s="89"/>
      <x:c r="K196" s="89"/>
      <x:c r="L196" s="89"/>
      <x:c r="M196" s="89"/>
      <x:c r="N196" s="89"/>
      <x:c r="O196" s="89"/>
      <x:c r="P196" s="89"/>
      <x:c r="Q196" s="89"/>
      <x:c r="R196" s="89"/>
      <x:c r="S196" s="89"/>
      <x:c r="T196" s="89"/>
      <x:c r="U196" s="89"/>
      <x:c r="V196" s="89"/>
      <x:c r="W196" s="89"/>
      <x:c r="X196" s="89"/>
      <x:c r="Y196" s="89"/>
      <x:c r="Z196" s="89"/>
    </x:row>
    <x:row r="197">
      <x:c r="A197" s="89"/>
      <x:c r="B197" s="89"/>
      <x:c r="C197" s="89"/>
      <x:c r="D197" s="89"/>
      <x:c r="E197" s="89"/>
      <x:c r="F197" s="89"/>
      <x:c r="G197" s="89"/>
      <x:c r="H197" s="89"/>
      <x:c r="I197" s="89"/>
      <x:c r="J197" s="89"/>
      <x:c r="K197" s="89"/>
      <x:c r="L197" s="89"/>
      <x:c r="M197" s="89"/>
      <x:c r="N197" s="89"/>
      <x:c r="O197" s="89"/>
      <x:c r="P197" s="89"/>
      <x:c r="Q197" s="89"/>
      <x:c r="R197" s="89"/>
      <x:c r="S197" s="89"/>
      <x:c r="T197" s="89"/>
      <x:c r="U197" s="89"/>
      <x:c r="V197" s="89"/>
      <x:c r="W197" s="89"/>
      <x:c r="X197" s="89"/>
      <x:c r="Y197" s="89"/>
      <x:c r="Z197" s="89"/>
    </x:row>
    <x:row r="198">
      <x:c r="A198" s="89"/>
      <x:c r="B198" s="89"/>
      <x:c r="C198" s="89"/>
      <x:c r="D198" s="89"/>
      <x:c r="E198" s="89"/>
      <x:c r="F198" s="89"/>
      <x:c r="G198" s="89"/>
      <x:c r="H198" s="89"/>
      <x:c r="I198" s="89"/>
      <x:c r="J198" s="89"/>
      <x:c r="K198" s="89"/>
      <x:c r="L198" s="89"/>
      <x:c r="M198" s="89"/>
      <x:c r="N198" s="89"/>
      <x:c r="O198" s="89"/>
      <x:c r="P198" s="89"/>
      <x:c r="Q198" s="89"/>
      <x:c r="R198" s="89"/>
      <x:c r="S198" s="89"/>
      <x:c r="T198" s="89"/>
      <x:c r="U198" s="89"/>
      <x:c r="V198" s="89"/>
      <x:c r="W198" s="89"/>
      <x:c r="X198" s="89"/>
      <x:c r="Y198" s="89"/>
      <x:c r="Z198" s="89"/>
    </x:row>
    <x:row r="199">
      <x:c r="A199" s="89"/>
      <x:c r="B199" s="89"/>
      <x:c r="C199" s="89"/>
      <x:c r="D199" s="89"/>
      <x:c r="E199" s="89"/>
      <x:c r="F199" s="89"/>
      <x:c r="G199" s="89"/>
      <x:c r="H199" s="89"/>
      <x:c r="I199" s="89"/>
      <x:c r="J199" s="89"/>
      <x:c r="K199" s="89"/>
      <x:c r="L199" s="89"/>
      <x:c r="M199" s="89"/>
      <x:c r="N199" s="89"/>
      <x:c r="O199" s="89"/>
      <x:c r="P199" s="89"/>
      <x:c r="Q199" s="89"/>
      <x:c r="R199" s="89"/>
      <x:c r="S199" s="89"/>
      <x:c r="T199" s="89"/>
      <x:c r="U199" s="89"/>
      <x:c r="V199" s="89"/>
      <x:c r="W199" s="89"/>
      <x:c r="X199" s="89"/>
      <x:c r="Y199" s="89"/>
      <x:c r="Z199" s="89"/>
    </x:row>
    <x:row r="200">
      <x:c r="A200" s="89"/>
      <x:c r="B200" s="89"/>
      <x:c r="C200" s="89"/>
      <x:c r="D200" s="89"/>
      <x:c r="E200" s="89"/>
      <x:c r="F200" s="89"/>
      <x:c r="G200" s="89"/>
      <x:c r="H200" s="89"/>
      <x:c r="I200" s="89"/>
      <x:c r="J200" s="89"/>
      <x:c r="K200" s="89"/>
      <x:c r="L200" s="89"/>
      <x:c r="M200" s="89"/>
      <x:c r="N200" s="89"/>
      <x:c r="O200" s="89"/>
      <x:c r="P200" s="89"/>
      <x:c r="Q200" s="89"/>
      <x:c r="R200" s="89"/>
      <x:c r="S200" s="89"/>
      <x:c r="T200" s="89"/>
      <x:c r="U200" s="89"/>
      <x:c r="V200" s="89"/>
      <x:c r="W200" s="89"/>
      <x:c r="X200" s="89"/>
      <x:c r="Y200" s="89"/>
      <x:c r="Z200" s="89"/>
    </x:row>
  </x:sheetData>
  <x:mergeCells>
    <x:mergeCell ref="A1:H1"/>
  </x:mergeCells>
  <x:conditionalFormatting sqref="D4:D103">
    <x:cfRule type="expression" dxfId="11" priority="1">
      <x:formula>$D4="Uygun"</x:formula>
    </x:cfRule>
    <x:cfRule type="expression" dxfId="12" priority="2">
      <x:formula>$D4="Revizyon"</x:formula>
    </x:cfRule>
    <x:cfRule type="expression" dxfId="13" priority="3">
      <x:formula>$D4="Uygun Değil"</x:formula>
    </x:cfRule>
  </x:conditionalFormatting>
  <x:dataValidations count="1">
    <x:dataValidation type="list" sqref="D4:D103">
      <x:formula1>"Bekliyor,Uygun,Revizyon,Uygun Değil"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3a94c840518c4cdf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72" hidden="0" customWidth="1"/>
    <x:col min="4" max="4" width="28" hidden="0" customWidth="1"/>
    <x:col min="5" max="5" width="28" hidden="0" customWidth="1"/>
  </x:cols>
  <x:sheetData>
    <x:row r="1">
      <x:c r="A1" s="126" t="str">
        <x:v>BunuDaBastık3D - WhatsApp / Instagram Mesaj Şablonları</x:v>
      </x:c>
      <x:c r="B1" s="126"/>
      <x:c r="C1" s="126"/>
      <x:c r="D1" s="126"/>
      <x:c r="E1" s="126"/>
      <x:c r="F1" s="89"/>
      <x:c r="G1" s="89"/>
      <x:c r="H1" s="89"/>
      <x:c r="I1" s="89"/>
      <x:c r="J1" s="89"/>
      <x:c r="K1" s="89"/>
      <x:c r="L1" s="89"/>
      <x:c r="M1" s="89"/>
      <x:c r="N1" s="89"/>
      <x:c r="O1" s="89"/>
      <x:c r="P1" s="89"/>
      <x:c r="Q1" s="89"/>
      <x:c r="R1" s="89"/>
      <x:c r="S1" s="89"/>
      <x:c r="T1" s="89"/>
      <x:c r="U1" s="89"/>
      <x:c r="V1" s="89"/>
      <x:c r="W1" s="89"/>
      <x:c r="X1" s="89"/>
      <x:c r="Y1" s="89"/>
      <x:c r="Z1" s="89"/>
    </x:row>
    <x:row r="2">
      <x:c r="A2" s="89"/>
      <x:c r="B2" s="89"/>
      <x:c r="C2" s="89"/>
      <x:c r="D2" s="89"/>
      <x:c r="E2" s="89"/>
      <x:c r="F2" s="89"/>
      <x:c r="G2" s="89"/>
      <x:c r="H2" s="89"/>
      <x:c r="I2" s="89"/>
      <x:c r="J2" s="89"/>
      <x:c r="K2" s="89"/>
      <x:c r="L2" s="89"/>
      <x:c r="M2" s="89"/>
      <x:c r="N2" s="89"/>
      <x:c r="O2" s="89"/>
      <x:c r="P2" s="89"/>
      <x:c r="Q2" s="89"/>
      <x:c r="R2" s="89"/>
      <x:c r="S2" s="89"/>
      <x:c r="T2" s="89"/>
      <x:c r="U2" s="89"/>
      <x:c r="V2" s="89"/>
      <x:c r="W2" s="89"/>
      <x:c r="X2" s="89"/>
      <x:c r="Y2" s="89"/>
      <x:c r="Z2" s="89"/>
    </x:row>
    <x:row r="3">
      <x:c r="A3" s="91" t="str">
        <x:v>Aşama</x:v>
      </x:c>
      <x:c r="B3" s="91" t="str">
        <x:v>Kanal</x:v>
      </x:c>
      <x:c r="C3" s="91" t="str">
        <x:v>Hazır Mesaj</x:v>
      </x:c>
      <x:c r="D3" s="91" t="str">
        <x:v>Ne Zaman Kullanılır?</x:v>
      </x:c>
      <x:c r="E3" s="91" t="str">
        <x:v>Not</x:v>
      </x:c>
      <x:c r="F3" s="89"/>
      <x:c r="G3" s="89"/>
      <x:c r="H3" s="89"/>
      <x:c r="I3" s="89"/>
      <x:c r="J3" s="89"/>
      <x:c r="K3" s="89"/>
      <x:c r="L3" s="89"/>
      <x:c r="M3" s="89"/>
      <x:c r="N3" s="89"/>
      <x:c r="O3" s="89"/>
      <x:c r="P3" s="89"/>
      <x:c r="Q3" s="89"/>
      <x:c r="R3" s="89"/>
      <x:c r="S3" s="89"/>
      <x:c r="T3" s="89"/>
      <x:c r="U3" s="89"/>
      <x:c r="V3" s="89"/>
      <x:c r="W3" s="89"/>
      <x:c r="X3" s="89"/>
      <x:c r="Y3" s="89"/>
      <x:c r="Z3" s="89"/>
    </x:row>
    <x:row r="4">
      <x:c r="A4" s="95" t="str">
        <x:v>Talep Alındı</x:v>
      </x:c>
      <x:c r="B4" s="95" t="str">
        <x:v>WhatsApp / Instagram</x:v>
      </x:c>
      <x:c r="C4" s="95" t="str">
        <x:v>Merhaba, BunuDaBastık3D’ye ulaştığınız için teşekkür ederiz. Modelinizi ve isteğinizi inceliyoruz. Kısa süre içinde fiyat ve tahmini üretim süresi bilgisini paylaşacağız.</x:v>
      </x:c>
      <x:c r="D4" s="95" t="str">
        <x:v>Müşteri ilk kez yazdığında</x:v>
      </x:c>
      <x:c r="E4" s="95" t="str">
        <x:v>Samimi ve profesyonel ilk temas.</x:v>
      </x:c>
      <x:c r="F4" s="89"/>
      <x:c r="G4" s="89"/>
      <x:c r="H4" s="89"/>
      <x:c r="I4" s="89"/>
      <x:c r="J4" s="89"/>
      <x:c r="K4" s="89"/>
      <x:c r="L4" s="89"/>
      <x:c r="M4" s="89"/>
      <x:c r="N4" s="89"/>
      <x:c r="O4" s="89"/>
      <x:c r="P4" s="89"/>
      <x:c r="Q4" s="89"/>
      <x:c r="R4" s="89"/>
      <x:c r="S4" s="89"/>
      <x:c r="T4" s="89"/>
      <x:c r="U4" s="89"/>
      <x:c r="V4" s="89"/>
      <x:c r="W4" s="89"/>
      <x:c r="X4" s="89"/>
      <x:c r="Y4" s="89"/>
      <x:c r="Z4" s="89"/>
    </x:row>
    <x:row r="5">
      <x:c r="A5" s="95" t="str">
        <x:v>Dosya İsteme</x:v>
      </x:c>
      <x:c r="B5" s="95" t="str">
        <x:v>WhatsApp</x:v>
      </x:c>
      <x:c r="C5" s="95" t="str">
        <x:v>Teklif çıkarabilmemiz için varsa STL, OBJ, STEP veya 3MF dosyanızı gönderebilir misiniz? Dosyanız yoksa görsel veya ölçü üzerinden modelleme için de yardımcı olabiliriz.</x:v>
      </x:c>
      <x:c r="D5" s="95" t="str">
        <x:v>Dosya gelmediyse</x:v>
      </x:c>
      <x:c r="E5" s="95" t="str">
        <x:v>Dosya yoksa modelleme hizmetine yönlendir.</x:v>
      </x:c>
      <x:c r="F5" s="89"/>
      <x:c r="G5" s="89"/>
      <x:c r="H5" s="89"/>
      <x:c r="I5" s="89"/>
      <x:c r="J5" s="89"/>
      <x:c r="K5" s="89"/>
      <x:c r="L5" s="89"/>
      <x:c r="M5" s="89"/>
      <x:c r="N5" s="89"/>
      <x:c r="O5" s="89"/>
      <x:c r="P5" s="89"/>
      <x:c r="Q5" s="89"/>
      <x:c r="R5" s="89"/>
      <x:c r="S5" s="89"/>
      <x:c r="T5" s="89"/>
      <x:c r="U5" s="89"/>
      <x:c r="V5" s="89"/>
      <x:c r="W5" s="89"/>
      <x:c r="X5" s="89"/>
      <x:c r="Y5" s="89"/>
      <x:c r="Z5" s="89"/>
    </x:row>
    <x:row r="6">
      <x:c r="A6" s="95" t="str">
        <x:v>Teklif Verildi</x:v>
      </x:c>
      <x:c r="B6" s="95" t="str">
        <x:v>WhatsApp</x:v>
      </x:c>
      <x:c r="C6" s="95" t="str">
        <x:v>Modeliniz incelendi. Tahmini baskı süresi: [X saat]. Malzeme: [Malzeme]. Toplam fiyat: [X TL]. Onayınız sonrası üretim sırasına alınacaktır.</x:v>
      </x:c>
      <x:c r="D6" s="95" t="str">
        <x:v>Fiyat Hesaplama tamamlandığında</x:v>
      </x:c>
      <x:c r="E6" s="95" t="str">
        <x:v>Köşeli alanları değiştir.</x:v>
      </x:c>
      <x:c r="F6" s="89"/>
      <x:c r="G6" s="89"/>
      <x:c r="H6" s="89"/>
      <x:c r="I6" s="89"/>
      <x:c r="J6" s="89"/>
      <x:c r="K6" s="89"/>
      <x:c r="L6" s="89"/>
      <x:c r="M6" s="89"/>
      <x:c r="N6" s="89"/>
      <x:c r="O6" s="89"/>
      <x:c r="P6" s="89"/>
      <x:c r="Q6" s="89"/>
      <x:c r="R6" s="89"/>
      <x:c r="S6" s="89"/>
      <x:c r="T6" s="89"/>
      <x:c r="U6" s="89"/>
      <x:c r="V6" s="89"/>
      <x:c r="W6" s="89"/>
      <x:c r="X6" s="89"/>
      <x:c r="Y6" s="89"/>
      <x:c r="Z6" s="89"/>
    </x:row>
    <x:row r="7">
      <x:c r="A7" s="95" t="str">
        <x:v>Kapora Talebi</x:v>
      </x:c>
      <x:c r="B7" s="95" t="str">
        <x:v>WhatsApp</x:v>
      </x:c>
      <x:c r="C7" s="95" t="str">
        <x:v>Bu çalışma özel üretim olduğu için sipariş onayıyla birlikte [X TL] kapora alınmaktadır. Kalan ödeme teslimat/kargo öncesi tamamlanabilir.</x:v>
      </x:c>
      <x:c r="D7" s="95" t="str">
        <x:v>Özel ve uzun süreli işlerde</x:v>
      </x:c>
      <x:c r="E7" s="95" t="str">
        <x:v>Kapora oranını Ayarlar sayfasından takip et.</x:v>
      </x:c>
      <x:c r="F7" s="89"/>
      <x:c r="G7" s="89"/>
      <x:c r="H7" s="89"/>
      <x:c r="I7" s="89"/>
      <x:c r="J7" s="89"/>
      <x:c r="K7" s="89"/>
      <x:c r="L7" s="89"/>
      <x:c r="M7" s="89"/>
      <x:c r="N7" s="89"/>
      <x:c r="O7" s="89"/>
      <x:c r="P7" s="89"/>
      <x:c r="Q7" s="89"/>
      <x:c r="R7" s="89"/>
      <x:c r="S7" s="89"/>
      <x:c r="T7" s="89"/>
      <x:c r="U7" s="89"/>
      <x:c r="V7" s="89"/>
      <x:c r="W7" s="89"/>
      <x:c r="X7" s="89"/>
      <x:c r="Y7" s="89"/>
      <x:c r="Z7" s="89"/>
    </x:row>
    <x:row r="8">
      <x:c r="A8" s="95" t="str">
        <x:v>Baskı Başladı</x:v>
      </x:c>
      <x:c r="B8" s="95" t="str">
        <x:v>WhatsApp</x:v>
      </x:c>
      <x:c r="C8" s="95" t="str">
        <x:v>Siparişiniz baskıya alındı. Üretim tamamlandığında kalite kontrol fotoğraflarıyla birlikte sizi bilgilendireceğiz.</x:v>
      </x:c>
      <x:c r="D8" s="95" t="str">
        <x:v>Üretim Takip &gt; Baskıda</x:v>
      </x:c>
      <x:c r="E8" s="95" t="str">
        <x:v>Güven verir.</x:v>
      </x:c>
      <x:c r="F8" s="89"/>
      <x:c r="G8" s="89"/>
      <x:c r="H8" s="89"/>
      <x:c r="I8" s="89"/>
      <x:c r="J8" s="89"/>
      <x:c r="K8" s="89"/>
      <x:c r="L8" s="89"/>
      <x:c r="M8" s="89"/>
      <x:c r="N8" s="89"/>
      <x:c r="O8" s="89"/>
      <x:c r="P8" s="89"/>
      <x:c r="Q8" s="89"/>
      <x:c r="R8" s="89"/>
      <x:c r="S8" s="89"/>
      <x:c r="T8" s="89"/>
      <x:c r="U8" s="89"/>
      <x:c r="V8" s="89"/>
      <x:c r="W8" s="89"/>
      <x:c r="X8" s="89"/>
      <x:c r="Y8" s="89"/>
      <x:c r="Z8" s="89"/>
    </x:row>
    <x:row r="9">
      <x:c r="A9" s="95" t="str">
        <x:v>Revizyon / Risk</x:v>
      </x:c>
      <x:c r="B9" s="95" t="str">
        <x:v>WhatsApp</x:v>
      </x:c>
      <x:c r="C9" s="95" t="str">
        <x:v>Modelde baskı kalitesini etkileyebilecek bir nokta tespit ettik: [kısa açıklama]. Onayınıza göre destek/ölçek/konumlandırma revizyonu yapıp üretime devam edebiliriz.</x:v>
      </x:c>
      <x:c r="D9" s="95" t="str">
        <x:v>Baskı öncesi sorun varsa</x:v>
      </x:c>
      <x:c r="E9" s="95" t="str">
        <x:v>İş başlamadan yazılı onay al.</x:v>
      </x:c>
      <x:c r="F9" s="89"/>
      <x:c r="G9" s="89"/>
      <x:c r="H9" s="89"/>
      <x:c r="I9" s="89"/>
      <x:c r="J9" s="89"/>
      <x:c r="K9" s="89"/>
      <x:c r="L9" s="89"/>
      <x:c r="M9" s="89"/>
      <x:c r="N9" s="89"/>
      <x:c r="O9" s="89"/>
      <x:c r="P9" s="89"/>
      <x:c r="Q9" s="89"/>
      <x:c r="R9" s="89"/>
      <x:c r="S9" s="89"/>
      <x:c r="T9" s="89"/>
      <x:c r="U9" s="89"/>
      <x:c r="V9" s="89"/>
      <x:c r="W9" s="89"/>
      <x:c r="X9" s="89"/>
      <x:c r="Y9" s="89"/>
      <x:c r="Z9" s="89"/>
    </x:row>
    <x:row r="10">
      <x:c r="A10" s="95" t="str">
        <x:v>Teslime Hazır</x:v>
      </x:c>
      <x:c r="B10" s="95" t="str">
        <x:v>WhatsApp</x:v>
      </x:c>
      <x:c r="C10" s="95" t="str">
        <x:v>Siparişiniz hazır. Teslimat/kargo için sizinle iletişime geçiyoruz. Hazırlanan parçanın fotoğraflarını da paylaşabiliriz.</x:v>
      </x:c>
      <x:c r="D10" s="95" t="str">
        <x:v>Son işlem bitince</x:v>
      </x:c>
      <x:c r="E10" s="95" t="str">
        <x:v>Teslimat seçeneğini teyit et.</x:v>
      </x:c>
      <x:c r="F10" s="89"/>
      <x:c r="G10" s="89"/>
      <x:c r="H10" s="89"/>
      <x:c r="I10" s="89"/>
      <x:c r="J10" s="89"/>
      <x:c r="K10" s="89"/>
      <x:c r="L10" s="89"/>
      <x:c r="M10" s="89"/>
      <x:c r="N10" s="89"/>
      <x:c r="O10" s="89"/>
      <x:c r="P10" s="89"/>
      <x:c r="Q10" s="89"/>
      <x:c r="R10" s="89"/>
      <x:c r="S10" s="89"/>
      <x:c r="T10" s="89"/>
      <x:c r="U10" s="89"/>
      <x:c r="V10" s="89"/>
      <x:c r="W10" s="89"/>
      <x:c r="X10" s="89"/>
      <x:c r="Y10" s="89"/>
      <x:c r="Z10" s="89"/>
    </x:row>
    <x:row r="11">
      <x:c r="A11" s="95" t="str">
        <x:v>Teslim Sonrası</x:v>
      </x:c>
      <x:c r="B11" s="95" t="str">
        <x:v>WhatsApp</x:v>
      </x:c>
      <x:c r="C11" s="95" t="str">
        <x:v>BunuDaBastık3D’yi tercih ettiğiniz için teşekkür ederiz. Ürünle ilgili ölçü, kullanım veya ek baskı ihtiyacınız olursa yardımcı olmaktan memnuniyet duyarız.</x:v>
      </x:c>
      <x:c r="D11" s="95" t="str">
        <x:v>Teslimden sonra</x:v>
      </x:c>
      <x:c r="E11" s="95" t="str">
        <x:v>Tekrar sipariş kapısı açar.</x:v>
      </x:c>
      <x:c r="F11" s="89"/>
      <x:c r="G11" s="89"/>
      <x:c r="H11" s="89"/>
      <x:c r="I11" s="89"/>
      <x:c r="J11" s="89"/>
      <x:c r="K11" s="89"/>
      <x:c r="L11" s="89"/>
      <x:c r="M11" s="89"/>
      <x:c r="N11" s="89"/>
      <x:c r="O11" s="89"/>
      <x:c r="P11" s="89"/>
      <x:c r="Q11" s="89"/>
      <x:c r="R11" s="89"/>
      <x:c r="S11" s="89"/>
      <x:c r="T11" s="89"/>
      <x:c r="U11" s="89"/>
      <x:c r="V11" s="89"/>
      <x:c r="W11" s="89"/>
      <x:c r="X11" s="89"/>
      <x:c r="Y11" s="89"/>
      <x:c r="Z11" s="89"/>
    </x:row>
    <x:row r="12">
      <x:c r="A12" s="95" t="str">
        <x:v>Sosyal Kanıt</x:v>
      </x:c>
      <x:c r="B12" s="95" t="str">
        <x:v>Instagram DM</x:v>
      </x:c>
      <x:c r="C12" s="95" t="str">
        <x:v>Ürününüzü paylaşmamızda sakınca var mı? İsim/marka bilgisi paylaşmadan sadece baskı sürecini ve sonucu gösterebiliriz.</x:v>
      </x:c>
      <x:c r="D12" s="95" t="str">
        <x:v>Güzel çıkan işlerde</x:v>
      </x:c>
      <x:c r="E12" s="95" t="str">
        <x:v>İçerik üretimi için izin al.</x:v>
      </x:c>
      <x:c r="F12" s="89"/>
      <x:c r="G12" s="89"/>
      <x:c r="H12" s="89"/>
      <x:c r="I12" s="89"/>
      <x:c r="J12" s="89"/>
      <x:c r="K12" s="89"/>
      <x:c r="L12" s="89"/>
      <x:c r="M12" s="89"/>
      <x:c r="N12" s="89"/>
      <x:c r="O12" s="89"/>
      <x:c r="P12" s="89"/>
      <x:c r="Q12" s="89"/>
      <x:c r="R12" s="89"/>
      <x:c r="S12" s="89"/>
      <x:c r="T12" s="89"/>
      <x:c r="U12" s="89"/>
      <x:c r="V12" s="89"/>
      <x:c r="W12" s="89"/>
      <x:c r="X12" s="89"/>
      <x:c r="Y12" s="89"/>
      <x:c r="Z12" s="89"/>
    </x:row>
    <x:row r="13">
      <x:c r="A13" s="89"/>
      <x:c r="B13" s="89"/>
      <x:c r="C13" s="89"/>
      <x:c r="D13" s="89"/>
      <x:c r="E13" s="89"/>
      <x:c r="F13" s="89"/>
      <x:c r="G13" s="89"/>
      <x:c r="H13" s="89"/>
      <x:c r="I13" s="89"/>
      <x:c r="J13" s="89"/>
      <x:c r="K13" s="89"/>
      <x:c r="L13" s="89"/>
      <x:c r="M13" s="89"/>
      <x:c r="N13" s="89"/>
      <x:c r="O13" s="89"/>
      <x:c r="P13" s="89"/>
      <x:c r="Q13" s="89"/>
      <x:c r="R13" s="89"/>
      <x:c r="S13" s="89"/>
      <x:c r="T13" s="89"/>
      <x:c r="U13" s="89"/>
      <x:c r="V13" s="89"/>
      <x:c r="W13" s="89"/>
      <x:c r="X13" s="89"/>
      <x:c r="Y13" s="89"/>
      <x:c r="Z13" s="89"/>
    </x:row>
    <x:row r="14">
      <x:c r="A14" s="89"/>
      <x:c r="B14" s="89"/>
      <x:c r="C14" s="89"/>
      <x:c r="D14" s="89"/>
      <x:c r="E14" s="89"/>
      <x:c r="F14" s="89"/>
      <x:c r="G14" s="89"/>
      <x:c r="H14" s="89"/>
      <x:c r="I14" s="89"/>
      <x:c r="J14" s="89"/>
      <x:c r="K14" s="89"/>
      <x:c r="L14" s="89"/>
      <x:c r="M14" s="89"/>
      <x:c r="N14" s="89"/>
      <x:c r="O14" s="89"/>
      <x:c r="P14" s="89"/>
      <x:c r="Q14" s="89"/>
      <x:c r="R14" s="89"/>
      <x:c r="S14" s="89"/>
      <x:c r="T14" s="89"/>
      <x:c r="U14" s="89"/>
      <x:c r="V14" s="89"/>
      <x:c r="W14" s="89"/>
      <x:c r="X14" s="89"/>
      <x:c r="Y14" s="89"/>
      <x:c r="Z14" s="89"/>
    </x:row>
    <x:row r="15">
      <x:c r="A15" s="89"/>
      <x:c r="B15" s="89"/>
      <x:c r="C15" s="89"/>
      <x:c r="D15" s="89"/>
      <x:c r="E15" s="89"/>
      <x:c r="F15" s="89"/>
      <x:c r="G15" s="89"/>
      <x:c r="H15" s="89"/>
      <x:c r="I15" s="89"/>
      <x:c r="J15" s="89"/>
      <x:c r="K15" s="89"/>
      <x:c r="L15" s="89"/>
      <x:c r="M15" s="89"/>
      <x:c r="N15" s="89"/>
      <x:c r="O15" s="89"/>
      <x:c r="P15" s="89"/>
      <x:c r="Q15" s="89"/>
      <x:c r="R15" s="89"/>
      <x:c r="S15" s="89"/>
      <x:c r="T15" s="89"/>
      <x:c r="U15" s="89"/>
      <x:c r="V15" s="89"/>
      <x:c r="W15" s="89"/>
      <x:c r="X15" s="89"/>
      <x:c r="Y15" s="89"/>
      <x:c r="Z15" s="89"/>
    </x:row>
    <x:row r="16">
      <x:c r="A16" s="89"/>
      <x:c r="B16" s="89"/>
      <x:c r="C16" s="89"/>
      <x:c r="D16" s="89"/>
      <x:c r="E16" s="89"/>
      <x:c r="F16" s="89"/>
      <x:c r="G16" s="89"/>
      <x:c r="H16" s="89"/>
      <x:c r="I16" s="89"/>
      <x:c r="J16" s="89"/>
      <x:c r="K16" s="89"/>
      <x:c r="L16" s="89"/>
      <x:c r="M16" s="89"/>
      <x:c r="N16" s="89"/>
      <x:c r="O16" s="89"/>
      <x:c r="P16" s="89"/>
      <x:c r="Q16" s="89"/>
      <x:c r="R16" s="89"/>
      <x:c r="S16" s="89"/>
      <x:c r="T16" s="89"/>
      <x:c r="U16" s="89"/>
      <x:c r="V16" s="89"/>
      <x:c r="W16" s="89"/>
      <x:c r="X16" s="89"/>
      <x:c r="Y16" s="89"/>
      <x:c r="Z16" s="89"/>
    </x:row>
    <x:row r="17">
      <x:c r="A17" s="89"/>
      <x:c r="B17" s="89"/>
      <x:c r="C17" s="89"/>
      <x:c r="D17" s="89"/>
      <x:c r="E17" s="89"/>
      <x:c r="F17" s="89"/>
      <x:c r="G17" s="89"/>
      <x:c r="H17" s="89"/>
      <x:c r="I17" s="89"/>
      <x:c r="J17" s="89"/>
      <x:c r="K17" s="89"/>
      <x:c r="L17" s="89"/>
      <x:c r="M17" s="89"/>
      <x:c r="N17" s="89"/>
      <x:c r="O17" s="89"/>
      <x:c r="P17" s="89"/>
      <x:c r="Q17" s="89"/>
      <x:c r="R17" s="89"/>
      <x:c r="S17" s="89"/>
      <x:c r="T17" s="89"/>
      <x:c r="U17" s="89"/>
      <x:c r="V17" s="89"/>
      <x:c r="W17" s="89"/>
      <x:c r="X17" s="89"/>
      <x:c r="Y17" s="89"/>
      <x:c r="Z17" s="89"/>
    </x:row>
    <x:row r="18">
      <x:c r="A18" s="89"/>
      <x:c r="B18" s="89"/>
      <x:c r="C18" s="89"/>
      <x:c r="D18" s="89"/>
      <x:c r="E18" s="89"/>
      <x:c r="F18" s="89"/>
      <x:c r="G18" s="89"/>
      <x:c r="H18" s="89"/>
      <x:c r="I18" s="89"/>
      <x:c r="J18" s="89"/>
      <x:c r="K18" s="89"/>
      <x:c r="L18" s="89"/>
      <x:c r="M18" s="89"/>
      <x:c r="N18" s="89"/>
      <x:c r="O18" s="89"/>
      <x:c r="P18" s="89"/>
      <x:c r="Q18" s="89"/>
      <x:c r="R18" s="89"/>
      <x:c r="S18" s="89"/>
      <x:c r="T18" s="89"/>
      <x:c r="U18" s="89"/>
      <x:c r="V18" s="89"/>
      <x:c r="W18" s="89"/>
      <x:c r="X18" s="89"/>
      <x:c r="Y18" s="89"/>
      <x:c r="Z18" s="89"/>
    </x:row>
    <x:row r="19">
      <x:c r="A19" s="89"/>
      <x:c r="B19" s="89"/>
      <x:c r="C19" s="89"/>
      <x:c r="D19" s="89"/>
      <x:c r="E19" s="89"/>
      <x:c r="F19" s="89"/>
      <x:c r="G19" s="89"/>
      <x:c r="H19" s="89"/>
      <x:c r="I19" s="89"/>
      <x:c r="J19" s="89"/>
      <x:c r="K19" s="89"/>
      <x:c r="L19" s="89"/>
      <x:c r="M19" s="89"/>
      <x:c r="N19" s="89"/>
      <x:c r="O19" s="89"/>
      <x:c r="P19" s="89"/>
      <x:c r="Q19" s="89"/>
      <x:c r="R19" s="89"/>
      <x:c r="S19" s="89"/>
      <x:c r="T19" s="89"/>
      <x:c r="U19" s="89"/>
      <x:c r="V19" s="89"/>
      <x:c r="W19" s="89"/>
      <x:c r="X19" s="89"/>
      <x:c r="Y19" s="89"/>
      <x:c r="Z19" s="89"/>
    </x:row>
    <x:row r="20">
      <x:c r="A20" s="89"/>
      <x:c r="B20" s="89"/>
      <x:c r="C20" s="89"/>
      <x:c r="D20" s="89"/>
      <x:c r="E20" s="89"/>
      <x:c r="F20" s="89"/>
      <x:c r="G20" s="89"/>
      <x:c r="H20" s="89"/>
      <x:c r="I20" s="89"/>
      <x:c r="J20" s="89"/>
      <x:c r="K20" s="89"/>
      <x:c r="L20" s="89"/>
      <x:c r="M20" s="89"/>
      <x:c r="N20" s="89"/>
      <x:c r="O20" s="89"/>
      <x:c r="P20" s="89"/>
      <x:c r="Q20" s="89"/>
      <x:c r="R20" s="89"/>
      <x:c r="S20" s="89"/>
      <x:c r="T20" s="89"/>
      <x:c r="U20" s="89"/>
      <x:c r="V20" s="89"/>
      <x:c r="W20" s="89"/>
      <x:c r="X20" s="89"/>
      <x:c r="Y20" s="89"/>
      <x:c r="Z20" s="89"/>
    </x:row>
    <x:row r="21">
      <x:c r="A21" s="89"/>
      <x:c r="B21" s="89"/>
      <x:c r="C21" s="89"/>
      <x:c r="D21" s="89"/>
      <x:c r="E21" s="89"/>
      <x:c r="F21" s="89"/>
      <x:c r="G21" s="89"/>
      <x:c r="H21" s="89"/>
      <x:c r="I21" s="89"/>
      <x:c r="J21" s="89"/>
      <x:c r="K21" s="89"/>
      <x:c r="L21" s="89"/>
      <x:c r="M21" s="89"/>
      <x:c r="N21" s="89"/>
      <x:c r="O21" s="89"/>
      <x:c r="P21" s="89"/>
      <x:c r="Q21" s="89"/>
      <x:c r="R21" s="89"/>
      <x:c r="S21" s="89"/>
      <x:c r="T21" s="89"/>
      <x:c r="U21" s="89"/>
      <x:c r="V21" s="89"/>
      <x:c r="W21" s="89"/>
      <x:c r="X21" s="89"/>
      <x:c r="Y21" s="89"/>
      <x:c r="Z21" s="89"/>
    </x:row>
    <x:row r="22">
      <x:c r="A22" s="89"/>
      <x:c r="B22" s="89"/>
      <x:c r="C22" s="89"/>
      <x:c r="D22" s="89"/>
      <x:c r="E22" s="89"/>
      <x:c r="F22" s="89"/>
      <x:c r="G22" s="89"/>
      <x:c r="H22" s="89"/>
      <x:c r="I22" s="89"/>
      <x:c r="J22" s="89"/>
      <x:c r="K22" s="89"/>
      <x:c r="L22" s="89"/>
      <x:c r="M22" s="89"/>
      <x:c r="N22" s="89"/>
      <x:c r="O22" s="89"/>
      <x:c r="P22" s="89"/>
      <x:c r="Q22" s="89"/>
      <x:c r="R22" s="89"/>
      <x:c r="S22" s="89"/>
      <x:c r="T22" s="89"/>
      <x:c r="U22" s="89"/>
      <x:c r="V22" s="89"/>
      <x:c r="W22" s="89"/>
      <x:c r="X22" s="89"/>
      <x:c r="Y22" s="89"/>
      <x:c r="Z22" s="89"/>
    </x:row>
    <x:row r="23">
      <x:c r="A23" s="89"/>
      <x:c r="B23" s="89"/>
      <x:c r="C23" s="89"/>
      <x:c r="D23" s="89"/>
      <x:c r="E23" s="89"/>
      <x:c r="F23" s="89"/>
      <x:c r="G23" s="89"/>
      <x:c r="H23" s="89"/>
      <x:c r="I23" s="89"/>
      <x:c r="J23" s="89"/>
      <x:c r="K23" s="89"/>
      <x:c r="L23" s="89"/>
      <x:c r="M23" s="89"/>
      <x:c r="N23" s="89"/>
      <x:c r="O23" s="89"/>
      <x:c r="P23" s="89"/>
      <x:c r="Q23" s="89"/>
      <x:c r="R23" s="89"/>
      <x:c r="S23" s="89"/>
      <x:c r="T23" s="89"/>
      <x:c r="U23" s="89"/>
      <x:c r="V23" s="89"/>
      <x:c r="W23" s="89"/>
      <x:c r="X23" s="89"/>
      <x:c r="Y23" s="89"/>
      <x:c r="Z23" s="89"/>
    </x:row>
    <x:row r="24">
      <x:c r="A24" s="89"/>
      <x:c r="B24" s="89"/>
      <x:c r="C24" s="89"/>
      <x:c r="D24" s="89"/>
      <x:c r="E24" s="89"/>
      <x:c r="F24" s="89"/>
      <x:c r="G24" s="89"/>
      <x:c r="H24" s="89"/>
      <x:c r="I24" s="89"/>
      <x:c r="J24" s="89"/>
      <x:c r="K24" s="89"/>
      <x:c r="L24" s="89"/>
      <x:c r="M24" s="89"/>
      <x:c r="N24" s="89"/>
      <x:c r="O24" s="89"/>
      <x:c r="P24" s="89"/>
      <x:c r="Q24" s="89"/>
      <x:c r="R24" s="89"/>
      <x:c r="S24" s="89"/>
      <x:c r="T24" s="89"/>
      <x:c r="U24" s="89"/>
      <x:c r="V24" s="89"/>
      <x:c r="W24" s="89"/>
      <x:c r="X24" s="89"/>
      <x:c r="Y24" s="89"/>
      <x:c r="Z24" s="89"/>
    </x:row>
    <x:row r="25">
      <x:c r="A25" s="89"/>
      <x:c r="B25" s="89"/>
      <x:c r="C25" s="89"/>
      <x:c r="D25" s="89"/>
      <x:c r="E25" s="89"/>
      <x:c r="F25" s="89"/>
      <x:c r="G25" s="89"/>
      <x:c r="H25" s="89"/>
      <x:c r="I25" s="89"/>
      <x:c r="J25" s="89"/>
      <x:c r="K25" s="89"/>
      <x:c r="L25" s="89"/>
      <x:c r="M25" s="89"/>
      <x:c r="N25" s="89"/>
      <x:c r="O25" s="89"/>
      <x:c r="P25" s="89"/>
      <x:c r="Q25" s="89"/>
      <x:c r="R25" s="89"/>
      <x:c r="S25" s="89"/>
      <x:c r="T25" s="89"/>
      <x:c r="U25" s="89"/>
      <x:c r="V25" s="89"/>
      <x:c r="W25" s="89"/>
      <x:c r="X25" s="89"/>
      <x:c r="Y25" s="89"/>
      <x:c r="Z25" s="89"/>
    </x:row>
    <x:row r="26">
      <x:c r="A26" s="89"/>
      <x:c r="B26" s="89"/>
      <x:c r="C26" s="89"/>
      <x:c r="D26" s="89"/>
      <x:c r="E26" s="89"/>
      <x:c r="F26" s="89"/>
      <x:c r="G26" s="89"/>
      <x:c r="H26" s="89"/>
      <x:c r="I26" s="89"/>
      <x:c r="J26" s="89"/>
      <x:c r="K26" s="89"/>
      <x:c r="L26" s="89"/>
      <x:c r="M26" s="89"/>
      <x:c r="N26" s="89"/>
      <x:c r="O26" s="89"/>
      <x:c r="P26" s="89"/>
      <x:c r="Q26" s="89"/>
      <x:c r="R26" s="89"/>
      <x:c r="S26" s="89"/>
      <x:c r="T26" s="89"/>
      <x:c r="U26" s="89"/>
      <x:c r="V26" s="89"/>
      <x:c r="W26" s="89"/>
      <x:c r="X26" s="89"/>
      <x:c r="Y26" s="89"/>
      <x:c r="Z26" s="89"/>
    </x:row>
    <x:row r="27">
      <x:c r="A27" s="89"/>
      <x:c r="B27" s="89"/>
      <x:c r="C27" s="89"/>
      <x:c r="D27" s="89"/>
      <x:c r="E27" s="89"/>
      <x:c r="F27" s="89"/>
      <x:c r="G27" s="89"/>
      <x:c r="H27" s="89"/>
      <x:c r="I27" s="89"/>
      <x:c r="J27" s="89"/>
      <x:c r="K27" s="89"/>
      <x:c r="L27" s="89"/>
      <x:c r="M27" s="89"/>
      <x:c r="N27" s="89"/>
      <x:c r="O27" s="89"/>
      <x:c r="P27" s="89"/>
      <x:c r="Q27" s="89"/>
      <x:c r="R27" s="89"/>
      <x:c r="S27" s="89"/>
      <x:c r="T27" s="89"/>
      <x:c r="U27" s="89"/>
      <x:c r="V27" s="89"/>
      <x:c r="W27" s="89"/>
      <x:c r="X27" s="89"/>
      <x:c r="Y27" s="89"/>
      <x:c r="Z27" s="89"/>
    </x:row>
    <x:row r="28">
      <x:c r="A28" s="89"/>
      <x:c r="B28" s="89"/>
      <x:c r="C28" s="89"/>
      <x:c r="D28" s="89"/>
      <x:c r="E28" s="89"/>
      <x:c r="F28" s="89"/>
      <x:c r="G28" s="89"/>
      <x:c r="H28" s="89"/>
      <x:c r="I28" s="89"/>
      <x:c r="J28" s="89"/>
      <x:c r="K28" s="89"/>
      <x:c r="L28" s="89"/>
      <x:c r="M28" s="89"/>
      <x:c r="N28" s="89"/>
      <x:c r="O28" s="89"/>
      <x:c r="P28" s="89"/>
      <x:c r="Q28" s="89"/>
      <x:c r="R28" s="89"/>
      <x:c r="S28" s="89"/>
      <x:c r="T28" s="89"/>
      <x:c r="U28" s="89"/>
      <x:c r="V28" s="89"/>
      <x:c r="W28" s="89"/>
      <x:c r="X28" s="89"/>
      <x:c r="Y28" s="89"/>
      <x:c r="Z28" s="89"/>
    </x:row>
    <x:row r="29">
      <x:c r="A29" s="89"/>
      <x:c r="B29" s="89"/>
      <x:c r="C29" s="89"/>
      <x:c r="D29" s="89"/>
      <x:c r="E29" s="89"/>
      <x:c r="F29" s="89"/>
      <x:c r="G29" s="89"/>
      <x:c r="H29" s="89"/>
      <x:c r="I29" s="89"/>
      <x:c r="J29" s="89"/>
      <x:c r="K29" s="89"/>
      <x:c r="L29" s="89"/>
      <x:c r="M29" s="89"/>
      <x:c r="N29" s="89"/>
      <x:c r="O29" s="89"/>
      <x:c r="P29" s="89"/>
      <x:c r="Q29" s="89"/>
      <x:c r="R29" s="89"/>
      <x:c r="S29" s="89"/>
      <x:c r="T29" s="89"/>
      <x:c r="U29" s="89"/>
      <x:c r="V29" s="89"/>
      <x:c r="W29" s="89"/>
      <x:c r="X29" s="89"/>
      <x:c r="Y29" s="89"/>
      <x:c r="Z29" s="89"/>
    </x:row>
    <x:row r="30">
      <x:c r="A30" s="89"/>
      <x:c r="B30" s="89"/>
      <x:c r="C30" s="89"/>
      <x:c r="D30" s="89"/>
      <x:c r="E30" s="89"/>
      <x:c r="F30" s="89"/>
      <x:c r="G30" s="89"/>
      <x:c r="H30" s="89"/>
      <x:c r="I30" s="89"/>
      <x:c r="J30" s="89"/>
      <x:c r="K30" s="89"/>
      <x:c r="L30" s="89"/>
      <x:c r="M30" s="89"/>
      <x:c r="N30" s="89"/>
      <x:c r="O30" s="89"/>
      <x:c r="P30" s="89"/>
      <x:c r="Q30" s="89"/>
      <x:c r="R30" s="89"/>
      <x:c r="S30" s="89"/>
      <x:c r="T30" s="89"/>
      <x:c r="U30" s="89"/>
      <x:c r="V30" s="89"/>
      <x:c r="W30" s="89"/>
      <x:c r="X30" s="89"/>
      <x:c r="Y30" s="89"/>
      <x:c r="Z30" s="89"/>
    </x:row>
    <x:row r="31">
      <x:c r="A31" s="89"/>
      <x:c r="B31" s="89"/>
      <x:c r="C31" s="89"/>
      <x:c r="D31" s="89"/>
      <x:c r="E31" s="89"/>
      <x:c r="F31" s="89"/>
      <x:c r="G31" s="89"/>
      <x:c r="H31" s="89"/>
      <x:c r="I31" s="89"/>
      <x:c r="J31" s="89"/>
      <x:c r="K31" s="89"/>
      <x:c r="L31" s="89"/>
      <x:c r="M31" s="89"/>
      <x:c r="N31" s="89"/>
      <x:c r="O31" s="89"/>
      <x:c r="P31" s="89"/>
      <x:c r="Q31" s="89"/>
      <x:c r="R31" s="89"/>
      <x:c r="S31" s="89"/>
      <x:c r="T31" s="89"/>
      <x:c r="U31" s="89"/>
      <x:c r="V31" s="89"/>
      <x:c r="W31" s="89"/>
      <x:c r="X31" s="89"/>
      <x:c r="Y31" s="89"/>
      <x:c r="Z31" s="89"/>
    </x:row>
    <x:row r="32">
      <x:c r="A32" s="89"/>
      <x:c r="B32" s="89"/>
      <x:c r="C32" s="89"/>
      <x:c r="D32" s="89"/>
      <x:c r="E32" s="89"/>
      <x:c r="F32" s="89"/>
      <x:c r="G32" s="89"/>
      <x:c r="H32" s="89"/>
      <x:c r="I32" s="89"/>
      <x:c r="J32" s="89"/>
      <x:c r="K32" s="89"/>
      <x:c r="L32" s="89"/>
      <x:c r="M32" s="89"/>
      <x:c r="N32" s="89"/>
      <x:c r="O32" s="89"/>
      <x:c r="P32" s="89"/>
      <x:c r="Q32" s="89"/>
      <x:c r="R32" s="89"/>
      <x:c r="S32" s="89"/>
      <x:c r="T32" s="89"/>
      <x:c r="U32" s="89"/>
      <x:c r="V32" s="89"/>
      <x:c r="W32" s="89"/>
      <x:c r="X32" s="89"/>
      <x:c r="Y32" s="89"/>
      <x:c r="Z32" s="89"/>
    </x:row>
    <x:row r="33">
      <x:c r="A33" s="89"/>
      <x:c r="B33" s="89"/>
      <x:c r="C33" s="89"/>
      <x:c r="D33" s="89"/>
      <x:c r="E33" s="89"/>
      <x:c r="F33" s="89"/>
      <x:c r="G33" s="89"/>
      <x:c r="H33" s="89"/>
      <x:c r="I33" s="89"/>
      <x:c r="J33" s="89"/>
      <x:c r="K33" s="89"/>
      <x:c r="L33" s="89"/>
      <x:c r="M33" s="89"/>
      <x:c r="N33" s="89"/>
      <x:c r="O33" s="89"/>
      <x:c r="P33" s="89"/>
      <x:c r="Q33" s="89"/>
      <x:c r="R33" s="89"/>
      <x:c r="S33" s="89"/>
      <x:c r="T33" s="89"/>
      <x:c r="U33" s="89"/>
      <x:c r="V33" s="89"/>
      <x:c r="W33" s="89"/>
      <x:c r="X33" s="89"/>
      <x:c r="Y33" s="89"/>
      <x:c r="Z33" s="89"/>
    </x:row>
    <x:row r="34">
      <x:c r="A34" s="89"/>
      <x:c r="B34" s="89"/>
      <x:c r="C34" s="89"/>
      <x:c r="D34" s="89"/>
      <x:c r="E34" s="89"/>
      <x:c r="F34" s="89"/>
      <x:c r="G34" s="89"/>
      <x:c r="H34" s="89"/>
      <x:c r="I34" s="89"/>
      <x:c r="J34" s="89"/>
      <x:c r="K34" s="89"/>
      <x:c r="L34" s="89"/>
      <x:c r="M34" s="89"/>
      <x:c r="N34" s="89"/>
      <x:c r="O34" s="89"/>
      <x:c r="P34" s="89"/>
      <x:c r="Q34" s="89"/>
      <x:c r="R34" s="89"/>
      <x:c r="S34" s="89"/>
      <x:c r="T34" s="89"/>
      <x:c r="U34" s="89"/>
      <x:c r="V34" s="89"/>
      <x:c r="W34" s="89"/>
      <x:c r="X34" s="89"/>
      <x:c r="Y34" s="89"/>
      <x:c r="Z34" s="89"/>
    </x:row>
    <x:row r="35">
      <x:c r="A35" s="89"/>
      <x:c r="B35" s="89"/>
      <x:c r="C35" s="89"/>
      <x:c r="D35" s="89"/>
      <x:c r="E35" s="89"/>
      <x:c r="F35" s="89"/>
      <x:c r="G35" s="89"/>
      <x:c r="H35" s="89"/>
      <x:c r="I35" s="89"/>
      <x:c r="J35" s="89"/>
      <x:c r="K35" s="89"/>
      <x:c r="L35" s="89"/>
      <x:c r="M35" s="89"/>
      <x:c r="N35" s="89"/>
      <x:c r="O35" s="89"/>
      <x:c r="P35" s="89"/>
      <x:c r="Q35" s="89"/>
      <x:c r="R35" s="89"/>
      <x:c r="S35" s="89"/>
      <x:c r="T35" s="89"/>
      <x:c r="U35" s="89"/>
      <x:c r="V35" s="89"/>
      <x:c r="W35" s="89"/>
      <x:c r="X35" s="89"/>
      <x:c r="Y35" s="89"/>
      <x:c r="Z35" s="89"/>
    </x:row>
    <x:row r="36">
      <x:c r="A36" s="89"/>
      <x:c r="B36" s="89"/>
      <x:c r="C36" s="89"/>
      <x:c r="D36" s="89"/>
      <x:c r="E36" s="89"/>
      <x:c r="F36" s="89"/>
      <x:c r="G36" s="89"/>
      <x:c r="H36" s="89"/>
      <x:c r="I36" s="89"/>
      <x:c r="J36" s="89"/>
      <x:c r="K36" s="89"/>
      <x:c r="L36" s="89"/>
      <x:c r="M36" s="89"/>
      <x:c r="N36" s="89"/>
      <x:c r="O36" s="89"/>
      <x:c r="P36" s="89"/>
      <x:c r="Q36" s="89"/>
      <x:c r="R36" s="89"/>
      <x:c r="S36" s="89"/>
      <x:c r="T36" s="89"/>
      <x:c r="U36" s="89"/>
      <x:c r="V36" s="89"/>
      <x:c r="W36" s="89"/>
      <x:c r="X36" s="89"/>
      <x:c r="Y36" s="89"/>
      <x:c r="Z36" s="89"/>
    </x:row>
    <x:row r="37">
      <x:c r="A37" s="89"/>
      <x:c r="B37" s="89"/>
      <x:c r="C37" s="89"/>
      <x:c r="D37" s="89"/>
      <x:c r="E37" s="89"/>
      <x:c r="F37" s="89"/>
      <x:c r="G37" s="89"/>
      <x:c r="H37" s="89"/>
      <x:c r="I37" s="89"/>
      <x:c r="J37" s="89"/>
      <x:c r="K37" s="89"/>
      <x:c r="L37" s="89"/>
      <x:c r="M37" s="89"/>
      <x:c r="N37" s="89"/>
      <x:c r="O37" s="89"/>
      <x:c r="P37" s="89"/>
      <x:c r="Q37" s="89"/>
      <x:c r="R37" s="89"/>
      <x:c r="S37" s="89"/>
      <x:c r="T37" s="89"/>
      <x:c r="U37" s="89"/>
      <x:c r="V37" s="89"/>
      <x:c r="W37" s="89"/>
      <x:c r="X37" s="89"/>
      <x:c r="Y37" s="89"/>
      <x:c r="Z37" s="89"/>
    </x:row>
    <x:row r="38">
      <x:c r="A38" s="89"/>
      <x:c r="B38" s="89"/>
      <x:c r="C38" s="89"/>
      <x:c r="D38" s="89"/>
      <x:c r="E38" s="89"/>
      <x:c r="F38" s="89"/>
      <x:c r="G38" s="89"/>
      <x:c r="H38" s="89"/>
      <x:c r="I38" s="89"/>
      <x:c r="J38" s="89"/>
      <x:c r="K38" s="89"/>
      <x:c r="L38" s="89"/>
      <x:c r="M38" s="89"/>
      <x:c r="N38" s="89"/>
      <x:c r="O38" s="89"/>
      <x:c r="P38" s="89"/>
      <x:c r="Q38" s="89"/>
      <x:c r="R38" s="89"/>
      <x:c r="S38" s="89"/>
      <x:c r="T38" s="89"/>
      <x:c r="U38" s="89"/>
      <x:c r="V38" s="89"/>
      <x:c r="W38" s="89"/>
      <x:c r="X38" s="89"/>
      <x:c r="Y38" s="89"/>
      <x:c r="Z38" s="89"/>
    </x:row>
    <x:row r="39">
      <x:c r="A39" s="89"/>
      <x:c r="B39" s="89"/>
      <x:c r="C39" s="89"/>
      <x:c r="D39" s="89"/>
      <x:c r="E39" s="89"/>
      <x:c r="F39" s="89"/>
      <x:c r="G39" s="89"/>
      <x:c r="H39" s="89"/>
      <x:c r="I39" s="89"/>
      <x:c r="J39" s="89"/>
      <x:c r="K39" s="89"/>
      <x:c r="L39" s="89"/>
      <x:c r="M39" s="89"/>
      <x:c r="N39" s="89"/>
      <x:c r="O39" s="89"/>
      <x:c r="P39" s="89"/>
      <x:c r="Q39" s="89"/>
      <x:c r="R39" s="89"/>
      <x:c r="S39" s="89"/>
      <x:c r="T39" s="89"/>
      <x:c r="U39" s="89"/>
      <x:c r="V39" s="89"/>
      <x:c r="W39" s="89"/>
      <x:c r="X39" s="89"/>
      <x:c r="Y39" s="89"/>
      <x:c r="Z39" s="89"/>
    </x:row>
    <x:row r="40">
      <x:c r="A40" s="89"/>
      <x:c r="B40" s="89"/>
      <x:c r="C40" s="89"/>
      <x:c r="D40" s="89"/>
      <x:c r="E40" s="89"/>
      <x:c r="F40" s="89"/>
      <x:c r="G40" s="89"/>
      <x:c r="H40" s="89"/>
      <x:c r="I40" s="89"/>
      <x:c r="J40" s="89"/>
      <x:c r="K40" s="89"/>
      <x:c r="L40" s="89"/>
      <x:c r="M40" s="89"/>
      <x:c r="N40" s="89"/>
      <x:c r="O40" s="89"/>
      <x:c r="P40" s="89"/>
      <x:c r="Q40" s="89"/>
      <x:c r="R40" s="89"/>
      <x:c r="S40" s="89"/>
      <x:c r="T40" s="89"/>
      <x:c r="U40" s="89"/>
      <x:c r="V40" s="89"/>
      <x:c r="W40" s="89"/>
      <x:c r="X40" s="89"/>
      <x:c r="Y40" s="89"/>
      <x:c r="Z40" s="89"/>
    </x:row>
    <x:row r="41">
      <x:c r="A41" s="89"/>
      <x:c r="B41" s="89"/>
      <x:c r="C41" s="89"/>
      <x:c r="D41" s="89"/>
      <x:c r="E41" s="89"/>
      <x:c r="F41" s="89"/>
      <x:c r="G41" s="89"/>
      <x:c r="H41" s="89"/>
      <x:c r="I41" s="89"/>
      <x:c r="J41" s="89"/>
      <x:c r="K41" s="89"/>
      <x:c r="L41" s="89"/>
      <x:c r="M41" s="89"/>
      <x:c r="N41" s="89"/>
      <x:c r="O41" s="89"/>
      <x:c r="P41" s="89"/>
      <x:c r="Q41" s="89"/>
      <x:c r="R41" s="89"/>
      <x:c r="S41" s="89"/>
      <x:c r="T41" s="89"/>
      <x:c r="U41" s="89"/>
      <x:c r="V41" s="89"/>
      <x:c r="W41" s="89"/>
      <x:c r="X41" s="89"/>
      <x:c r="Y41" s="89"/>
      <x:c r="Z41" s="89"/>
    </x:row>
    <x:row r="42">
      <x:c r="A42" s="89"/>
      <x:c r="B42" s="89"/>
      <x:c r="C42" s="89"/>
      <x:c r="D42" s="89"/>
      <x:c r="E42" s="89"/>
      <x:c r="F42" s="89"/>
      <x:c r="G42" s="89"/>
      <x:c r="H42" s="89"/>
      <x:c r="I42" s="89"/>
      <x:c r="J42" s="89"/>
      <x:c r="K42" s="89"/>
      <x:c r="L42" s="89"/>
      <x:c r="M42" s="89"/>
      <x:c r="N42" s="89"/>
      <x:c r="O42" s="89"/>
      <x:c r="P42" s="89"/>
      <x:c r="Q42" s="89"/>
      <x:c r="R42" s="89"/>
      <x:c r="S42" s="89"/>
      <x:c r="T42" s="89"/>
      <x:c r="U42" s="89"/>
      <x:c r="V42" s="89"/>
      <x:c r="W42" s="89"/>
      <x:c r="X42" s="89"/>
      <x:c r="Y42" s="89"/>
      <x:c r="Z42" s="89"/>
    </x:row>
    <x:row r="43">
      <x:c r="A43" s="89"/>
      <x:c r="B43" s="89"/>
      <x:c r="C43" s="89"/>
      <x:c r="D43" s="89"/>
      <x:c r="E43" s="89"/>
      <x:c r="F43" s="89"/>
      <x:c r="G43" s="89"/>
      <x:c r="H43" s="89"/>
      <x:c r="I43" s="89"/>
      <x:c r="J43" s="89"/>
      <x:c r="K43" s="89"/>
      <x:c r="L43" s="89"/>
      <x:c r="M43" s="89"/>
      <x:c r="N43" s="89"/>
      <x:c r="O43" s="89"/>
      <x:c r="P43" s="89"/>
      <x:c r="Q43" s="89"/>
      <x:c r="R43" s="89"/>
      <x:c r="S43" s="89"/>
      <x:c r="T43" s="89"/>
      <x:c r="U43" s="89"/>
      <x:c r="V43" s="89"/>
      <x:c r="W43" s="89"/>
      <x:c r="X43" s="89"/>
      <x:c r="Y43" s="89"/>
      <x:c r="Z43" s="89"/>
    </x:row>
    <x:row r="44">
      <x:c r="A44" s="89"/>
      <x:c r="B44" s="89"/>
      <x:c r="C44" s="89"/>
      <x:c r="D44" s="89"/>
      <x:c r="E44" s="89"/>
      <x:c r="F44" s="89"/>
      <x:c r="G44" s="89"/>
      <x:c r="H44" s="89"/>
      <x:c r="I44" s="89"/>
      <x:c r="J44" s="89"/>
      <x:c r="K44" s="89"/>
      <x:c r="L44" s="89"/>
      <x:c r="M44" s="89"/>
      <x:c r="N44" s="89"/>
      <x:c r="O44" s="89"/>
      <x:c r="P44" s="89"/>
      <x:c r="Q44" s="89"/>
      <x:c r="R44" s="89"/>
      <x:c r="S44" s="89"/>
      <x:c r="T44" s="89"/>
      <x:c r="U44" s="89"/>
      <x:c r="V44" s="89"/>
      <x:c r="W44" s="89"/>
      <x:c r="X44" s="89"/>
      <x:c r="Y44" s="89"/>
      <x:c r="Z44" s="89"/>
    </x:row>
    <x:row r="45">
      <x:c r="A45" s="89"/>
      <x:c r="B45" s="89"/>
      <x:c r="C45" s="89"/>
      <x:c r="D45" s="89"/>
      <x:c r="E45" s="89"/>
      <x:c r="F45" s="89"/>
      <x:c r="G45" s="89"/>
      <x:c r="H45" s="89"/>
      <x:c r="I45" s="89"/>
      <x:c r="J45" s="89"/>
      <x:c r="K45" s="89"/>
      <x:c r="L45" s="89"/>
      <x:c r="M45" s="89"/>
      <x:c r="N45" s="89"/>
      <x:c r="O45" s="89"/>
      <x:c r="P45" s="89"/>
      <x:c r="Q45" s="89"/>
      <x:c r="R45" s="89"/>
      <x:c r="S45" s="89"/>
      <x:c r="T45" s="89"/>
      <x:c r="U45" s="89"/>
      <x:c r="V45" s="89"/>
      <x:c r="W45" s="89"/>
      <x:c r="X45" s="89"/>
      <x:c r="Y45" s="89"/>
      <x:c r="Z45" s="89"/>
    </x:row>
    <x:row r="46">
      <x:c r="A46" s="89"/>
      <x:c r="B46" s="89"/>
      <x:c r="C46" s="89"/>
      <x:c r="D46" s="89"/>
      <x:c r="E46" s="89"/>
      <x:c r="F46" s="89"/>
      <x:c r="G46" s="89"/>
      <x:c r="H46" s="89"/>
      <x:c r="I46" s="89"/>
      <x:c r="J46" s="89"/>
      <x:c r="K46" s="89"/>
      <x:c r="L46" s="89"/>
      <x:c r="M46" s="89"/>
      <x:c r="N46" s="89"/>
      <x:c r="O46" s="89"/>
      <x:c r="P46" s="89"/>
      <x:c r="Q46" s="89"/>
      <x:c r="R46" s="89"/>
      <x:c r="S46" s="89"/>
      <x:c r="T46" s="89"/>
      <x:c r="U46" s="89"/>
      <x:c r="V46" s="89"/>
      <x:c r="W46" s="89"/>
      <x:c r="X46" s="89"/>
      <x:c r="Y46" s="89"/>
      <x:c r="Z46" s="89"/>
    </x:row>
    <x:row r="47">
      <x:c r="A47" s="89"/>
      <x:c r="B47" s="89"/>
      <x:c r="C47" s="89"/>
      <x:c r="D47" s="89"/>
      <x:c r="E47" s="89"/>
      <x:c r="F47" s="89"/>
      <x:c r="G47" s="89"/>
      <x:c r="H47" s="89"/>
      <x:c r="I47" s="89"/>
      <x:c r="J47" s="89"/>
      <x:c r="K47" s="89"/>
      <x:c r="L47" s="89"/>
      <x:c r="M47" s="89"/>
      <x:c r="N47" s="89"/>
      <x:c r="O47" s="89"/>
      <x:c r="P47" s="89"/>
      <x:c r="Q47" s="89"/>
      <x:c r="R47" s="89"/>
      <x:c r="S47" s="89"/>
      <x:c r="T47" s="89"/>
      <x:c r="U47" s="89"/>
      <x:c r="V47" s="89"/>
      <x:c r="W47" s="89"/>
      <x:c r="X47" s="89"/>
      <x:c r="Y47" s="89"/>
      <x:c r="Z47" s="89"/>
    </x:row>
    <x:row r="48">
      <x:c r="A48" s="89"/>
      <x:c r="B48" s="89"/>
      <x:c r="C48" s="89"/>
      <x:c r="D48" s="89"/>
      <x:c r="E48" s="89"/>
      <x:c r="F48" s="89"/>
      <x:c r="G48" s="89"/>
      <x:c r="H48" s="89"/>
      <x:c r="I48" s="89"/>
      <x:c r="J48" s="89"/>
      <x:c r="K48" s="89"/>
      <x:c r="L48" s="89"/>
      <x:c r="M48" s="89"/>
      <x:c r="N48" s="89"/>
      <x:c r="O48" s="89"/>
      <x:c r="P48" s="89"/>
      <x:c r="Q48" s="89"/>
      <x:c r="R48" s="89"/>
      <x:c r="S48" s="89"/>
      <x:c r="T48" s="89"/>
      <x:c r="U48" s="89"/>
      <x:c r="V48" s="89"/>
      <x:c r="W48" s="89"/>
      <x:c r="X48" s="89"/>
      <x:c r="Y48" s="89"/>
      <x:c r="Z48" s="89"/>
    </x:row>
    <x:row r="49">
      <x:c r="A49" s="89"/>
      <x:c r="B49" s="89"/>
      <x:c r="C49" s="89"/>
      <x:c r="D49" s="89"/>
      <x:c r="E49" s="89"/>
      <x:c r="F49" s="89"/>
      <x:c r="G49" s="89"/>
      <x:c r="H49" s="89"/>
      <x:c r="I49" s="89"/>
      <x:c r="J49" s="89"/>
      <x:c r="K49" s="89"/>
      <x:c r="L49" s="89"/>
      <x:c r="M49" s="89"/>
      <x:c r="N49" s="89"/>
      <x:c r="O49" s="89"/>
      <x:c r="P49" s="89"/>
      <x:c r="Q49" s="89"/>
      <x:c r="R49" s="89"/>
      <x:c r="S49" s="89"/>
      <x:c r="T49" s="89"/>
      <x:c r="U49" s="89"/>
      <x:c r="V49" s="89"/>
      <x:c r="W49" s="89"/>
      <x:c r="X49" s="89"/>
      <x:c r="Y49" s="89"/>
      <x:c r="Z49" s="89"/>
    </x:row>
    <x:row r="50">
      <x:c r="A50" s="89"/>
      <x:c r="B50" s="89"/>
      <x:c r="C50" s="89"/>
      <x:c r="D50" s="89"/>
      <x:c r="E50" s="89"/>
      <x:c r="F50" s="89"/>
      <x:c r="G50" s="89"/>
      <x:c r="H50" s="89"/>
      <x:c r="I50" s="89"/>
      <x:c r="J50" s="89"/>
      <x:c r="K50" s="89"/>
      <x:c r="L50" s="89"/>
      <x:c r="M50" s="89"/>
      <x:c r="N50" s="89"/>
      <x:c r="O50" s="89"/>
      <x:c r="P50" s="89"/>
      <x:c r="Q50" s="89"/>
      <x:c r="R50" s="89"/>
      <x:c r="S50" s="89"/>
      <x:c r="T50" s="89"/>
      <x:c r="U50" s="89"/>
      <x:c r="V50" s="89"/>
      <x:c r="W50" s="89"/>
      <x:c r="X50" s="89"/>
      <x:c r="Y50" s="89"/>
      <x:c r="Z50" s="89"/>
    </x:row>
    <x:row r="51">
      <x:c r="A51" s="89"/>
      <x:c r="B51" s="89"/>
      <x:c r="C51" s="89"/>
      <x:c r="D51" s="89"/>
      <x:c r="E51" s="89"/>
      <x:c r="F51" s="89"/>
      <x:c r="G51" s="89"/>
      <x:c r="H51" s="89"/>
      <x:c r="I51" s="89"/>
      <x:c r="J51" s="89"/>
      <x:c r="K51" s="89"/>
      <x:c r="L51" s="89"/>
      <x:c r="M51" s="89"/>
      <x:c r="N51" s="89"/>
      <x:c r="O51" s="89"/>
      <x:c r="P51" s="89"/>
      <x:c r="Q51" s="89"/>
      <x:c r="R51" s="89"/>
      <x:c r="S51" s="89"/>
      <x:c r="T51" s="89"/>
      <x:c r="U51" s="89"/>
      <x:c r="V51" s="89"/>
      <x:c r="W51" s="89"/>
      <x:c r="X51" s="89"/>
      <x:c r="Y51" s="89"/>
      <x:c r="Z51" s="89"/>
    </x:row>
    <x:row r="52">
      <x:c r="A52" s="89"/>
      <x:c r="B52" s="89"/>
      <x:c r="C52" s="89"/>
      <x:c r="D52" s="89"/>
      <x:c r="E52" s="89"/>
      <x:c r="F52" s="89"/>
      <x:c r="G52" s="89"/>
      <x:c r="H52" s="89"/>
      <x:c r="I52" s="89"/>
      <x:c r="J52" s="89"/>
      <x:c r="K52" s="89"/>
      <x:c r="L52" s="89"/>
      <x:c r="M52" s="89"/>
      <x:c r="N52" s="89"/>
      <x:c r="O52" s="89"/>
      <x:c r="P52" s="89"/>
      <x:c r="Q52" s="89"/>
      <x:c r="R52" s="89"/>
      <x:c r="S52" s="89"/>
      <x:c r="T52" s="89"/>
      <x:c r="U52" s="89"/>
      <x:c r="V52" s="89"/>
      <x:c r="W52" s="89"/>
      <x:c r="X52" s="89"/>
      <x:c r="Y52" s="89"/>
      <x:c r="Z52" s="89"/>
    </x:row>
    <x:row r="53">
      <x:c r="A53" s="89"/>
      <x:c r="B53" s="89"/>
      <x:c r="C53" s="89"/>
      <x:c r="D53" s="89"/>
      <x:c r="E53" s="89"/>
      <x:c r="F53" s="89"/>
      <x:c r="G53" s="89"/>
      <x:c r="H53" s="89"/>
      <x:c r="I53" s="89"/>
      <x:c r="J53" s="89"/>
      <x:c r="K53" s="89"/>
      <x:c r="L53" s="89"/>
      <x:c r="M53" s="89"/>
      <x:c r="N53" s="89"/>
      <x:c r="O53" s="89"/>
      <x:c r="P53" s="89"/>
      <x:c r="Q53" s="89"/>
      <x:c r="R53" s="89"/>
      <x:c r="S53" s="89"/>
      <x:c r="T53" s="89"/>
      <x:c r="U53" s="89"/>
      <x:c r="V53" s="89"/>
      <x:c r="W53" s="89"/>
      <x:c r="X53" s="89"/>
      <x:c r="Y53" s="89"/>
      <x:c r="Z53" s="89"/>
    </x:row>
    <x:row r="54">
      <x:c r="A54" s="89"/>
      <x:c r="B54" s="89"/>
      <x:c r="C54" s="89"/>
      <x:c r="D54" s="89"/>
      <x:c r="E54" s="89"/>
      <x:c r="F54" s="89"/>
      <x:c r="G54" s="89"/>
      <x:c r="H54" s="89"/>
      <x:c r="I54" s="89"/>
      <x:c r="J54" s="89"/>
      <x:c r="K54" s="89"/>
      <x:c r="L54" s="89"/>
      <x:c r="M54" s="89"/>
      <x:c r="N54" s="89"/>
      <x:c r="O54" s="89"/>
      <x:c r="P54" s="89"/>
      <x:c r="Q54" s="89"/>
      <x:c r="R54" s="89"/>
      <x:c r="S54" s="89"/>
      <x:c r="T54" s="89"/>
      <x:c r="U54" s="89"/>
      <x:c r="V54" s="89"/>
      <x:c r="W54" s="89"/>
      <x:c r="X54" s="89"/>
      <x:c r="Y54" s="89"/>
      <x:c r="Z54" s="89"/>
    </x:row>
    <x:row r="55">
      <x:c r="A55" s="89"/>
      <x:c r="B55" s="89"/>
      <x:c r="C55" s="89"/>
      <x:c r="D55" s="89"/>
      <x:c r="E55" s="89"/>
      <x:c r="F55" s="89"/>
      <x:c r="G55" s="89"/>
      <x:c r="H55" s="89"/>
      <x:c r="I55" s="89"/>
      <x:c r="J55" s="89"/>
      <x:c r="K55" s="89"/>
      <x:c r="L55" s="89"/>
      <x:c r="M55" s="89"/>
      <x:c r="N55" s="89"/>
      <x:c r="O55" s="89"/>
      <x:c r="P55" s="89"/>
      <x:c r="Q55" s="89"/>
      <x:c r="R55" s="89"/>
      <x:c r="S55" s="89"/>
      <x:c r="T55" s="89"/>
      <x:c r="U55" s="89"/>
      <x:c r="V55" s="89"/>
      <x:c r="W55" s="89"/>
      <x:c r="X55" s="89"/>
      <x:c r="Y55" s="89"/>
      <x:c r="Z55" s="89"/>
    </x:row>
    <x:row r="56">
      <x:c r="A56" s="89"/>
      <x:c r="B56" s="89"/>
      <x:c r="C56" s="89"/>
      <x:c r="D56" s="89"/>
      <x:c r="E56" s="89"/>
      <x:c r="F56" s="89"/>
      <x:c r="G56" s="89"/>
      <x:c r="H56" s="89"/>
      <x:c r="I56" s="89"/>
      <x:c r="J56" s="89"/>
      <x:c r="K56" s="89"/>
      <x:c r="L56" s="89"/>
      <x:c r="M56" s="89"/>
      <x:c r="N56" s="89"/>
      <x:c r="O56" s="89"/>
      <x:c r="P56" s="89"/>
      <x:c r="Q56" s="89"/>
      <x:c r="R56" s="89"/>
      <x:c r="S56" s="89"/>
      <x:c r="T56" s="89"/>
      <x:c r="U56" s="89"/>
      <x:c r="V56" s="89"/>
      <x:c r="W56" s="89"/>
      <x:c r="X56" s="89"/>
      <x:c r="Y56" s="89"/>
      <x:c r="Z56" s="89"/>
    </x:row>
    <x:row r="57">
      <x:c r="A57" s="89"/>
      <x:c r="B57" s="89"/>
      <x:c r="C57" s="89"/>
      <x:c r="D57" s="89"/>
      <x:c r="E57" s="89"/>
      <x:c r="F57" s="89"/>
      <x:c r="G57" s="89"/>
      <x:c r="H57" s="89"/>
      <x:c r="I57" s="89"/>
      <x:c r="J57" s="89"/>
      <x:c r="K57" s="89"/>
      <x:c r="L57" s="89"/>
      <x:c r="M57" s="89"/>
      <x:c r="N57" s="89"/>
      <x:c r="O57" s="89"/>
      <x:c r="P57" s="89"/>
      <x:c r="Q57" s="89"/>
      <x:c r="R57" s="89"/>
      <x:c r="S57" s="89"/>
      <x:c r="T57" s="89"/>
      <x:c r="U57" s="89"/>
      <x:c r="V57" s="89"/>
      <x:c r="W57" s="89"/>
      <x:c r="X57" s="89"/>
      <x:c r="Y57" s="89"/>
      <x:c r="Z57" s="89"/>
    </x:row>
    <x:row r="58">
      <x:c r="A58" s="89"/>
      <x:c r="B58" s="89"/>
      <x:c r="C58" s="89"/>
      <x:c r="D58" s="89"/>
      <x:c r="E58" s="89"/>
      <x:c r="F58" s="89"/>
      <x:c r="G58" s="89"/>
      <x:c r="H58" s="89"/>
      <x:c r="I58" s="89"/>
      <x:c r="J58" s="89"/>
      <x:c r="K58" s="89"/>
      <x:c r="L58" s="89"/>
      <x:c r="M58" s="89"/>
      <x:c r="N58" s="89"/>
      <x:c r="O58" s="89"/>
      <x:c r="P58" s="89"/>
      <x:c r="Q58" s="89"/>
      <x:c r="R58" s="89"/>
      <x:c r="S58" s="89"/>
      <x:c r="T58" s="89"/>
      <x:c r="U58" s="89"/>
      <x:c r="V58" s="89"/>
      <x:c r="W58" s="89"/>
      <x:c r="X58" s="89"/>
      <x:c r="Y58" s="89"/>
      <x:c r="Z58" s="89"/>
    </x:row>
    <x:row r="59">
      <x:c r="A59" s="89"/>
      <x:c r="B59" s="89"/>
      <x:c r="C59" s="89"/>
      <x:c r="D59" s="89"/>
      <x:c r="E59" s="89"/>
      <x:c r="F59" s="89"/>
      <x:c r="G59" s="89"/>
      <x:c r="H59" s="89"/>
      <x:c r="I59" s="89"/>
      <x:c r="J59" s="89"/>
      <x:c r="K59" s="89"/>
      <x:c r="L59" s="89"/>
      <x:c r="M59" s="89"/>
      <x:c r="N59" s="89"/>
      <x:c r="O59" s="89"/>
      <x:c r="P59" s="89"/>
      <x:c r="Q59" s="89"/>
      <x:c r="R59" s="89"/>
      <x:c r="S59" s="89"/>
      <x:c r="T59" s="89"/>
      <x:c r="U59" s="89"/>
      <x:c r="V59" s="89"/>
      <x:c r="W59" s="89"/>
      <x:c r="X59" s="89"/>
      <x:c r="Y59" s="89"/>
      <x:c r="Z59" s="89"/>
    </x:row>
    <x:row r="60">
      <x:c r="A60" s="89"/>
      <x:c r="B60" s="89"/>
      <x:c r="C60" s="89"/>
      <x:c r="D60" s="89"/>
      <x:c r="E60" s="89"/>
      <x:c r="F60" s="89"/>
      <x:c r="G60" s="89"/>
      <x:c r="H60" s="89"/>
      <x:c r="I60" s="89"/>
      <x:c r="J60" s="89"/>
      <x:c r="K60" s="89"/>
      <x:c r="L60" s="89"/>
      <x:c r="M60" s="89"/>
      <x:c r="N60" s="89"/>
      <x:c r="O60" s="89"/>
      <x:c r="P60" s="89"/>
      <x:c r="Q60" s="89"/>
      <x:c r="R60" s="89"/>
      <x:c r="S60" s="89"/>
      <x:c r="T60" s="89"/>
      <x:c r="U60" s="89"/>
      <x:c r="V60" s="89"/>
      <x:c r="W60" s="89"/>
      <x:c r="X60" s="89"/>
      <x:c r="Y60" s="89"/>
      <x:c r="Z60" s="89"/>
    </x:row>
    <x:row r="61">
      <x:c r="A61" s="89"/>
      <x:c r="B61" s="89"/>
      <x:c r="C61" s="89"/>
      <x:c r="D61" s="89"/>
      <x:c r="E61" s="89"/>
      <x:c r="F61" s="89"/>
      <x:c r="G61" s="89"/>
      <x:c r="H61" s="89"/>
      <x:c r="I61" s="89"/>
      <x:c r="J61" s="89"/>
      <x:c r="K61" s="89"/>
      <x:c r="L61" s="89"/>
      <x:c r="M61" s="89"/>
      <x:c r="N61" s="89"/>
      <x:c r="O61" s="89"/>
      <x:c r="P61" s="89"/>
      <x:c r="Q61" s="89"/>
      <x:c r="R61" s="89"/>
      <x:c r="S61" s="89"/>
      <x:c r="T61" s="89"/>
      <x:c r="U61" s="89"/>
      <x:c r="V61" s="89"/>
      <x:c r="W61" s="89"/>
      <x:c r="X61" s="89"/>
      <x:c r="Y61" s="89"/>
      <x:c r="Z61" s="89"/>
    </x:row>
    <x:row r="62">
      <x:c r="A62" s="89"/>
      <x:c r="B62" s="89"/>
      <x:c r="C62" s="89"/>
      <x:c r="D62" s="89"/>
      <x:c r="E62" s="89"/>
      <x:c r="F62" s="89"/>
      <x:c r="G62" s="89"/>
      <x:c r="H62" s="89"/>
      <x:c r="I62" s="89"/>
      <x:c r="J62" s="89"/>
      <x:c r="K62" s="89"/>
      <x:c r="L62" s="89"/>
      <x:c r="M62" s="89"/>
      <x:c r="N62" s="89"/>
      <x:c r="O62" s="89"/>
      <x:c r="P62" s="89"/>
      <x:c r="Q62" s="89"/>
      <x:c r="R62" s="89"/>
      <x:c r="S62" s="89"/>
      <x:c r="T62" s="89"/>
      <x:c r="U62" s="89"/>
      <x:c r="V62" s="89"/>
      <x:c r="W62" s="89"/>
      <x:c r="X62" s="89"/>
      <x:c r="Y62" s="89"/>
      <x:c r="Z62" s="89"/>
    </x:row>
    <x:row r="63">
      <x:c r="A63" s="89"/>
      <x:c r="B63" s="89"/>
      <x:c r="C63" s="89"/>
      <x:c r="D63" s="89"/>
      <x:c r="E63" s="89"/>
      <x:c r="F63" s="89"/>
      <x:c r="G63" s="89"/>
      <x:c r="H63" s="89"/>
      <x:c r="I63" s="89"/>
      <x:c r="J63" s="89"/>
      <x:c r="K63" s="89"/>
      <x:c r="L63" s="89"/>
      <x:c r="M63" s="89"/>
      <x:c r="N63" s="89"/>
      <x:c r="O63" s="89"/>
      <x:c r="P63" s="89"/>
      <x:c r="Q63" s="89"/>
      <x:c r="R63" s="89"/>
      <x:c r="S63" s="89"/>
      <x:c r="T63" s="89"/>
      <x:c r="U63" s="89"/>
      <x:c r="V63" s="89"/>
      <x:c r="W63" s="89"/>
      <x:c r="X63" s="89"/>
      <x:c r="Y63" s="89"/>
      <x:c r="Z63" s="89"/>
    </x:row>
    <x:row r="64">
      <x:c r="A64" s="89"/>
      <x:c r="B64" s="89"/>
      <x:c r="C64" s="89"/>
      <x:c r="D64" s="89"/>
      <x:c r="E64" s="89"/>
      <x:c r="F64" s="89"/>
      <x:c r="G64" s="89"/>
      <x:c r="H64" s="89"/>
      <x:c r="I64" s="89"/>
      <x:c r="J64" s="89"/>
      <x:c r="K64" s="89"/>
      <x:c r="L64" s="89"/>
      <x:c r="M64" s="89"/>
      <x:c r="N64" s="89"/>
      <x:c r="O64" s="89"/>
      <x:c r="P64" s="89"/>
      <x:c r="Q64" s="89"/>
      <x:c r="R64" s="89"/>
      <x:c r="S64" s="89"/>
      <x:c r="T64" s="89"/>
      <x:c r="U64" s="89"/>
      <x:c r="V64" s="89"/>
      <x:c r="W64" s="89"/>
      <x:c r="X64" s="89"/>
      <x:c r="Y64" s="89"/>
      <x:c r="Z64" s="89"/>
    </x:row>
    <x:row r="65">
      <x:c r="A65" s="89"/>
      <x:c r="B65" s="89"/>
      <x:c r="C65" s="89"/>
      <x:c r="D65" s="89"/>
      <x:c r="E65" s="89"/>
      <x:c r="F65" s="89"/>
      <x:c r="G65" s="89"/>
      <x:c r="H65" s="89"/>
      <x:c r="I65" s="89"/>
      <x:c r="J65" s="89"/>
      <x:c r="K65" s="89"/>
      <x:c r="L65" s="89"/>
      <x:c r="M65" s="89"/>
      <x:c r="N65" s="89"/>
      <x:c r="O65" s="89"/>
      <x:c r="P65" s="89"/>
      <x:c r="Q65" s="89"/>
      <x:c r="R65" s="89"/>
      <x:c r="S65" s="89"/>
      <x:c r="T65" s="89"/>
      <x:c r="U65" s="89"/>
      <x:c r="V65" s="89"/>
      <x:c r="W65" s="89"/>
      <x:c r="X65" s="89"/>
      <x:c r="Y65" s="89"/>
      <x:c r="Z65" s="89"/>
    </x:row>
    <x:row r="66">
      <x:c r="A66" s="89"/>
      <x:c r="B66" s="89"/>
      <x:c r="C66" s="89"/>
      <x:c r="D66" s="89"/>
      <x:c r="E66" s="89"/>
      <x:c r="F66" s="89"/>
      <x:c r="G66" s="89"/>
      <x:c r="H66" s="89"/>
      <x:c r="I66" s="89"/>
      <x:c r="J66" s="89"/>
      <x:c r="K66" s="89"/>
      <x:c r="L66" s="89"/>
      <x:c r="M66" s="89"/>
      <x:c r="N66" s="89"/>
      <x:c r="O66" s="89"/>
      <x:c r="P66" s="89"/>
      <x:c r="Q66" s="89"/>
      <x:c r="R66" s="89"/>
      <x:c r="S66" s="89"/>
      <x:c r="T66" s="89"/>
      <x:c r="U66" s="89"/>
      <x:c r="V66" s="89"/>
      <x:c r="W66" s="89"/>
      <x:c r="X66" s="89"/>
      <x:c r="Y66" s="89"/>
      <x:c r="Z66" s="89"/>
    </x:row>
    <x:row r="67">
      <x:c r="A67" s="89"/>
      <x:c r="B67" s="89"/>
      <x:c r="C67" s="89"/>
      <x:c r="D67" s="89"/>
      <x:c r="E67" s="89"/>
      <x:c r="F67" s="89"/>
      <x:c r="G67" s="89"/>
      <x:c r="H67" s="89"/>
      <x:c r="I67" s="89"/>
      <x:c r="J67" s="89"/>
      <x:c r="K67" s="89"/>
      <x:c r="L67" s="89"/>
      <x:c r="M67" s="89"/>
      <x:c r="N67" s="89"/>
      <x:c r="O67" s="89"/>
      <x:c r="P67" s="89"/>
      <x:c r="Q67" s="89"/>
      <x:c r="R67" s="89"/>
      <x:c r="S67" s="89"/>
      <x:c r="T67" s="89"/>
      <x:c r="U67" s="89"/>
      <x:c r="V67" s="89"/>
      <x:c r="W67" s="89"/>
      <x:c r="X67" s="89"/>
      <x:c r="Y67" s="89"/>
      <x:c r="Z67" s="89"/>
    </x:row>
    <x:row r="68">
      <x:c r="A68" s="89"/>
      <x:c r="B68" s="89"/>
      <x:c r="C68" s="89"/>
      <x:c r="D68" s="89"/>
      <x:c r="E68" s="89"/>
      <x:c r="F68" s="89"/>
      <x:c r="G68" s="89"/>
      <x:c r="H68" s="89"/>
      <x:c r="I68" s="89"/>
      <x:c r="J68" s="89"/>
      <x:c r="K68" s="89"/>
      <x:c r="L68" s="89"/>
      <x:c r="M68" s="89"/>
      <x:c r="N68" s="89"/>
      <x:c r="O68" s="89"/>
      <x:c r="P68" s="89"/>
      <x:c r="Q68" s="89"/>
      <x:c r="R68" s="89"/>
      <x:c r="S68" s="89"/>
      <x:c r="T68" s="89"/>
      <x:c r="U68" s="89"/>
      <x:c r="V68" s="89"/>
      <x:c r="W68" s="89"/>
      <x:c r="X68" s="89"/>
      <x:c r="Y68" s="89"/>
      <x:c r="Z68" s="89"/>
    </x:row>
    <x:row r="69">
      <x:c r="A69" s="89"/>
      <x:c r="B69" s="89"/>
      <x:c r="C69" s="89"/>
      <x:c r="D69" s="89"/>
      <x:c r="E69" s="89"/>
      <x:c r="F69" s="89"/>
      <x:c r="G69" s="89"/>
      <x:c r="H69" s="89"/>
      <x:c r="I69" s="89"/>
      <x:c r="J69" s="89"/>
      <x:c r="K69" s="89"/>
      <x:c r="L69" s="89"/>
      <x:c r="M69" s="89"/>
      <x:c r="N69" s="89"/>
      <x:c r="O69" s="89"/>
      <x:c r="P69" s="89"/>
      <x:c r="Q69" s="89"/>
      <x:c r="R69" s="89"/>
      <x:c r="S69" s="89"/>
      <x:c r="T69" s="89"/>
      <x:c r="U69" s="89"/>
      <x:c r="V69" s="89"/>
      <x:c r="W69" s="89"/>
      <x:c r="X69" s="89"/>
      <x:c r="Y69" s="89"/>
      <x:c r="Z69" s="89"/>
    </x:row>
    <x:row r="70">
      <x:c r="A70" s="89"/>
      <x:c r="B70" s="89"/>
      <x:c r="C70" s="89"/>
      <x:c r="D70" s="89"/>
      <x:c r="E70" s="89"/>
      <x:c r="F70" s="89"/>
      <x:c r="G70" s="89"/>
      <x:c r="H70" s="89"/>
      <x:c r="I70" s="89"/>
      <x:c r="J70" s="89"/>
      <x:c r="K70" s="89"/>
      <x:c r="L70" s="89"/>
      <x:c r="M70" s="89"/>
      <x:c r="N70" s="89"/>
      <x:c r="O70" s="89"/>
      <x:c r="P70" s="89"/>
      <x:c r="Q70" s="89"/>
      <x:c r="R70" s="89"/>
      <x:c r="S70" s="89"/>
      <x:c r="T70" s="89"/>
      <x:c r="U70" s="89"/>
      <x:c r="V70" s="89"/>
      <x:c r="W70" s="89"/>
      <x:c r="X70" s="89"/>
      <x:c r="Y70" s="89"/>
      <x:c r="Z70" s="89"/>
    </x:row>
    <x:row r="71">
      <x:c r="A71" s="89"/>
      <x:c r="B71" s="89"/>
      <x:c r="C71" s="89"/>
      <x:c r="D71" s="89"/>
      <x:c r="E71" s="89"/>
      <x:c r="F71" s="89"/>
      <x:c r="G71" s="89"/>
      <x:c r="H71" s="89"/>
      <x:c r="I71" s="89"/>
      <x:c r="J71" s="89"/>
      <x:c r="K71" s="89"/>
      <x:c r="L71" s="89"/>
      <x:c r="M71" s="89"/>
      <x:c r="N71" s="89"/>
      <x:c r="O71" s="89"/>
      <x:c r="P71" s="89"/>
      <x:c r="Q71" s="89"/>
      <x:c r="R71" s="89"/>
      <x:c r="S71" s="89"/>
      <x:c r="T71" s="89"/>
      <x:c r="U71" s="89"/>
      <x:c r="V71" s="89"/>
      <x:c r="W71" s="89"/>
      <x:c r="X71" s="89"/>
      <x:c r="Y71" s="89"/>
      <x:c r="Z71" s="89"/>
    </x:row>
    <x:row r="72">
      <x:c r="A72" s="89"/>
      <x:c r="B72" s="89"/>
      <x:c r="C72" s="89"/>
      <x:c r="D72" s="89"/>
      <x:c r="E72" s="89"/>
      <x:c r="F72" s="89"/>
      <x:c r="G72" s="89"/>
      <x:c r="H72" s="89"/>
      <x:c r="I72" s="89"/>
      <x:c r="J72" s="89"/>
      <x:c r="K72" s="89"/>
      <x:c r="L72" s="89"/>
      <x:c r="M72" s="89"/>
      <x:c r="N72" s="89"/>
      <x:c r="O72" s="89"/>
      <x:c r="P72" s="89"/>
      <x:c r="Q72" s="89"/>
      <x:c r="R72" s="89"/>
      <x:c r="S72" s="89"/>
      <x:c r="T72" s="89"/>
      <x:c r="U72" s="89"/>
      <x:c r="V72" s="89"/>
      <x:c r="W72" s="89"/>
      <x:c r="X72" s="89"/>
      <x:c r="Y72" s="89"/>
      <x:c r="Z72" s="89"/>
    </x:row>
    <x:row r="73">
      <x:c r="A73" s="89"/>
      <x:c r="B73" s="89"/>
      <x:c r="C73" s="89"/>
      <x:c r="D73" s="89"/>
      <x:c r="E73" s="89"/>
      <x:c r="F73" s="89"/>
      <x:c r="G73" s="89"/>
      <x:c r="H73" s="89"/>
      <x:c r="I73" s="89"/>
      <x:c r="J73" s="89"/>
      <x:c r="K73" s="89"/>
      <x:c r="L73" s="89"/>
      <x:c r="M73" s="89"/>
      <x:c r="N73" s="89"/>
      <x:c r="O73" s="89"/>
      <x:c r="P73" s="89"/>
      <x:c r="Q73" s="89"/>
      <x:c r="R73" s="89"/>
      <x:c r="S73" s="89"/>
      <x:c r="T73" s="89"/>
      <x:c r="U73" s="89"/>
      <x:c r="V73" s="89"/>
      <x:c r="W73" s="89"/>
      <x:c r="X73" s="89"/>
      <x:c r="Y73" s="89"/>
      <x:c r="Z73" s="89"/>
    </x:row>
    <x:row r="74">
      <x:c r="A74" s="89"/>
      <x:c r="B74" s="89"/>
      <x:c r="C74" s="89"/>
      <x:c r="D74" s="89"/>
      <x:c r="E74" s="89"/>
      <x:c r="F74" s="89"/>
      <x:c r="G74" s="89"/>
      <x:c r="H74" s="89"/>
      <x:c r="I74" s="89"/>
      <x:c r="J74" s="89"/>
      <x:c r="K74" s="89"/>
      <x:c r="L74" s="89"/>
      <x:c r="M74" s="89"/>
      <x:c r="N74" s="89"/>
      <x:c r="O74" s="89"/>
      <x:c r="P74" s="89"/>
      <x:c r="Q74" s="89"/>
      <x:c r="R74" s="89"/>
      <x:c r="S74" s="89"/>
      <x:c r="T74" s="89"/>
      <x:c r="U74" s="89"/>
      <x:c r="V74" s="89"/>
      <x:c r="W74" s="89"/>
      <x:c r="X74" s="89"/>
      <x:c r="Y74" s="89"/>
      <x:c r="Z74" s="89"/>
    </x:row>
    <x:row r="75">
      <x:c r="A75" s="89"/>
      <x:c r="B75" s="89"/>
      <x:c r="C75" s="89"/>
      <x:c r="D75" s="89"/>
      <x:c r="E75" s="89"/>
      <x:c r="F75" s="89"/>
      <x:c r="G75" s="89"/>
      <x:c r="H75" s="89"/>
      <x:c r="I75" s="89"/>
      <x:c r="J75" s="89"/>
      <x:c r="K75" s="89"/>
      <x:c r="L75" s="89"/>
      <x:c r="M75" s="89"/>
      <x:c r="N75" s="89"/>
      <x:c r="O75" s="89"/>
      <x:c r="P75" s="89"/>
      <x:c r="Q75" s="89"/>
      <x:c r="R75" s="89"/>
      <x:c r="S75" s="89"/>
      <x:c r="T75" s="89"/>
      <x:c r="U75" s="89"/>
      <x:c r="V75" s="89"/>
      <x:c r="W75" s="89"/>
      <x:c r="X75" s="89"/>
      <x:c r="Y75" s="89"/>
      <x:c r="Z75" s="89"/>
    </x:row>
    <x:row r="76">
      <x:c r="A76" s="89"/>
      <x:c r="B76" s="89"/>
      <x:c r="C76" s="89"/>
      <x:c r="D76" s="89"/>
      <x:c r="E76" s="89"/>
      <x:c r="F76" s="89"/>
      <x:c r="G76" s="89"/>
      <x:c r="H76" s="89"/>
      <x:c r="I76" s="89"/>
      <x:c r="J76" s="89"/>
      <x:c r="K76" s="89"/>
      <x:c r="L76" s="89"/>
      <x:c r="M76" s="89"/>
      <x:c r="N76" s="89"/>
      <x:c r="O76" s="89"/>
      <x:c r="P76" s="89"/>
      <x:c r="Q76" s="89"/>
      <x:c r="R76" s="89"/>
      <x:c r="S76" s="89"/>
      <x:c r="T76" s="89"/>
      <x:c r="U76" s="89"/>
      <x:c r="V76" s="89"/>
      <x:c r="W76" s="89"/>
      <x:c r="X76" s="89"/>
      <x:c r="Y76" s="89"/>
      <x:c r="Z76" s="89"/>
    </x:row>
    <x:row r="77">
      <x:c r="A77" s="89"/>
      <x:c r="B77" s="89"/>
      <x:c r="C77" s="89"/>
      <x:c r="D77" s="89"/>
      <x:c r="E77" s="89"/>
      <x:c r="F77" s="89"/>
      <x:c r="G77" s="89"/>
      <x:c r="H77" s="89"/>
      <x:c r="I77" s="89"/>
      <x:c r="J77" s="89"/>
      <x:c r="K77" s="89"/>
      <x:c r="L77" s="89"/>
      <x:c r="M77" s="89"/>
      <x:c r="N77" s="89"/>
      <x:c r="O77" s="89"/>
      <x:c r="P77" s="89"/>
      <x:c r="Q77" s="89"/>
      <x:c r="R77" s="89"/>
      <x:c r="S77" s="89"/>
      <x:c r="T77" s="89"/>
      <x:c r="U77" s="89"/>
      <x:c r="V77" s="89"/>
      <x:c r="W77" s="89"/>
      <x:c r="X77" s="89"/>
      <x:c r="Y77" s="89"/>
      <x:c r="Z77" s="89"/>
    </x:row>
    <x:row r="78">
      <x:c r="A78" s="89"/>
      <x:c r="B78" s="89"/>
      <x:c r="C78" s="89"/>
      <x:c r="D78" s="89"/>
      <x:c r="E78" s="89"/>
      <x:c r="F78" s="89"/>
      <x:c r="G78" s="89"/>
      <x:c r="H78" s="89"/>
      <x:c r="I78" s="89"/>
      <x:c r="J78" s="89"/>
      <x:c r="K78" s="89"/>
      <x:c r="L78" s="89"/>
      <x:c r="M78" s="89"/>
      <x:c r="N78" s="89"/>
      <x:c r="O78" s="89"/>
      <x:c r="P78" s="89"/>
      <x:c r="Q78" s="89"/>
      <x:c r="R78" s="89"/>
      <x:c r="S78" s="89"/>
      <x:c r="T78" s="89"/>
      <x:c r="U78" s="89"/>
      <x:c r="V78" s="89"/>
      <x:c r="W78" s="89"/>
      <x:c r="X78" s="89"/>
      <x:c r="Y78" s="89"/>
      <x:c r="Z78" s="89"/>
    </x:row>
    <x:row r="79">
      <x:c r="A79" s="89"/>
      <x:c r="B79" s="89"/>
      <x:c r="C79" s="89"/>
      <x:c r="D79" s="89"/>
      <x:c r="E79" s="89"/>
      <x:c r="F79" s="89"/>
      <x:c r="G79" s="89"/>
      <x:c r="H79" s="89"/>
      <x:c r="I79" s="89"/>
      <x:c r="J79" s="89"/>
      <x:c r="K79" s="89"/>
      <x:c r="L79" s="89"/>
      <x:c r="M79" s="89"/>
      <x:c r="N79" s="89"/>
      <x:c r="O79" s="89"/>
      <x:c r="P79" s="89"/>
      <x:c r="Q79" s="89"/>
      <x:c r="R79" s="89"/>
      <x:c r="S79" s="89"/>
      <x:c r="T79" s="89"/>
      <x:c r="U79" s="89"/>
      <x:c r="V79" s="89"/>
      <x:c r="W79" s="89"/>
      <x:c r="X79" s="89"/>
      <x:c r="Y79" s="89"/>
      <x:c r="Z79" s="89"/>
    </x:row>
    <x:row r="80">
      <x:c r="A80" s="89"/>
      <x:c r="B80" s="89"/>
      <x:c r="C80" s="89"/>
      <x:c r="D80" s="89"/>
      <x:c r="E80" s="89"/>
      <x:c r="F80" s="89"/>
      <x:c r="G80" s="89"/>
      <x:c r="H80" s="89"/>
      <x:c r="I80" s="89"/>
      <x:c r="J80" s="89"/>
      <x:c r="K80" s="89"/>
      <x:c r="L80" s="89"/>
      <x:c r="M80" s="89"/>
      <x:c r="N80" s="89"/>
      <x:c r="O80" s="89"/>
      <x:c r="P80" s="89"/>
      <x:c r="Q80" s="89"/>
      <x:c r="R80" s="89"/>
      <x:c r="S80" s="89"/>
      <x:c r="T80" s="89"/>
      <x:c r="U80" s="89"/>
      <x:c r="V80" s="89"/>
      <x:c r="W80" s="89"/>
      <x:c r="X80" s="89"/>
      <x:c r="Y80" s="89"/>
      <x:c r="Z80" s="89"/>
    </x:row>
    <x:row r="81">
      <x:c r="A81" s="89"/>
      <x:c r="B81" s="89"/>
      <x:c r="C81" s="89"/>
      <x:c r="D81" s="89"/>
      <x:c r="E81" s="89"/>
      <x:c r="F81" s="89"/>
      <x:c r="G81" s="89"/>
      <x:c r="H81" s="89"/>
      <x:c r="I81" s="89"/>
      <x:c r="J81" s="89"/>
      <x:c r="K81" s="89"/>
      <x:c r="L81" s="89"/>
      <x:c r="M81" s="89"/>
      <x:c r="N81" s="89"/>
      <x:c r="O81" s="89"/>
      <x:c r="P81" s="89"/>
      <x:c r="Q81" s="89"/>
      <x:c r="R81" s="89"/>
      <x:c r="S81" s="89"/>
      <x:c r="T81" s="89"/>
      <x:c r="U81" s="89"/>
      <x:c r="V81" s="89"/>
      <x:c r="W81" s="89"/>
      <x:c r="X81" s="89"/>
      <x:c r="Y81" s="89"/>
      <x:c r="Z81" s="89"/>
    </x:row>
    <x:row r="82">
      <x:c r="A82" s="89"/>
      <x:c r="B82" s="89"/>
      <x:c r="C82" s="89"/>
      <x:c r="D82" s="89"/>
      <x:c r="E82" s="89"/>
      <x:c r="F82" s="89"/>
      <x:c r="G82" s="89"/>
      <x:c r="H82" s="89"/>
      <x:c r="I82" s="89"/>
      <x:c r="J82" s="89"/>
      <x:c r="K82" s="89"/>
      <x:c r="L82" s="89"/>
      <x:c r="M82" s="89"/>
      <x:c r="N82" s="89"/>
      <x:c r="O82" s="89"/>
      <x:c r="P82" s="89"/>
      <x:c r="Q82" s="89"/>
      <x:c r="R82" s="89"/>
      <x:c r="S82" s="89"/>
      <x:c r="T82" s="89"/>
      <x:c r="U82" s="89"/>
      <x:c r="V82" s="89"/>
      <x:c r="W82" s="89"/>
      <x:c r="X82" s="89"/>
      <x:c r="Y82" s="89"/>
      <x:c r="Z82" s="89"/>
    </x:row>
    <x:row r="83">
      <x:c r="A83" s="89"/>
      <x:c r="B83" s="89"/>
      <x:c r="C83" s="89"/>
      <x:c r="D83" s="89"/>
      <x:c r="E83" s="89"/>
      <x:c r="F83" s="89"/>
      <x:c r="G83" s="89"/>
      <x:c r="H83" s="89"/>
      <x:c r="I83" s="89"/>
      <x:c r="J83" s="89"/>
      <x:c r="K83" s="89"/>
      <x:c r="L83" s="89"/>
      <x:c r="M83" s="89"/>
      <x:c r="N83" s="89"/>
      <x:c r="O83" s="89"/>
      <x:c r="P83" s="89"/>
      <x:c r="Q83" s="89"/>
      <x:c r="R83" s="89"/>
      <x:c r="S83" s="89"/>
      <x:c r="T83" s="89"/>
      <x:c r="U83" s="89"/>
      <x:c r="V83" s="89"/>
      <x:c r="W83" s="89"/>
      <x:c r="X83" s="89"/>
      <x:c r="Y83" s="89"/>
      <x:c r="Z83" s="89"/>
    </x:row>
    <x:row r="84">
      <x:c r="A84" s="89"/>
      <x:c r="B84" s="89"/>
      <x:c r="C84" s="89"/>
      <x:c r="D84" s="89"/>
      <x:c r="E84" s="89"/>
      <x:c r="F84" s="89"/>
      <x:c r="G84" s="89"/>
      <x:c r="H84" s="89"/>
      <x:c r="I84" s="89"/>
      <x:c r="J84" s="89"/>
      <x:c r="K84" s="89"/>
      <x:c r="L84" s="89"/>
      <x:c r="M84" s="89"/>
      <x:c r="N84" s="89"/>
      <x:c r="O84" s="89"/>
      <x:c r="P84" s="89"/>
      <x:c r="Q84" s="89"/>
      <x:c r="R84" s="89"/>
      <x:c r="S84" s="89"/>
      <x:c r="T84" s="89"/>
      <x:c r="U84" s="89"/>
      <x:c r="V84" s="89"/>
      <x:c r="W84" s="89"/>
      <x:c r="X84" s="89"/>
      <x:c r="Y84" s="89"/>
      <x:c r="Z84" s="89"/>
    </x:row>
    <x:row r="85">
      <x:c r="A85" s="89"/>
      <x:c r="B85" s="89"/>
      <x:c r="C85" s="89"/>
      <x:c r="D85" s="89"/>
      <x:c r="E85" s="89"/>
      <x:c r="F85" s="89"/>
      <x:c r="G85" s="89"/>
      <x:c r="H85" s="89"/>
      <x:c r="I85" s="89"/>
      <x:c r="J85" s="89"/>
      <x:c r="K85" s="89"/>
      <x:c r="L85" s="89"/>
      <x:c r="M85" s="89"/>
      <x:c r="N85" s="89"/>
      <x:c r="O85" s="89"/>
      <x:c r="P85" s="89"/>
      <x:c r="Q85" s="89"/>
      <x:c r="R85" s="89"/>
      <x:c r="S85" s="89"/>
      <x:c r="T85" s="89"/>
      <x:c r="U85" s="89"/>
      <x:c r="V85" s="89"/>
      <x:c r="W85" s="89"/>
      <x:c r="X85" s="89"/>
      <x:c r="Y85" s="89"/>
      <x:c r="Z85" s="89"/>
    </x:row>
    <x:row r="86">
      <x:c r="A86" s="89"/>
      <x:c r="B86" s="89"/>
      <x:c r="C86" s="89"/>
      <x:c r="D86" s="89"/>
      <x:c r="E86" s="89"/>
      <x:c r="F86" s="89"/>
      <x:c r="G86" s="89"/>
      <x:c r="H86" s="89"/>
      <x:c r="I86" s="89"/>
      <x:c r="J86" s="89"/>
      <x:c r="K86" s="89"/>
      <x:c r="L86" s="89"/>
      <x:c r="M86" s="89"/>
      <x:c r="N86" s="89"/>
      <x:c r="O86" s="89"/>
      <x:c r="P86" s="89"/>
      <x:c r="Q86" s="89"/>
      <x:c r="R86" s="89"/>
      <x:c r="S86" s="89"/>
      <x:c r="T86" s="89"/>
      <x:c r="U86" s="89"/>
      <x:c r="V86" s="89"/>
      <x:c r="W86" s="89"/>
      <x:c r="X86" s="89"/>
      <x:c r="Y86" s="89"/>
      <x:c r="Z86" s="89"/>
    </x:row>
    <x:row r="87">
      <x:c r="A87" s="89"/>
      <x:c r="B87" s="89"/>
      <x:c r="C87" s="89"/>
      <x:c r="D87" s="89"/>
      <x:c r="E87" s="89"/>
      <x:c r="F87" s="89"/>
      <x:c r="G87" s="89"/>
      <x:c r="H87" s="89"/>
      <x:c r="I87" s="89"/>
      <x:c r="J87" s="89"/>
      <x:c r="K87" s="89"/>
      <x:c r="L87" s="89"/>
      <x:c r="M87" s="89"/>
      <x:c r="N87" s="89"/>
      <x:c r="O87" s="89"/>
      <x:c r="P87" s="89"/>
      <x:c r="Q87" s="89"/>
      <x:c r="R87" s="89"/>
      <x:c r="S87" s="89"/>
      <x:c r="T87" s="89"/>
      <x:c r="U87" s="89"/>
      <x:c r="V87" s="89"/>
      <x:c r="W87" s="89"/>
      <x:c r="X87" s="89"/>
      <x:c r="Y87" s="89"/>
      <x:c r="Z87" s="89"/>
    </x:row>
    <x:row r="88">
      <x:c r="A88" s="89"/>
      <x:c r="B88" s="89"/>
      <x:c r="C88" s="89"/>
      <x:c r="D88" s="89"/>
      <x:c r="E88" s="89"/>
      <x:c r="F88" s="89"/>
      <x:c r="G88" s="89"/>
      <x:c r="H88" s="89"/>
      <x:c r="I88" s="89"/>
      <x:c r="J88" s="89"/>
      <x:c r="K88" s="89"/>
      <x:c r="L88" s="89"/>
      <x:c r="M88" s="89"/>
      <x:c r="N88" s="89"/>
      <x:c r="O88" s="89"/>
      <x:c r="P88" s="89"/>
      <x:c r="Q88" s="89"/>
      <x:c r="R88" s="89"/>
      <x:c r="S88" s="89"/>
      <x:c r="T88" s="89"/>
      <x:c r="U88" s="89"/>
      <x:c r="V88" s="89"/>
      <x:c r="W88" s="89"/>
      <x:c r="X88" s="89"/>
      <x:c r="Y88" s="89"/>
      <x:c r="Z88" s="89"/>
    </x:row>
    <x:row r="89">
      <x:c r="A89" s="89"/>
      <x:c r="B89" s="89"/>
      <x:c r="C89" s="89"/>
      <x:c r="D89" s="89"/>
      <x:c r="E89" s="89"/>
      <x:c r="F89" s="89"/>
      <x:c r="G89" s="89"/>
      <x:c r="H89" s="89"/>
      <x:c r="I89" s="89"/>
      <x:c r="J89" s="89"/>
      <x:c r="K89" s="89"/>
      <x:c r="L89" s="89"/>
      <x:c r="M89" s="89"/>
      <x:c r="N89" s="89"/>
      <x:c r="O89" s="89"/>
      <x:c r="P89" s="89"/>
      <x:c r="Q89" s="89"/>
      <x:c r="R89" s="89"/>
      <x:c r="S89" s="89"/>
      <x:c r="T89" s="89"/>
      <x:c r="U89" s="89"/>
      <x:c r="V89" s="89"/>
      <x:c r="W89" s="89"/>
      <x:c r="X89" s="89"/>
      <x:c r="Y89" s="89"/>
      <x:c r="Z89" s="89"/>
    </x:row>
    <x:row r="90">
      <x:c r="A90" s="89"/>
      <x:c r="B90" s="89"/>
      <x:c r="C90" s="89"/>
      <x:c r="D90" s="89"/>
      <x:c r="E90" s="89"/>
      <x:c r="F90" s="89"/>
      <x:c r="G90" s="89"/>
      <x:c r="H90" s="89"/>
      <x:c r="I90" s="89"/>
      <x:c r="J90" s="89"/>
      <x:c r="K90" s="89"/>
      <x:c r="L90" s="89"/>
      <x:c r="M90" s="89"/>
      <x:c r="N90" s="89"/>
      <x:c r="O90" s="89"/>
      <x:c r="P90" s="89"/>
      <x:c r="Q90" s="89"/>
      <x:c r="R90" s="89"/>
      <x:c r="S90" s="89"/>
      <x:c r="T90" s="89"/>
      <x:c r="U90" s="89"/>
      <x:c r="V90" s="89"/>
      <x:c r="W90" s="89"/>
      <x:c r="X90" s="89"/>
      <x:c r="Y90" s="89"/>
      <x:c r="Z90" s="89"/>
    </x:row>
    <x:row r="91">
      <x:c r="A91" s="89"/>
      <x:c r="B91" s="89"/>
      <x:c r="C91" s="89"/>
      <x:c r="D91" s="89"/>
      <x:c r="E91" s="89"/>
      <x:c r="F91" s="89"/>
      <x:c r="G91" s="89"/>
      <x:c r="H91" s="89"/>
      <x:c r="I91" s="89"/>
      <x:c r="J91" s="89"/>
      <x:c r="K91" s="89"/>
      <x:c r="L91" s="89"/>
      <x:c r="M91" s="89"/>
      <x:c r="N91" s="89"/>
      <x:c r="O91" s="89"/>
      <x:c r="P91" s="89"/>
      <x:c r="Q91" s="89"/>
      <x:c r="R91" s="89"/>
      <x:c r="S91" s="89"/>
      <x:c r="T91" s="89"/>
      <x:c r="U91" s="89"/>
      <x:c r="V91" s="89"/>
      <x:c r="W91" s="89"/>
      <x:c r="X91" s="89"/>
      <x:c r="Y91" s="89"/>
      <x:c r="Z91" s="89"/>
    </x:row>
    <x:row r="92">
      <x:c r="A92" s="89"/>
      <x:c r="B92" s="89"/>
      <x:c r="C92" s="89"/>
      <x:c r="D92" s="89"/>
      <x:c r="E92" s="89"/>
      <x:c r="F92" s="89"/>
      <x:c r="G92" s="89"/>
      <x:c r="H92" s="89"/>
      <x:c r="I92" s="89"/>
      <x:c r="J92" s="89"/>
      <x:c r="K92" s="89"/>
      <x:c r="L92" s="89"/>
      <x:c r="M92" s="89"/>
      <x:c r="N92" s="89"/>
      <x:c r="O92" s="89"/>
      <x:c r="P92" s="89"/>
      <x:c r="Q92" s="89"/>
      <x:c r="R92" s="89"/>
      <x:c r="S92" s="89"/>
      <x:c r="T92" s="89"/>
      <x:c r="U92" s="89"/>
      <x:c r="V92" s="89"/>
      <x:c r="W92" s="89"/>
      <x:c r="X92" s="89"/>
      <x:c r="Y92" s="89"/>
      <x:c r="Z92" s="89"/>
    </x:row>
    <x:row r="93">
      <x:c r="A93" s="89"/>
      <x:c r="B93" s="89"/>
      <x:c r="C93" s="89"/>
      <x:c r="D93" s="89"/>
      <x:c r="E93" s="89"/>
      <x:c r="F93" s="89"/>
      <x:c r="G93" s="89"/>
      <x:c r="H93" s="89"/>
      <x:c r="I93" s="89"/>
      <x:c r="J93" s="89"/>
      <x:c r="K93" s="89"/>
      <x:c r="L93" s="89"/>
      <x:c r="M93" s="89"/>
      <x:c r="N93" s="89"/>
      <x:c r="O93" s="89"/>
      <x:c r="P93" s="89"/>
      <x:c r="Q93" s="89"/>
      <x:c r="R93" s="89"/>
      <x:c r="S93" s="89"/>
      <x:c r="T93" s="89"/>
      <x:c r="U93" s="89"/>
      <x:c r="V93" s="89"/>
      <x:c r="W93" s="89"/>
      <x:c r="X93" s="89"/>
      <x:c r="Y93" s="89"/>
      <x:c r="Z93" s="89"/>
    </x:row>
    <x:row r="94">
      <x:c r="A94" s="89"/>
      <x:c r="B94" s="89"/>
      <x:c r="C94" s="89"/>
      <x:c r="D94" s="89"/>
      <x:c r="E94" s="89"/>
      <x:c r="F94" s="89"/>
      <x:c r="G94" s="89"/>
      <x:c r="H94" s="89"/>
      <x:c r="I94" s="89"/>
      <x:c r="J94" s="89"/>
      <x:c r="K94" s="89"/>
      <x:c r="L94" s="89"/>
      <x:c r="M94" s="89"/>
      <x:c r="N94" s="89"/>
      <x:c r="O94" s="89"/>
      <x:c r="P94" s="89"/>
      <x:c r="Q94" s="89"/>
      <x:c r="R94" s="89"/>
      <x:c r="S94" s="89"/>
      <x:c r="T94" s="89"/>
      <x:c r="U94" s="89"/>
      <x:c r="V94" s="89"/>
      <x:c r="W94" s="89"/>
      <x:c r="X94" s="89"/>
      <x:c r="Y94" s="89"/>
      <x:c r="Z94" s="89"/>
    </x:row>
    <x:row r="95">
      <x:c r="A95" s="89"/>
      <x:c r="B95" s="89"/>
      <x:c r="C95" s="89"/>
      <x:c r="D95" s="89"/>
      <x:c r="E95" s="89"/>
      <x:c r="F95" s="89"/>
      <x:c r="G95" s="89"/>
      <x:c r="H95" s="89"/>
      <x:c r="I95" s="89"/>
      <x:c r="J95" s="89"/>
      <x:c r="K95" s="89"/>
      <x:c r="L95" s="89"/>
      <x:c r="M95" s="89"/>
      <x:c r="N95" s="89"/>
      <x:c r="O95" s="89"/>
      <x:c r="P95" s="89"/>
      <x:c r="Q95" s="89"/>
      <x:c r="R95" s="89"/>
      <x:c r="S95" s="89"/>
      <x:c r="T95" s="89"/>
      <x:c r="U95" s="89"/>
      <x:c r="V95" s="89"/>
      <x:c r="W95" s="89"/>
      <x:c r="X95" s="89"/>
      <x:c r="Y95" s="89"/>
      <x:c r="Z95" s="89"/>
    </x:row>
    <x:row r="96">
      <x:c r="A96" s="89"/>
      <x:c r="B96" s="89"/>
      <x:c r="C96" s="89"/>
      <x:c r="D96" s="89"/>
      <x:c r="E96" s="89"/>
      <x:c r="F96" s="89"/>
      <x:c r="G96" s="89"/>
      <x:c r="H96" s="89"/>
      <x:c r="I96" s="89"/>
      <x:c r="J96" s="89"/>
      <x:c r="K96" s="89"/>
      <x:c r="L96" s="89"/>
      <x:c r="M96" s="89"/>
      <x:c r="N96" s="89"/>
      <x:c r="O96" s="89"/>
      <x:c r="P96" s="89"/>
      <x:c r="Q96" s="89"/>
      <x:c r="R96" s="89"/>
      <x:c r="S96" s="89"/>
      <x:c r="T96" s="89"/>
      <x:c r="U96" s="89"/>
      <x:c r="V96" s="89"/>
      <x:c r="W96" s="89"/>
      <x:c r="X96" s="89"/>
      <x:c r="Y96" s="89"/>
      <x:c r="Z96" s="89"/>
    </x:row>
    <x:row r="97">
      <x:c r="A97" s="89"/>
      <x:c r="B97" s="89"/>
      <x:c r="C97" s="89"/>
      <x:c r="D97" s="89"/>
      <x:c r="E97" s="89"/>
      <x:c r="F97" s="89"/>
      <x:c r="G97" s="89"/>
      <x:c r="H97" s="89"/>
      <x:c r="I97" s="89"/>
      <x:c r="J97" s="89"/>
      <x:c r="K97" s="89"/>
      <x:c r="L97" s="89"/>
      <x:c r="M97" s="89"/>
      <x:c r="N97" s="89"/>
      <x:c r="O97" s="89"/>
      <x:c r="P97" s="89"/>
      <x:c r="Q97" s="89"/>
      <x:c r="R97" s="89"/>
      <x:c r="S97" s="89"/>
      <x:c r="T97" s="89"/>
      <x:c r="U97" s="89"/>
      <x:c r="V97" s="89"/>
      <x:c r="W97" s="89"/>
      <x:c r="X97" s="89"/>
      <x:c r="Y97" s="89"/>
      <x:c r="Z97" s="89"/>
    </x:row>
    <x:row r="98">
      <x:c r="A98" s="89"/>
      <x:c r="B98" s="89"/>
      <x:c r="C98" s="89"/>
      <x:c r="D98" s="89"/>
      <x:c r="E98" s="89"/>
      <x:c r="F98" s="89"/>
      <x:c r="G98" s="89"/>
      <x:c r="H98" s="89"/>
      <x:c r="I98" s="89"/>
      <x:c r="J98" s="89"/>
      <x:c r="K98" s="89"/>
      <x:c r="L98" s="89"/>
      <x:c r="M98" s="89"/>
      <x:c r="N98" s="89"/>
      <x:c r="O98" s="89"/>
      <x:c r="P98" s="89"/>
      <x:c r="Q98" s="89"/>
      <x:c r="R98" s="89"/>
      <x:c r="S98" s="89"/>
      <x:c r="T98" s="89"/>
      <x:c r="U98" s="89"/>
      <x:c r="V98" s="89"/>
      <x:c r="W98" s="89"/>
      <x:c r="X98" s="89"/>
      <x:c r="Y98" s="89"/>
      <x:c r="Z98" s="89"/>
    </x:row>
    <x:row r="99">
      <x:c r="A99" s="89"/>
      <x:c r="B99" s="89"/>
      <x:c r="C99" s="89"/>
      <x:c r="D99" s="89"/>
      <x:c r="E99" s="89"/>
      <x:c r="F99" s="89"/>
      <x:c r="G99" s="89"/>
      <x:c r="H99" s="89"/>
      <x:c r="I99" s="89"/>
      <x:c r="J99" s="89"/>
      <x:c r="K99" s="89"/>
      <x:c r="L99" s="89"/>
      <x:c r="M99" s="89"/>
      <x:c r="N99" s="89"/>
      <x:c r="O99" s="89"/>
      <x:c r="P99" s="89"/>
      <x:c r="Q99" s="89"/>
      <x:c r="R99" s="89"/>
      <x:c r="S99" s="89"/>
      <x:c r="T99" s="89"/>
      <x:c r="U99" s="89"/>
      <x:c r="V99" s="89"/>
      <x:c r="W99" s="89"/>
      <x:c r="X99" s="89"/>
      <x:c r="Y99" s="89"/>
      <x:c r="Z99" s="89"/>
    </x:row>
    <x:row r="100">
      <x:c r="A100" s="89"/>
      <x:c r="B100" s="89"/>
      <x:c r="C100" s="89"/>
      <x:c r="D100" s="89"/>
      <x:c r="E100" s="89"/>
      <x:c r="F100" s="89"/>
      <x:c r="G100" s="89"/>
      <x:c r="H100" s="89"/>
      <x:c r="I100" s="89"/>
      <x:c r="J100" s="89"/>
      <x:c r="K100" s="89"/>
      <x:c r="L100" s="89"/>
      <x:c r="M100" s="89"/>
      <x:c r="N100" s="89"/>
      <x:c r="O100" s="89"/>
      <x:c r="P100" s="89"/>
      <x:c r="Q100" s="89"/>
      <x:c r="R100" s="89"/>
      <x:c r="S100" s="89"/>
      <x:c r="T100" s="89"/>
      <x:c r="U100" s="89"/>
      <x:c r="V100" s="89"/>
      <x:c r="W100" s="89"/>
      <x:c r="X100" s="89"/>
      <x:c r="Y100" s="89"/>
      <x:c r="Z100" s="89"/>
    </x:row>
    <x:row r="101">
      <x:c r="A101" s="89"/>
      <x:c r="B101" s="89"/>
      <x:c r="C101" s="89"/>
      <x:c r="D101" s="89"/>
      <x:c r="E101" s="89"/>
      <x:c r="F101" s="89"/>
      <x:c r="G101" s="89"/>
      <x:c r="H101" s="89"/>
      <x:c r="I101" s="89"/>
      <x:c r="J101" s="89"/>
      <x:c r="K101" s="89"/>
      <x:c r="L101" s="89"/>
      <x:c r="M101" s="89"/>
      <x:c r="N101" s="89"/>
      <x:c r="O101" s="89"/>
      <x:c r="P101" s="89"/>
      <x:c r="Q101" s="89"/>
      <x:c r="R101" s="89"/>
      <x:c r="S101" s="89"/>
      <x:c r="T101" s="89"/>
      <x:c r="U101" s="89"/>
      <x:c r="V101" s="89"/>
      <x:c r="W101" s="89"/>
      <x:c r="X101" s="89"/>
      <x:c r="Y101" s="89"/>
      <x:c r="Z101" s="89"/>
    </x:row>
    <x:row r="102">
      <x:c r="A102" s="89"/>
      <x:c r="B102" s="89"/>
      <x:c r="C102" s="89"/>
      <x:c r="D102" s="89"/>
      <x:c r="E102" s="89"/>
      <x:c r="F102" s="89"/>
      <x:c r="G102" s="89"/>
      <x:c r="H102" s="89"/>
      <x:c r="I102" s="89"/>
      <x:c r="J102" s="89"/>
      <x:c r="K102" s="89"/>
      <x:c r="L102" s="89"/>
      <x:c r="M102" s="89"/>
      <x:c r="N102" s="89"/>
      <x:c r="O102" s="89"/>
      <x:c r="P102" s="89"/>
      <x:c r="Q102" s="89"/>
      <x:c r="R102" s="89"/>
      <x:c r="S102" s="89"/>
      <x:c r="T102" s="89"/>
      <x:c r="U102" s="89"/>
      <x:c r="V102" s="89"/>
      <x:c r="W102" s="89"/>
      <x:c r="X102" s="89"/>
      <x:c r="Y102" s="89"/>
      <x:c r="Z102" s="89"/>
    </x:row>
    <x:row r="103">
      <x:c r="A103" s="89"/>
      <x:c r="B103" s="89"/>
      <x:c r="C103" s="89"/>
      <x:c r="D103" s="89"/>
      <x:c r="E103" s="89"/>
      <x:c r="F103" s="89"/>
      <x:c r="G103" s="89"/>
      <x:c r="H103" s="89"/>
      <x:c r="I103" s="89"/>
      <x:c r="J103" s="89"/>
      <x:c r="K103" s="89"/>
      <x:c r="L103" s="89"/>
      <x:c r="M103" s="89"/>
      <x:c r="N103" s="89"/>
      <x:c r="O103" s="89"/>
      <x:c r="P103" s="89"/>
      <x:c r="Q103" s="89"/>
      <x:c r="R103" s="89"/>
      <x:c r="S103" s="89"/>
      <x:c r="T103" s="89"/>
      <x:c r="U103" s="89"/>
      <x:c r="V103" s="89"/>
      <x:c r="W103" s="89"/>
      <x:c r="X103" s="89"/>
      <x:c r="Y103" s="89"/>
      <x:c r="Z103" s="89"/>
    </x:row>
    <x:row r="104">
      <x:c r="A104" s="89"/>
      <x:c r="B104" s="89"/>
      <x:c r="C104" s="89"/>
      <x:c r="D104" s="89"/>
      <x:c r="E104" s="89"/>
      <x:c r="F104" s="89"/>
      <x:c r="G104" s="89"/>
      <x:c r="H104" s="89"/>
      <x:c r="I104" s="89"/>
      <x:c r="J104" s="89"/>
      <x:c r="K104" s="89"/>
      <x:c r="L104" s="89"/>
      <x:c r="M104" s="89"/>
      <x:c r="N104" s="89"/>
      <x:c r="O104" s="89"/>
      <x:c r="P104" s="89"/>
      <x:c r="Q104" s="89"/>
      <x:c r="R104" s="89"/>
      <x:c r="S104" s="89"/>
      <x:c r="T104" s="89"/>
      <x:c r="U104" s="89"/>
      <x:c r="V104" s="89"/>
      <x:c r="W104" s="89"/>
      <x:c r="X104" s="89"/>
      <x:c r="Y104" s="89"/>
      <x:c r="Z104" s="89"/>
    </x:row>
    <x:row r="105">
      <x:c r="A105" s="89"/>
      <x:c r="B105" s="89"/>
      <x:c r="C105" s="89"/>
      <x:c r="D105" s="89"/>
      <x:c r="E105" s="89"/>
      <x:c r="F105" s="89"/>
      <x:c r="G105" s="89"/>
      <x:c r="H105" s="89"/>
      <x:c r="I105" s="89"/>
      <x:c r="J105" s="89"/>
      <x:c r="K105" s="89"/>
      <x:c r="L105" s="89"/>
      <x:c r="M105" s="89"/>
      <x:c r="N105" s="89"/>
      <x:c r="O105" s="89"/>
      <x:c r="P105" s="89"/>
      <x:c r="Q105" s="89"/>
      <x:c r="R105" s="89"/>
      <x:c r="S105" s="89"/>
      <x:c r="T105" s="89"/>
      <x:c r="U105" s="89"/>
      <x:c r="V105" s="89"/>
      <x:c r="W105" s="89"/>
      <x:c r="X105" s="89"/>
      <x:c r="Y105" s="89"/>
      <x:c r="Z105" s="89"/>
    </x:row>
    <x:row r="106">
      <x:c r="A106" s="89"/>
      <x:c r="B106" s="89"/>
      <x:c r="C106" s="89"/>
      <x:c r="D106" s="89"/>
      <x:c r="E106" s="89"/>
      <x:c r="F106" s="89"/>
      <x:c r="G106" s="89"/>
      <x:c r="H106" s="89"/>
      <x:c r="I106" s="89"/>
      <x:c r="J106" s="89"/>
      <x:c r="K106" s="89"/>
      <x:c r="L106" s="89"/>
      <x:c r="M106" s="89"/>
      <x:c r="N106" s="89"/>
      <x:c r="O106" s="89"/>
      <x:c r="P106" s="89"/>
      <x:c r="Q106" s="89"/>
      <x:c r="R106" s="89"/>
      <x:c r="S106" s="89"/>
      <x:c r="T106" s="89"/>
      <x:c r="U106" s="89"/>
      <x:c r="V106" s="89"/>
      <x:c r="W106" s="89"/>
      <x:c r="X106" s="89"/>
      <x:c r="Y106" s="89"/>
      <x:c r="Z106" s="89"/>
    </x:row>
    <x:row r="107">
      <x:c r="A107" s="89"/>
      <x:c r="B107" s="89"/>
      <x:c r="C107" s="89"/>
      <x:c r="D107" s="89"/>
      <x:c r="E107" s="89"/>
      <x:c r="F107" s="89"/>
      <x:c r="G107" s="89"/>
      <x:c r="H107" s="89"/>
      <x:c r="I107" s="89"/>
      <x:c r="J107" s="89"/>
      <x:c r="K107" s="89"/>
      <x:c r="L107" s="89"/>
      <x:c r="M107" s="89"/>
      <x:c r="N107" s="89"/>
      <x:c r="O107" s="89"/>
      <x:c r="P107" s="89"/>
      <x:c r="Q107" s="89"/>
      <x:c r="R107" s="89"/>
      <x:c r="S107" s="89"/>
      <x:c r="T107" s="89"/>
      <x:c r="U107" s="89"/>
      <x:c r="V107" s="89"/>
      <x:c r="W107" s="89"/>
      <x:c r="X107" s="89"/>
      <x:c r="Y107" s="89"/>
      <x:c r="Z107" s="89"/>
    </x:row>
    <x:row r="108">
      <x:c r="A108" s="89"/>
      <x:c r="B108" s="89"/>
      <x:c r="C108" s="89"/>
      <x:c r="D108" s="89"/>
      <x:c r="E108" s="89"/>
      <x:c r="F108" s="89"/>
      <x:c r="G108" s="89"/>
      <x:c r="H108" s="89"/>
      <x:c r="I108" s="89"/>
      <x:c r="J108" s="89"/>
      <x:c r="K108" s="89"/>
      <x:c r="L108" s="89"/>
      <x:c r="M108" s="89"/>
      <x:c r="N108" s="89"/>
      <x:c r="O108" s="89"/>
      <x:c r="P108" s="89"/>
      <x:c r="Q108" s="89"/>
      <x:c r="R108" s="89"/>
      <x:c r="S108" s="89"/>
      <x:c r="T108" s="89"/>
      <x:c r="U108" s="89"/>
      <x:c r="V108" s="89"/>
      <x:c r="W108" s="89"/>
      <x:c r="X108" s="89"/>
      <x:c r="Y108" s="89"/>
      <x:c r="Z108" s="89"/>
    </x:row>
    <x:row r="109">
      <x:c r="A109" s="89"/>
      <x:c r="B109" s="89"/>
      <x:c r="C109" s="89"/>
      <x:c r="D109" s="89"/>
      <x:c r="E109" s="89"/>
      <x:c r="F109" s="89"/>
      <x:c r="G109" s="89"/>
      <x:c r="H109" s="89"/>
      <x:c r="I109" s="89"/>
      <x:c r="J109" s="89"/>
      <x:c r="K109" s="89"/>
      <x:c r="L109" s="89"/>
      <x:c r="M109" s="89"/>
      <x:c r="N109" s="89"/>
      <x:c r="O109" s="89"/>
      <x:c r="P109" s="89"/>
      <x:c r="Q109" s="89"/>
      <x:c r="R109" s="89"/>
      <x:c r="S109" s="89"/>
      <x:c r="T109" s="89"/>
      <x:c r="U109" s="89"/>
      <x:c r="V109" s="89"/>
      <x:c r="W109" s="89"/>
      <x:c r="X109" s="89"/>
      <x:c r="Y109" s="89"/>
      <x:c r="Z109" s="89"/>
    </x:row>
    <x:row r="110">
      <x:c r="A110" s="89"/>
      <x:c r="B110" s="89"/>
      <x:c r="C110" s="89"/>
      <x:c r="D110" s="89"/>
      <x:c r="E110" s="89"/>
      <x:c r="F110" s="89"/>
      <x:c r="G110" s="89"/>
      <x:c r="H110" s="89"/>
      <x:c r="I110" s="89"/>
      <x:c r="J110" s="89"/>
      <x:c r="K110" s="89"/>
      <x:c r="L110" s="89"/>
      <x:c r="M110" s="89"/>
      <x:c r="N110" s="89"/>
      <x:c r="O110" s="89"/>
      <x:c r="P110" s="89"/>
      <x:c r="Q110" s="89"/>
      <x:c r="R110" s="89"/>
      <x:c r="S110" s="89"/>
      <x:c r="T110" s="89"/>
      <x:c r="U110" s="89"/>
      <x:c r="V110" s="89"/>
      <x:c r="W110" s="89"/>
      <x:c r="X110" s="89"/>
      <x:c r="Y110" s="89"/>
      <x:c r="Z110" s="89"/>
    </x:row>
    <x:row r="111">
      <x:c r="A111" s="89"/>
      <x:c r="B111" s="89"/>
      <x:c r="C111" s="89"/>
      <x:c r="D111" s="89"/>
      <x:c r="E111" s="89"/>
      <x:c r="F111" s="89"/>
      <x:c r="G111" s="89"/>
      <x:c r="H111" s="89"/>
      <x:c r="I111" s="89"/>
      <x:c r="J111" s="89"/>
      <x:c r="K111" s="89"/>
      <x:c r="L111" s="89"/>
      <x:c r="M111" s="89"/>
      <x:c r="N111" s="89"/>
      <x:c r="O111" s="89"/>
      <x:c r="P111" s="89"/>
      <x:c r="Q111" s="89"/>
      <x:c r="R111" s="89"/>
      <x:c r="S111" s="89"/>
      <x:c r="T111" s="89"/>
      <x:c r="U111" s="89"/>
      <x:c r="V111" s="89"/>
      <x:c r="W111" s="89"/>
      <x:c r="X111" s="89"/>
      <x:c r="Y111" s="89"/>
      <x:c r="Z111" s="89"/>
    </x:row>
    <x:row r="112">
      <x:c r="A112" s="89"/>
      <x:c r="B112" s="89"/>
      <x:c r="C112" s="89"/>
      <x:c r="D112" s="89"/>
      <x:c r="E112" s="89"/>
      <x:c r="F112" s="89"/>
      <x:c r="G112" s="89"/>
      <x:c r="H112" s="89"/>
      <x:c r="I112" s="89"/>
      <x:c r="J112" s="89"/>
      <x:c r="K112" s="89"/>
      <x:c r="L112" s="89"/>
      <x:c r="M112" s="89"/>
      <x:c r="N112" s="89"/>
      <x:c r="O112" s="89"/>
      <x:c r="P112" s="89"/>
      <x:c r="Q112" s="89"/>
      <x:c r="R112" s="89"/>
      <x:c r="S112" s="89"/>
      <x:c r="T112" s="89"/>
      <x:c r="U112" s="89"/>
      <x:c r="V112" s="89"/>
      <x:c r="W112" s="89"/>
      <x:c r="X112" s="89"/>
      <x:c r="Y112" s="89"/>
      <x:c r="Z112" s="89"/>
    </x:row>
    <x:row r="113">
      <x:c r="A113" s="89"/>
      <x:c r="B113" s="89"/>
      <x:c r="C113" s="89"/>
      <x:c r="D113" s="89"/>
      <x:c r="E113" s="89"/>
      <x:c r="F113" s="89"/>
      <x:c r="G113" s="89"/>
      <x:c r="H113" s="89"/>
      <x:c r="I113" s="89"/>
      <x:c r="J113" s="89"/>
      <x:c r="K113" s="89"/>
      <x:c r="L113" s="89"/>
      <x:c r="M113" s="89"/>
      <x:c r="N113" s="89"/>
      <x:c r="O113" s="89"/>
      <x:c r="P113" s="89"/>
      <x:c r="Q113" s="89"/>
      <x:c r="R113" s="89"/>
      <x:c r="S113" s="89"/>
      <x:c r="T113" s="89"/>
      <x:c r="U113" s="89"/>
      <x:c r="V113" s="89"/>
      <x:c r="W113" s="89"/>
      <x:c r="X113" s="89"/>
      <x:c r="Y113" s="89"/>
      <x:c r="Z113" s="89"/>
    </x:row>
    <x:row r="114">
      <x:c r="A114" s="89"/>
      <x:c r="B114" s="89"/>
      <x:c r="C114" s="89"/>
      <x:c r="D114" s="89"/>
      <x:c r="E114" s="89"/>
      <x:c r="F114" s="89"/>
      <x:c r="G114" s="89"/>
      <x:c r="H114" s="89"/>
      <x:c r="I114" s="89"/>
      <x:c r="J114" s="89"/>
      <x:c r="K114" s="89"/>
      <x:c r="L114" s="89"/>
      <x:c r="M114" s="89"/>
      <x:c r="N114" s="89"/>
      <x:c r="O114" s="89"/>
      <x:c r="P114" s="89"/>
      <x:c r="Q114" s="89"/>
      <x:c r="R114" s="89"/>
      <x:c r="S114" s="89"/>
      <x:c r="T114" s="89"/>
      <x:c r="U114" s="89"/>
      <x:c r="V114" s="89"/>
      <x:c r="W114" s="89"/>
      <x:c r="X114" s="89"/>
      <x:c r="Y114" s="89"/>
      <x:c r="Z114" s="89"/>
    </x:row>
    <x:row r="115">
      <x:c r="A115" s="89"/>
      <x:c r="B115" s="89"/>
      <x:c r="C115" s="89"/>
      <x:c r="D115" s="89"/>
      <x:c r="E115" s="89"/>
      <x:c r="F115" s="89"/>
      <x:c r="G115" s="89"/>
      <x:c r="H115" s="89"/>
      <x:c r="I115" s="89"/>
      <x:c r="J115" s="89"/>
      <x:c r="K115" s="89"/>
      <x:c r="L115" s="89"/>
      <x:c r="M115" s="89"/>
      <x:c r="N115" s="89"/>
      <x:c r="O115" s="89"/>
      <x:c r="P115" s="89"/>
      <x:c r="Q115" s="89"/>
      <x:c r="R115" s="89"/>
      <x:c r="S115" s="89"/>
      <x:c r="T115" s="89"/>
      <x:c r="U115" s="89"/>
      <x:c r="V115" s="89"/>
      <x:c r="W115" s="89"/>
      <x:c r="X115" s="89"/>
      <x:c r="Y115" s="89"/>
      <x:c r="Z115" s="89"/>
    </x:row>
    <x:row r="116">
      <x:c r="A116" s="89"/>
      <x:c r="B116" s="89"/>
      <x:c r="C116" s="89"/>
      <x:c r="D116" s="89"/>
      <x:c r="E116" s="89"/>
      <x:c r="F116" s="89"/>
      <x:c r="G116" s="89"/>
      <x:c r="H116" s="89"/>
      <x:c r="I116" s="89"/>
      <x:c r="J116" s="89"/>
      <x:c r="K116" s="89"/>
      <x:c r="L116" s="89"/>
      <x:c r="M116" s="89"/>
      <x:c r="N116" s="89"/>
      <x:c r="O116" s="89"/>
      <x:c r="P116" s="89"/>
      <x:c r="Q116" s="89"/>
      <x:c r="R116" s="89"/>
      <x:c r="S116" s="89"/>
      <x:c r="T116" s="89"/>
      <x:c r="U116" s="89"/>
      <x:c r="V116" s="89"/>
      <x:c r="W116" s="89"/>
      <x:c r="X116" s="89"/>
      <x:c r="Y116" s="89"/>
      <x:c r="Z116" s="89"/>
    </x:row>
    <x:row r="117">
      <x:c r="A117" s="89"/>
      <x:c r="B117" s="89"/>
      <x:c r="C117" s="89"/>
      <x:c r="D117" s="89"/>
      <x:c r="E117" s="89"/>
      <x:c r="F117" s="89"/>
      <x:c r="G117" s="89"/>
      <x:c r="H117" s="89"/>
      <x:c r="I117" s="89"/>
      <x:c r="J117" s="89"/>
      <x:c r="K117" s="89"/>
      <x:c r="L117" s="89"/>
      <x:c r="M117" s="89"/>
      <x:c r="N117" s="89"/>
      <x:c r="O117" s="89"/>
      <x:c r="P117" s="89"/>
      <x:c r="Q117" s="89"/>
      <x:c r="R117" s="89"/>
      <x:c r="S117" s="89"/>
      <x:c r="T117" s="89"/>
      <x:c r="U117" s="89"/>
      <x:c r="V117" s="89"/>
      <x:c r="W117" s="89"/>
      <x:c r="X117" s="89"/>
      <x:c r="Y117" s="89"/>
      <x:c r="Z117" s="89"/>
    </x:row>
    <x:row r="118">
      <x:c r="A118" s="89"/>
      <x:c r="B118" s="89"/>
      <x:c r="C118" s="89"/>
      <x:c r="D118" s="89"/>
      <x:c r="E118" s="89"/>
      <x:c r="F118" s="89"/>
      <x:c r="G118" s="89"/>
      <x:c r="H118" s="89"/>
      <x:c r="I118" s="89"/>
      <x:c r="J118" s="89"/>
      <x:c r="K118" s="89"/>
      <x:c r="L118" s="89"/>
      <x:c r="M118" s="89"/>
      <x:c r="N118" s="89"/>
      <x:c r="O118" s="89"/>
      <x:c r="P118" s="89"/>
      <x:c r="Q118" s="89"/>
      <x:c r="R118" s="89"/>
      <x:c r="S118" s="89"/>
      <x:c r="T118" s="89"/>
      <x:c r="U118" s="89"/>
      <x:c r="V118" s="89"/>
      <x:c r="W118" s="89"/>
      <x:c r="X118" s="89"/>
      <x:c r="Y118" s="89"/>
      <x:c r="Z118" s="89"/>
    </x:row>
    <x:row r="119">
      <x:c r="A119" s="89"/>
      <x:c r="B119" s="89"/>
      <x:c r="C119" s="89"/>
      <x:c r="D119" s="89"/>
      <x:c r="E119" s="89"/>
      <x:c r="F119" s="89"/>
      <x:c r="G119" s="89"/>
      <x:c r="H119" s="89"/>
      <x:c r="I119" s="89"/>
      <x:c r="J119" s="89"/>
      <x:c r="K119" s="89"/>
      <x:c r="L119" s="89"/>
      <x:c r="M119" s="89"/>
      <x:c r="N119" s="89"/>
      <x:c r="O119" s="89"/>
      <x:c r="P119" s="89"/>
      <x:c r="Q119" s="89"/>
      <x:c r="R119" s="89"/>
      <x:c r="S119" s="89"/>
      <x:c r="T119" s="89"/>
      <x:c r="U119" s="89"/>
      <x:c r="V119" s="89"/>
      <x:c r="W119" s="89"/>
      <x:c r="X119" s="89"/>
      <x:c r="Y119" s="89"/>
      <x:c r="Z119" s="89"/>
    </x:row>
    <x:row r="120">
      <x:c r="A120" s="89"/>
      <x:c r="B120" s="89"/>
      <x:c r="C120" s="89"/>
      <x:c r="D120" s="89"/>
      <x:c r="E120" s="89"/>
      <x:c r="F120" s="89"/>
      <x:c r="G120" s="89"/>
      <x:c r="H120" s="89"/>
      <x:c r="I120" s="89"/>
      <x:c r="J120" s="89"/>
      <x:c r="K120" s="89"/>
      <x:c r="L120" s="89"/>
      <x:c r="M120" s="89"/>
      <x:c r="N120" s="89"/>
      <x:c r="O120" s="89"/>
      <x:c r="P120" s="89"/>
      <x:c r="Q120" s="89"/>
      <x:c r="R120" s="89"/>
      <x:c r="S120" s="89"/>
      <x:c r="T120" s="89"/>
      <x:c r="U120" s="89"/>
      <x:c r="V120" s="89"/>
      <x:c r="W120" s="89"/>
      <x:c r="X120" s="89"/>
      <x:c r="Y120" s="89"/>
      <x:c r="Z120" s="89"/>
    </x:row>
    <x:row r="121">
      <x:c r="A121" s="89"/>
      <x:c r="B121" s="89"/>
      <x:c r="C121" s="89"/>
      <x:c r="D121" s="89"/>
      <x:c r="E121" s="89"/>
      <x:c r="F121" s="89"/>
      <x:c r="G121" s="89"/>
      <x:c r="H121" s="89"/>
      <x:c r="I121" s="89"/>
      <x:c r="J121" s="89"/>
      <x:c r="K121" s="89"/>
      <x:c r="L121" s="89"/>
      <x:c r="M121" s="89"/>
      <x:c r="N121" s="89"/>
      <x:c r="O121" s="89"/>
      <x:c r="P121" s="89"/>
      <x:c r="Q121" s="89"/>
      <x:c r="R121" s="89"/>
      <x:c r="S121" s="89"/>
      <x:c r="T121" s="89"/>
      <x:c r="U121" s="89"/>
      <x:c r="V121" s="89"/>
      <x:c r="W121" s="89"/>
      <x:c r="X121" s="89"/>
      <x:c r="Y121" s="89"/>
      <x:c r="Z121" s="89"/>
    </x:row>
    <x:row r="122">
      <x:c r="A122" s="89"/>
      <x:c r="B122" s="89"/>
      <x:c r="C122" s="89"/>
      <x:c r="D122" s="89"/>
      <x:c r="E122" s="89"/>
      <x:c r="F122" s="89"/>
      <x:c r="G122" s="89"/>
      <x:c r="H122" s="89"/>
      <x:c r="I122" s="89"/>
      <x:c r="J122" s="89"/>
      <x:c r="K122" s="89"/>
      <x:c r="L122" s="89"/>
      <x:c r="M122" s="89"/>
      <x:c r="N122" s="89"/>
      <x:c r="O122" s="89"/>
      <x:c r="P122" s="89"/>
      <x:c r="Q122" s="89"/>
      <x:c r="R122" s="89"/>
      <x:c r="S122" s="89"/>
      <x:c r="T122" s="89"/>
      <x:c r="U122" s="89"/>
      <x:c r="V122" s="89"/>
      <x:c r="W122" s="89"/>
      <x:c r="X122" s="89"/>
      <x:c r="Y122" s="89"/>
      <x:c r="Z122" s="89"/>
    </x:row>
    <x:row r="123">
      <x:c r="A123" s="89"/>
      <x:c r="B123" s="89"/>
      <x:c r="C123" s="89"/>
      <x:c r="D123" s="89"/>
      <x:c r="E123" s="89"/>
      <x:c r="F123" s="89"/>
      <x:c r="G123" s="89"/>
      <x:c r="H123" s="89"/>
      <x:c r="I123" s="89"/>
      <x:c r="J123" s="89"/>
      <x:c r="K123" s="89"/>
      <x:c r="L123" s="89"/>
      <x:c r="M123" s="89"/>
      <x:c r="N123" s="89"/>
      <x:c r="O123" s="89"/>
      <x:c r="P123" s="89"/>
      <x:c r="Q123" s="89"/>
      <x:c r="R123" s="89"/>
      <x:c r="S123" s="89"/>
      <x:c r="T123" s="89"/>
      <x:c r="U123" s="89"/>
      <x:c r="V123" s="89"/>
      <x:c r="W123" s="89"/>
      <x:c r="X123" s="89"/>
      <x:c r="Y123" s="89"/>
      <x:c r="Z123" s="89"/>
    </x:row>
    <x:row r="124">
      <x:c r="A124" s="89"/>
      <x:c r="B124" s="89"/>
      <x:c r="C124" s="89"/>
      <x:c r="D124" s="89"/>
      <x:c r="E124" s="89"/>
      <x:c r="F124" s="89"/>
      <x:c r="G124" s="89"/>
      <x:c r="H124" s="89"/>
      <x:c r="I124" s="89"/>
      <x:c r="J124" s="89"/>
      <x:c r="K124" s="89"/>
      <x:c r="L124" s="89"/>
      <x:c r="M124" s="89"/>
      <x:c r="N124" s="89"/>
      <x:c r="O124" s="89"/>
      <x:c r="P124" s="89"/>
      <x:c r="Q124" s="89"/>
      <x:c r="R124" s="89"/>
      <x:c r="S124" s="89"/>
      <x:c r="T124" s="89"/>
      <x:c r="U124" s="89"/>
      <x:c r="V124" s="89"/>
      <x:c r="W124" s="89"/>
      <x:c r="X124" s="89"/>
      <x:c r="Y124" s="89"/>
      <x:c r="Z124" s="89"/>
    </x:row>
    <x:row r="125">
      <x:c r="A125" s="89"/>
      <x:c r="B125" s="89"/>
      <x:c r="C125" s="89"/>
      <x:c r="D125" s="89"/>
      <x:c r="E125" s="89"/>
      <x:c r="F125" s="89"/>
      <x:c r="G125" s="89"/>
      <x:c r="H125" s="89"/>
      <x:c r="I125" s="89"/>
      <x:c r="J125" s="89"/>
      <x:c r="K125" s="89"/>
      <x:c r="L125" s="89"/>
      <x:c r="M125" s="89"/>
      <x:c r="N125" s="89"/>
      <x:c r="O125" s="89"/>
      <x:c r="P125" s="89"/>
      <x:c r="Q125" s="89"/>
      <x:c r="R125" s="89"/>
      <x:c r="S125" s="89"/>
      <x:c r="T125" s="89"/>
      <x:c r="U125" s="89"/>
      <x:c r="V125" s="89"/>
      <x:c r="W125" s="89"/>
      <x:c r="X125" s="89"/>
      <x:c r="Y125" s="89"/>
      <x:c r="Z125" s="89"/>
    </x:row>
    <x:row r="126">
      <x:c r="A126" s="89"/>
      <x:c r="B126" s="89"/>
      <x:c r="C126" s="89"/>
      <x:c r="D126" s="89"/>
      <x:c r="E126" s="89"/>
      <x:c r="F126" s="89"/>
      <x:c r="G126" s="89"/>
      <x:c r="H126" s="89"/>
      <x:c r="I126" s="89"/>
      <x:c r="J126" s="89"/>
      <x:c r="K126" s="89"/>
      <x:c r="L126" s="89"/>
      <x:c r="M126" s="89"/>
      <x:c r="N126" s="89"/>
      <x:c r="O126" s="89"/>
      <x:c r="P126" s="89"/>
      <x:c r="Q126" s="89"/>
      <x:c r="R126" s="89"/>
      <x:c r="S126" s="89"/>
      <x:c r="T126" s="89"/>
      <x:c r="U126" s="89"/>
      <x:c r="V126" s="89"/>
      <x:c r="W126" s="89"/>
      <x:c r="X126" s="89"/>
      <x:c r="Y126" s="89"/>
      <x:c r="Z126" s="89"/>
    </x:row>
    <x:row r="127">
      <x:c r="A127" s="89"/>
      <x:c r="B127" s="89"/>
      <x:c r="C127" s="89"/>
      <x:c r="D127" s="89"/>
      <x:c r="E127" s="89"/>
      <x:c r="F127" s="89"/>
      <x:c r="G127" s="89"/>
      <x:c r="H127" s="89"/>
      <x:c r="I127" s="89"/>
      <x:c r="J127" s="89"/>
      <x:c r="K127" s="89"/>
      <x:c r="L127" s="89"/>
      <x:c r="M127" s="89"/>
      <x:c r="N127" s="89"/>
      <x:c r="O127" s="89"/>
      <x:c r="P127" s="89"/>
      <x:c r="Q127" s="89"/>
      <x:c r="R127" s="89"/>
      <x:c r="S127" s="89"/>
      <x:c r="T127" s="89"/>
      <x:c r="U127" s="89"/>
      <x:c r="V127" s="89"/>
      <x:c r="W127" s="89"/>
      <x:c r="X127" s="89"/>
      <x:c r="Y127" s="89"/>
      <x:c r="Z127" s="89"/>
    </x:row>
    <x:row r="128">
      <x:c r="A128" s="89"/>
      <x:c r="B128" s="89"/>
      <x:c r="C128" s="89"/>
      <x:c r="D128" s="89"/>
      <x:c r="E128" s="89"/>
      <x:c r="F128" s="89"/>
      <x:c r="G128" s="89"/>
      <x:c r="H128" s="89"/>
      <x:c r="I128" s="89"/>
      <x:c r="J128" s="89"/>
      <x:c r="K128" s="89"/>
      <x:c r="L128" s="89"/>
      <x:c r="M128" s="89"/>
      <x:c r="N128" s="89"/>
      <x:c r="O128" s="89"/>
      <x:c r="P128" s="89"/>
      <x:c r="Q128" s="89"/>
      <x:c r="R128" s="89"/>
      <x:c r="S128" s="89"/>
      <x:c r="T128" s="89"/>
      <x:c r="U128" s="89"/>
      <x:c r="V128" s="89"/>
      <x:c r="W128" s="89"/>
      <x:c r="X128" s="89"/>
      <x:c r="Y128" s="89"/>
      <x:c r="Z128" s="89"/>
    </x:row>
    <x:row r="129">
      <x:c r="A129" s="89"/>
      <x:c r="B129" s="89"/>
      <x:c r="C129" s="89"/>
      <x:c r="D129" s="89"/>
      <x:c r="E129" s="89"/>
      <x:c r="F129" s="89"/>
      <x:c r="G129" s="89"/>
      <x:c r="H129" s="89"/>
      <x:c r="I129" s="89"/>
      <x:c r="J129" s="89"/>
      <x:c r="K129" s="89"/>
      <x:c r="L129" s="89"/>
      <x:c r="M129" s="89"/>
      <x:c r="N129" s="89"/>
      <x:c r="O129" s="89"/>
      <x:c r="P129" s="89"/>
      <x:c r="Q129" s="89"/>
      <x:c r="R129" s="89"/>
      <x:c r="S129" s="89"/>
      <x:c r="T129" s="89"/>
      <x:c r="U129" s="89"/>
      <x:c r="V129" s="89"/>
      <x:c r="W129" s="89"/>
      <x:c r="X129" s="89"/>
      <x:c r="Y129" s="89"/>
      <x:c r="Z129" s="89"/>
    </x:row>
    <x:row r="130">
      <x:c r="A130" s="89"/>
      <x:c r="B130" s="89"/>
      <x:c r="C130" s="89"/>
      <x:c r="D130" s="89"/>
      <x:c r="E130" s="89"/>
      <x:c r="F130" s="89"/>
      <x:c r="G130" s="89"/>
      <x:c r="H130" s="89"/>
      <x:c r="I130" s="89"/>
      <x:c r="J130" s="89"/>
      <x:c r="K130" s="89"/>
      <x:c r="L130" s="89"/>
      <x:c r="M130" s="89"/>
      <x:c r="N130" s="89"/>
      <x:c r="O130" s="89"/>
      <x:c r="P130" s="89"/>
      <x:c r="Q130" s="89"/>
      <x:c r="R130" s="89"/>
      <x:c r="S130" s="89"/>
      <x:c r="T130" s="89"/>
      <x:c r="U130" s="89"/>
      <x:c r="V130" s="89"/>
      <x:c r="W130" s="89"/>
      <x:c r="X130" s="89"/>
      <x:c r="Y130" s="89"/>
      <x:c r="Z130" s="89"/>
    </x:row>
    <x:row r="131">
      <x:c r="A131" s="89"/>
      <x:c r="B131" s="89"/>
      <x:c r="C131" s="89"/>
      <x:c r="D131" s="89"/>
      <x:c r="E131" s="89"/>
      <x:c r="F131" s="89"/>
      <x:c r="G131" s="89"/>
      <x:c r="H131" s="89"/>
      <x:c r="I131" s="89"/>
      <x:c r="J131" s="89"/>
      <x:c r="K131" s="89"/>
      <x:c r="L131" s="89"/>
      <x:c r="M131" s="89"/>
      <x:c r="N131" s="89"/>
      <x:c r="O131" s="89"/>
      <x:c r="P131" s="89"/>
      <x:c r="Q131" s="89"/>
      <x:c r="R131" s="89"/>
      <x:c r="S131" s="89"/>
      <x:c r="T131" s="89"/>
      <x:c r="U131" s="89"/>
      <x:c r="V131" s="89"/>
      <x:c r="W131" s="89"/>
      <x:c r="X131" s="89"/>
      <x:c r="Y131" s="89"/>
      <x:c r="Z131" s="89"/>
    </x:row>
    <x:row r="132">
      <x:c r="A132" s="89"/>
      <x:c r="B132" s="89"/>
      <x:c r="C132" s="89"/>
      <x:c r="D132" s="89"/>
      <x:c r="E132" s="89"/>
      <x:c r="F132" s="89"/>
      <x:c r="G132" s="89"/>
      <x:c r="H132" s="89"/>
      <x:c r="I132" s="89"/>
      <x:c r="J132" s="89"/>
      <x:c r="K132" s="89"/>
      <x:c r="L132" s="89"/>
      <x:c r="M132" s="89"/>
      <x:c r="N132" s="89"/>
      <x:c r="O132" s="89"/>
      <x:c r="P132" s="89"/>
      <x:c r="Q132" s="89"/>
      <x:c r="R132" s="89"/>
      <x:c r="S132" s="89"/>
      <x:c r="T132" s="89"/>
      <x:c r="U132" s="89"/>
      <x:c r="V132" s="89"/>
      <x:c r="W132" s="89"/>
      <x:c r="X132" s="89"/>
      <x:c r="Y132" s="89"/>
      <x:c r="Z132" s="89"/>
    </x:row>
    <x:row r="133">
      <x:c r="A133" s="89"/>
      <x:c r="B133" s="89"/>
      <x:c r="C133" s="89"/>
      <x:c r="D133" s="89"/>
      <x:c r="E133" s="89"/>
      <x:c r="F133" s="89"/>
      <x:c r="G133" s="89"/>
      <x:c r="H133" s="89"/>
      <x:c r="I133" s="89"/>
      <x:c r="J133" s="89"/>
      <x:c r="K133" s="89"/>
      <x:c r="L133" s="89"/>
      <x:c r="M133" s="89"/>
      <x:c r="N133" s="89"/>
      <x:c r="O133" s="89"/>
      <x:c r="P133" s="89"/>
      <x:c r="Q133" s="89"/>
      <x:c r="R133" s="89"/>
      <x:c r="S133" s="89"/>
      <x:c r="T133" s="89"/>
      <x:c r="U133" s="89"/>
      <x:c r="V133" s="89"/>
      <x:c r="W133" s="89"/>
      <x:c r="X133" s="89"/>
      <x:c r="Y133" s="89"/>
      <x:c r="Z133" s="89"/>
    </x:row>
    <x:row r="134">
      <x:c r="A134" s="89"/>
      <x:c r="B134" s="89"/>
      <x:c r="C134" s="89"/>
      <x:c r="D134" s="89"/>
      <x:c r="E134" s="89"/>
      <x:c r="F134" s="89"/>
      <x:c r="G134" s="89"/>
      <x:c r="H134" s="89"/>
      <x:c r="I134" s="89"/>
      <x:c r="J134" s="89"/>
      <x:c r="K134" s="89"/>
      <x:c r="L134" s="89"/>
      <x:c r="M134" s="89"/>
      <x:c r="N134" s="89"/>
      <x:c r="O134" s="89"/>
      <x:c r="P134" s="89"/>
      <x:c r="Q134" s="89"/>
      <x:c r="R134" s="89"/>
      <x:c r="S134" s="89"/>
      <x:c r="T134" s="89"/>
      <x:c r="U134" s="89"/>
      <x:c r="V134" s="89"/>
      <x:c r="W134" s="89"/>
      <x:c r="X134" s="89"/>
      <x:c r="Y134" s="89"/>
      <x:c r="Z134" s="89"/>
    </x:row>
    <x:row r="135">
      <x:c r="A135" s="89"/>
      <x:c r="B135" s="89"/>
      <x:c r="C135" s="89"/>
      <x:c r="D135" s="89"/>
      <x:c r="E135" s="89"/>
      <x:c r="F135" s="89"/>
      <x:c r="G135" s="89"/>
      <x:c r="H135" s="89"/>
      <x:c r="I135" s="89"/>
      <x:c r="J135" s="89"/>
      <x:c r="K135" s="89"/>
      <x:c r="L135" s="89"/>
      <x:c r="M135" s="89"/>
      <x:c r="N135" s="89"/>
      <x:c r="O135" s="89"/>
      <x:c r="P135" s="89"/>
      <x:c r="Q135" s="89"/>
      <x:c r="R135" s="89"/>
      <x:c r="S135" s="89"/>
      <x:c r="T135" s="89"/>
      <x:c r="U135" s="89"/>
      <x:c r="V135" s="89"/>
      <x:c r="W135" s="89"/>
      <x:c r="X135" s="89"/>
      <x:c r="Y135" s="89"/>
      <x:c r="Z135" s="89"/>
    </x:row>
    <x:row r="136">
      <x:c r="A136" s="89"/>
      <x:c r="B136" s="89"/>
      <x:c r="C136" s="89"/>
      <x:c r="D136" s="89"/>
      <x:c r="E136" s="89"/>
      <x:c r="F136" s="89"/>
      <x:c r="G136" s="89"/>
      <x:c r="H136" s="89"/>
      <x:c r="I136" s="89"/>
      <x:c r="J136" s="89"/>
      <x:c r="K136" s="89"/>
      <x:c r="L136" s="89"/>
      <x:c r="M136" s="89"/>
      <x:c r="N136" s="89"/>
      <x:c r="O136" s="89"/>
      <x:c r="P136" s="89"/>
      <x:c r="Q136" s="89"/>
      <x:c r="R136" s="89"/>
      <x:c r="S136" s="89"/>
      <x:c r="T136" s="89"/>
      <x:c r="U136" s="89"/>
      <x:c r="V136" s="89"/>
      <x:c r="W136" s="89"/>
      <x:c r="X136" s="89"/>
      <x:c r="Y136" s="89"/>
      <x:c r="Z136" s="89"/>
    </x:row>
    <x:row r="137">
      <x:c r="A137" s="89"/>
      <x:c r="B137" s="89"/>
      <x:c r="C137" s="89"/>
      <x:c r="D137" s="89"/>
      <x:c r="E137" s="89"/>
      <x:c r="F137" s="89"/>
      <x:c r="G137" s="89"/>
      <x:c r="H137" s="89"/>
      <x:c r="I137" s="89"/>
      <x:c r="J137" s="89"/>
      <x:c r="K137" s="89"/>
      <x:c r="L137" s="89"/>
      <x:c r="M137" s="89"/>
      <x:c r="N137" s="89"/>
      <x:c r="O137" s="89"/>
      <x:c r="P137" s="89"/>
      <x:c r="Q137" s="89"/>
      <x:c r="R137" s="89"/>
      <x:c r="S137" s="89"/>
      <x:c r="T137" s="89"/>
      <x:c r="U137" s="89"/>
      <x:c r="V137" s="89"/>
      <x:c r="W137" s="89"/>
      <x:c r="X137" s="89"/>
      <x:c r="Y137" s="89"/>
      <x:c r="Z137" s="89"/>
    </x:row>
    <x:row r="138">
      <x:c r="A138" s="89"/>
      <x:c r="B138" s="89"/>
      <x:c r="C138" s="89"/>
      <x:c r="D138" s="89"/>
      <x:c r="E138" s="89"/>
      <x:c r="F138" s="89"/>
      <x:c r="G138" s="89"/>
      <x:c r="H138" s="89"/>
      <x:c r="I138" s="89"/>
      <x:c r="J138" s="89"/>
      <x:c r="K138" s="89"/>
      <x:c r="L138" s="89"/>
      <x:c r="M138" s="89"/>
      <x:c r="N138" s="89"/>
      <x:c r="O138" s="89"/>
      <x:c r="P138" s="89"/>
      <x:c r="Q138" s="89"/>
      <x:c r="R138" s="89"/>
      <x:c r="S138" s="89"/>
      <x:c r="T138" s="89"/>
      <x:c r="U138" s="89"/>
      <x:c r="V138" s="89"/>
      <x:c r="W138" s="89"/>
      <x:c r="X138" s="89"/>
      <x:c r="Y138" s="89"/>
      <x:c r="Z138" s="89"/>
    </x:row>
    <x:row r="139">
      <x:c r="A139" s="89"/>
      <x:c r="B139" s="89"/>
      <x:c r="C139" s="89"/>
      <x:c r="D139" s="89"/>
      <x:c r="E139" s="89"/>
      <x:c r="F139" s="89"/>
      <x:c r="G139" s="89"/>
      <x:c r="H139" s="89"/>
      <x:c r="I139" s="89"/>
      <x:c r="J139" s="89"/>
      <x:c r="K139" s="89"/>
      <x:c r="L139" s="89"/>
      <x:c r="M139" s="89"/>
      <x:c r="N139" s="89"/>
      <x:c r="O139" s="89"/>
      <x:c r="P139" s="89"/>
      <x:c r="Q139" s="89"/>
      <x:c r="R139" s="89"/>
      <x:c r="S139" s="89"/>
      <x:c r="T139" s="89"/>
      <x:c r="U139" s="89"/>
      <x:c r="V139" s="89"/>
      <x:c r="W139" s="89"/>
      <x:c r="X139" s="89"/>
      <x:c r="Y139" s="89"/>
      <x:c r="Z139" s="89"/>
    </x:row>
    <x:row r="140">
      <x:c r="A140" s="89"/>
      <x:c r="B140" s="89"/>
      <x:c r="C140" s="89"/>
      <x:c r="D140" s="89"/>
      <x:c r="E140" s="89"/>
      <x:c r="F140" s="89"/>
      <x:c r="G140" s="89"/>
      <x:c r="H140" s="89"/>
      <x:c r="I140" s="89"/>
      <x:c r="J140" s="89"/>
      <x:c r="K140" s="89"/>
      <x:c r="L140" s="89"/>
      <x:c r="M140" s="89"/>
      <x:c r="N140" s="89"/>
      <x:c r="O140" s="89"/>
      <x:c r="P140" s="89"/>
      <x:c r="Q140" s="89"/>
      <x:c r="R140" s="89"/>
      <x:c r="S140" s="89"/>
      <x:c r="T140" s="89"/>
      <x:c r="U140" s="89"/>
      <x:c r="V140" s="89"/>
      <x:c r="W140" s="89"/>
      <x:c r="X140" s="89"/>
      <x:c r="Y140" s="89"/>
      <x:c r="Z140" s="89"/>
    </x:row>
    <x:row r="141">
      <x:c r="A141" s="89"/>
      <x:c r="B141" s="89"/>
      <x:c r="C141" s="89"/>
      <x:c r="D141" s="89"/>
      <x:c r="E141" s="89"/>
      <x:c r="F141" s="89"/>
      <x:c r="G141" s="89"/>
      <x:c r="H141" s="89"/>
      <x:c r="I141" s="89"/>
      <x:c r="J141" s="89"/>
      <x:c r="K141" s="89"/>
      <x:c r="L141" s="89"/>
      <x:c r="M141" s="89"/>
      <x:c r="N141" s="89"/>
      <x:c r="O141" s="89"/>
      <x:c r="P141" s="89"/>
      <x:c r="Q141" s="89"/>
      <x:c r="R141" s="89"/>
      <x:c r="S141" s="89"/>
      <x:c r="T141" s="89"/>
      <x:c r="U141" s="89"/>
      <x:c r="V141" s="89"/>
      <x:c r="W141" s="89"/>
      <x:c r="X141" s="89"/>
      <x:c r="Y141" s="89"/>
      <x:c r="Z141" s="89"/>
    </x:row>
    <x:row r="142">
      <x:c r="A142" s="89"/>
      <x:c r="B142" s="89"/>
      <x:c r="C142" s="89"/>
      <x:c r="D142" s="89"/>
      <x:c r="E142" s="89"/>
      <x:c r="F142" s="89"/>
      <x:c r="G142" s="89"/>
      <x:c r="H142" s="89"/>
      <x:c r="I142" s="89"/>
      <x:c r="J142" s="89"/>
      <x:c r="K142" s="89"/>
      <x:c r="L142" s="89"/>
      <x:c r="M142" s="89"/>
      <x:c r="N142" s="89"/>
      <x:c r="O142" s="89"/>
      <x:c r="P142" s="89"/>
      <x:c r="Q142" s="89"/>
      <x:c r="R142" s="89"/>
      <x:c r="S142" s="89"/>
      <x:c r="T142" s="89"/>
      <x:c r="U142" s="89"/>
      <x:c r="V142" s="89"/>
      <x:c r="W142" s="89"/>
      <x:c r="X142" s="89"/>
      <x:c r="Y142" s="89"/>
      <x:c r="Z142" s="89"/>
    </x:row>
    <x:row r="143">
      <x:c r="A143" s="89"/>
      <x:c r="B143" s="89"/>
      <x:c r="C143" s="89"/>
      <x:c r="D143" s="89"/>
      <x:c r="E143" s="89"/>
      <x:c r="F143" s="89"/>
      <x:c r="G143" s="89"/>
      <x:c r="H143" s="89"/>
      <x:c r="I143" s="89"/>
      <x:c r="J143" s="89"/>
      <x:c r="K143" s="89"/>
      <x:c r="L143" s="89"/>
      <x:c r="M143" s="89"/>
      <x:c r="N143" s="89"/>
      <x:c r="O143" s="89"/>
      <x:c r="P143" s="89"/>
      <x:c r="Q143" s="89"/>
      <x:c r="R143" s="89"/>
      <x:c r="S143" s="89"/>
      <x:c r="T143" s="89"/>
      <x:c r="U143" s="89"/>
      <x:c r="V143" s="89"/>
      <x:c r="W143" s="89"/>
      <x:c r="X143" s="89"/>
      <x:c r="Y143" s="89"/>
      <x:c r="Z143" s="89"/>
    </x:row>
    <x:row r="144">
      <x:c r="A144" s="89"/>
      <x:c r="B144" s="89"/>
      <x:c r="C144" s="89"/>
      <x:c r="D144" s="89"/>
      <x:c r="E144" s="89"/>
      <x:c r="F144" s="89"/>
      <x:c r="G144" s="89"/>
      <x:c r="H144" s="89"/>
      <x:c r="I144" s="89"/>
      <x:c r="J144" s="89"/>
      <x:c r="K144" s="89"/>
      <x:c r="L144" s="89"/>
      <x:c r="M144" s="89"/>
      <x:c r="N144" s="89"/>
      <x:c r="O144" s="89"/>
      <x:c r="P144" s="89"/>
      <x:c r="Q144" s="89"/>
      <x:c r="R144" s="89"/>
      <x:c r="S144" s="89"/>
      <x:c r="T144" s="89"/>
      <x:c r="U144" s="89"/>
      <x:c r="V144" s="89"/>
      <x:c r="W144" s="89"/>
      <x:c r="X144" s="89"/>
      <x:c r="Y144" s="89"/>
      <x:c r="Z144" s="89"/>
    </x:row>
    <x:row r="145">
      <x:c r="A145" s="89"/>
      <x:c r="B145" s="89"/>
      <x:c r="C145" s="89"/>
      <x:c r="D145" s="89"/>
      <x:c r="E145" s="89"/>
      <x:c r="F145" s="89"/>
      <x:c r="G145" s="89"/>
      <x:c r="H145" s="89"/>
      <x:c r="I145" s="89"/>
      <x:c r="J145" s="89"/>
      <x:c r="K145" s="89"/>
      <x:c r="L145" s="89"/>
      <x:c r="M145" s="89"/>
      <x:c r="N145" s="89"/>
      <x:c r="O145" s="89"/>
      <x:c r="P145" s="89"/>
      <x:c r="Q145" s="89"/>
      <x:c r="R145" s="89"/>
      <x:c r="S145" s="89"/>
      <x:c r="T145" s="89"/>
      <x:c r="U145" s="89"/>
      <x:c r="V145" s="89"/>
      <x:c r="W145" s="89"/>
      <x:c r="X145" s="89"/>
      <x:c r="Y145" s="89"/>
      <x:c r="Z145" s="89"/>
    </x:row>
    <x:row r="146">
      <x:c r="A146" s="89"/>
      <x:c r="B146" s="89"/>
      <x:c r="C146" s="89"/>
      <x:c r="D146" s="89"/>
      <x:c r="E146" s="89"/>
      <x:c r="F146" s="89"/>
      <x:c r="G146" s="89"/>
      <x:c r="H146" s="89"/>
      <x:c r="I146" s="89"/>
      <x:c r="J146" s="89"/>
      <x:c r="K146" s="89"/>
      <x:c r="L146" s="89"/>
      <x:c r="M146" s="89"/>
      <x:c r="N146" s="89"/>
      <x:c r="O146" s="89"/>
      <x:c r="P146" s="89"/>
      <x:c r="Q146" s="89"/>
      <x:c r="R146" s="89"/>
      <x:c r="S146" s="89"/>
      <x:c r="T146" s="89"/>
      <x:c r="U146" s="89"/>
      <x:c r="V146" s="89"/>
      <x:c r="W146" s="89"/>
      <x:c r="X146" s="89"/>
      <x:c r="Y146" s="89"/>
      <x:c r="Z146" s="89"/>
    </x:row>
    <x:row r="147">
      <x:c r="A147" s="89"/>
      <x:c r="B147" s="89"/>
      <x:c r="C147" s="89"/>
      <x:c r="D147" s="89"/>
      <x:c r="E147" s="89"/>
      <x:c r="F147" s="89"/>
      <x:c r="G147" s="89"/>
      <x:c r="H147" s="89"/>
      <x:c r="I147" s="89"/>
      <x:c r="J147" s="89"/>
      <x:c r="K147" s="89"/>
      <x:c r="L147" s="89"/>
      <x:c r="M147" s="89"/>
      <x:c r="N147" s="89"/>
      <x:c r="O147" s="89"/>
      <x:c r="P147" s="89"/>
      <x:c r="Q147" s="89"/>
      <x:c r="R147" s="89"/>
      <x:c r="S147" s="89"/>
      <x:c r="T147" s="89"/>
      <x:c r="U147" s="89"/>
      <x:c r="V147" s="89"/>
      <x:c r="W147" s="89"/>
      <x:c r="X147" s="89"/>
      <x:c r="Y147" s="89"/>
      <x:c r="Z147" s="89"/>
    </x:row>
    <x:row r="148">
      <x:c r="A148" s="89"/>
      <x:c r="B148" s="89"/>
      <x:c r="C148" s="89"/>
      <x:c r="D148" s="89"/>
      <x:c r="E148" s="89"/>
      <x:c r="F148" s="89"/>
      <x:c r="G148" s="89"/>
      <x:c r="H148" s="89"/>
      <x:c r="I148" s="89"/>
      <x:c r="J148" s="89"/>
      <x:c r="K148" s="89"/>
      <x:c r="L148" s="89"/>
      <x:c r="M148" s="89"/>
      <x:c r="N148" s="89"/>
      <x:c r="O148" s="89"/>
      <x:c r="P148" s="89"/>
      <x:c r="Q148" s="89"/>
      <x:c r="R148" s="89"/>
      <x:c r="S148" s="89"/>
      <x:c r="T148" s="89"/>
      <x:c r="U148" s="89"/>
      <x:c r="V148" s="89"/>
      <x:c r="W148" s="89"/>
      <x:c r="X148" s="89"/>
      <x:c r="Y148" s="89"/>
      <x:c r="Z148" s="89"/>
    </x:row>
    <x:row r="149">
      <x:c r="A149" s="89"/>
      <x:c r="B149" s="89"/>
      <x:c r="C149" s="89"/>
      <x:c r="D149" s="89"/>
      <x:c r="E149" s="89"/>
      <x:c r="F149" s="89"/>
      <x:c r="G149" s="89"/>
      <x:c r="H149" s="89"/>
      <x:c r="I149" s="89"/>
      <x:c r="J149" s="89"/>
      <x:c r="K149" s="89"/>
      <x:c r="L149" s="89"/>
      <x:c r="M149" s="89"/>
      <x:c r="N149" s="89"/>
      <x:c r="O149" s="89"/>
      <x:c r="P149" s="89"/>
      <x:c r="Q149" s="89"/>
      <x:c r="R149" s="89"/>
      <x:c r="S149" s="89"/>
      <x:c r="T149" s="89"/>
      <x:c r="U149" s="89"/>
      <x:c r="V149" s="89"/>
      <x:c r="W149" s="89"/>
      <x:c r="X149" s="89"/>
      <x:c r="Y149" s="89"/>
      <x:c r="Z149" s="89"/>
    </x:row>
    <x:row r="150">
      <x:c r="A150" s="89"/>
      <x:c r="B150" s="89"/>
      <x:c r="C150" s="89"/>
      <x:c r="D150" s="89"/>
      <x:c r="E150" s="89"/>
      <x:c r="F150" s="89"/>
      <x:c r="G150" s="89"/>
      <x:c r="H150" s="89"/>
      <x:c r="I150" s="89"/>
      <x:c r="J150" s="89"/>
      <x:c r="K150" s="89"/>
      <x:c r="L150" s="89"/>
      <x:c r="M150" s="89"/>
      <x:c r="N150" s="89"/>
      <x:c r="O150" s="89"/>
      <x:c r="P150" s="89"/>
      <x:c r="Q150" s="89"/>
      <x:c r="R150" s="89"/>
      <x:c r="S150" s="89"/>
      <x:c r="T150" s="89"/>
      <x:c r="U150" s="89"/>
      <x:c r="V150" s="89"/>
      <x:c r="W150" s="89"/>
      <x:c r="X150" s="89"/>
      <x:c r="Y150" s="89"/>
      <x:c r="Z150" s="89"/>
    </x:row>
    <x:row r="151">
      <x:c r="A151" s="89"/>
      <x:c r="B151" s="89"/>
      <x:c r="C151" s="89"/>
      <x:c r="D151" s="89"/>
      <x:c r="E151" s="89"/>
      <x:c r="F151" s="89"/>
      <x:c r="G151" s="89"/>
      <x:c r="H151" s="89"/>
      <x:c r="I151" s="89"/>
      <x:c r="J151" s="89"/>
      <x:c r="K151" s="89"/>
      <x:c r="L151" s="89"/>
      <x:c r="M151" s="89"/>
      <x:c r="N151" s="89"/>
      <x:c r="O151" s="89"/>
      <x:c r="P151" s="89"/>
      <x:c r="Q151" s="89"/>
      <x:c r="R151" s="89"/>
      <x:c r="S151" s="89"/>
      <x:c r="T151" s="89"/>
      <x:c r="U151" s="89"/>
      <x:c r="V151" s="89"/>
      <x:c r="W151" s="89"/>
      <x:c r="X151" s="89"/>
      <x:c r="Y151" s="89"/>
      <x:c r="Z151" s="89"/>
    </x:row>
    <x:row r="152">
      <x:c r="A152" s="89"/>
      <x:c r="B152" s="89"/>
      <x:c r="C152" s="89"/>
      <x:c r="D152" s="89"/>
      <x:c r="E152" s="89"/>
      <x:c r="F152" s="89"/>
      <x:c r="G152" s="89"/>
      <x:c r="H152" s="89"/>
      <x:c r="I152" s="89"/>
      <x:c r="J152" s="89"/>
      <x:c r="K152" s="89"/>
      <x:c r="L152" s="89"/>
      <x:c r="M152" s="89"/>
      <x:c r="N152" s="89"/>
      <x:c r="O152" s="89"/>
      <x:c r="P152" s="89"/>
      <x:c r="Q152" s="89"/>
      <x:c r="R152" s="89"/>
      <x:c r="S152" s="89"/>
      <x:c r="T152" s="89"/>
      <x:c r="U152" s="89"/>
      <x:c r="V152" s="89"/>
      <x:c r="W152" s="89"/>
      <x:c r="X152" s="89"/>
      <x:c r="Y152" s="89"/>
      <x:c r="Z152" s="89"/>
    </x:row>
    <x:row r="153">
      <x:c r="A153" s="89"/>
      <x:c r="B153" s="89"/>
      <x:c r="C153" s="89"/>
      <x:c r="D153" s="89"/>
      <x:c r="E153" s="89"/>
      <x:c r="F153" s="89"/>
      <x:c r="G153" s="89"/>
      <x:c r="H153" s="89"/>
      <x:c r="I153" s="89"/>
      <x:c r="J153" s="89"/>
      <x:c r="K153" s="89"/>
      <x:c r="L153" s="89"/>
      <x:c r="M153" s="89"/>
      <x:c r="N153" s="89"/>
      <x:c r="O153" s="89"/>
      <x:c r="P153" s="89"/>
      <x:c r="Q153" s="89"/>
      <x:c r="R153" s="89"/>
      <x:c r="S153" s="89"/>
      <x:c r="T153" s="89"/>
      <x:c r="U153" s="89"/>
      <x:c r="V153" s="89"/>
      <x:c r="W153" s="89"/>
      <x:c r="X153" s="89"/>
      <x:c r="Y153" s="89"/>
      <x:c r="Z153" s="89"/>
    </x:row>
    <x:row r="154">
      <x:c r="A154" s="89"/>
      <x:c r="B154" s="89"/>
      <x:c r="C154" s="89"/>
      <x:c r="D154" s="89"/>
      <x:c r="E154" s="89"/>
      <x:c r="F154" s="89"/>
      <x:c r="G154" s="89"/>
      <x:c r="H154" s="89"/>
      <x:c r="I154" s="89"/>
      <x:c r="J154" s="89"/>
      <x:c r="K154" s="89"/>
      <x:c r="L154" s="89"/>
      <x:c r="M154" s="89"/>
      <x:c r="N154" s="89"/>
      <x:c r="O154" s="89"/>
      <x:c r="P154" s="89"/>
      <x:c r="Q154" s="89"/>
      <x:c r="R154" s="89"/>
      <x:c r="S154" s="89"/>
      <x:c r="T154" s="89"/>
      <x:c r="U154" s="89"/>
      <x:c r="V154" s="89"/>
      <x:c r="W154" s="89"/>
      <x:c r="X154" s="89"/>
      <x:c r="Y154" s="89"/>
      <x:c r="Z154" s="89"/>
    </x:row>
    <x:row r="155">
      <x:c r="A155" s="89"/>
      <x:c r="B155" s="89"/>
      <x:c r="C155" s="89"/>
      <x:c r="D155" s="89"/>
      <x:c r="E155" s="89"/>
      <x:c r="F155" s="89"/>
      <x:c r="G155" s="89"/>
      <x:c r="H155" s="89"/>
      <x:c r="I155" s="89"/>
      <x:c r="J155" s="89"/>
      <x:c r="K155" s="89"/>
      <x:c r="L155" s="89"/>
      <x:c r="M155" s="89"/>
      <x:c r="N155" s="89"/>
      <x:c r="O155" s="89"/>
      <x:c r="P155" s="89"/>
      <x:c r="Q155" s="89"/>
      <x:c r="R155" s="89"/>
      <x:c r="S155" s="89"/>
      <x:c r="T155" s="89"/>
      <x:c r="U155" s="89"/>
      <x:c r="V155" s="89"/>
      <x:c r="W155" s="89"/>
      <x:c r="X155" s="89"/>
      <x:c r="Y155" s="89"/>
      <x:c r="Z155" s="89"/>
    </x:row>
    <x:row r="156">
      <x:c r="A156" s="89"/>
      <x:c r="B156" s="89"/>
      <x:c r="C156" s="89"/>
      <x:c r="D156" s="89"/>
      <x:c r="E156" s="89"/>
      <x:c r="F156" s="89"/>
      <x:c r="G156" s="89"/>
      <x:c r="H156" s="89"/>
      <x:c r="I156" s="89"/>
      <x:c r="J156" s="89"/>
      <x:c r="K156" s="89"/>
      <x:c r="L156" s="89"/>
      <x:c r="M156" s="89"/>
      <x:c r="N156" s="89"/>
      <x:c r="O156" s="89"/>
      <x:c r="P156" s="89"/>
      <x:c r="Q156" s="89"/>
      <x:c r="R156" s="89"/>
      <x:c r="S156" s="89"/>
      <x:c r="T156" s="89"/>
      <x:c r="U156" s="89"/>
      <x:c r="V156" s="89"/>
      <x:c r="W156" s="89"/>
      <x:c r="X156" s="89"/>
      <x:c r="Y156" s="89"/>
      <x:c r="Z156" s="89"/>
    </x:row>
    <x:row r="157">
      <x:c r="A157" s="89"/>
      <x:c r="B157" s="89"/>
      <x:c r="C157" s="89"/>
      <x:c r="D157" s="89"/>
      <x:c r="E157" s="89"/>
      <x:c r="F157" s="89"/>
      <x:c r="G157" s="89"/>
      <x:c r="H157" s="89"/>
      <x:c r="I157" s="89"/>
      <x:c r="J157" s="89"/>
      <x:c r="K157" s="89"/>
      <x:c r="L157" s="89"/>
      <x:c r="M157" s="89"/>
      <x:c r="N157" s="89"/>
      <x:c r="O157" s="89"/>
      <x:c r="P157" s="89"/>
      <x:c r="Q157" s="89"/>
      <x:c r="R157" s="89"/>
      <x:c r="S157" s="89"/>
      <x:c r="T157" s="89"/>
      <x:c r="U157" s="89"/>
      <x:c r="V157" s="89"/>
      <x:c r="W157" s="89"/>
      <x:c r="X157" s="89"/>
      <x:c r="Y157" s="89"/>
      <x:c r="Z157" s="89"/>
    </x:row>
    <x:row r="158">
      <x:c r="A158" s="89"/>
      <x:c r="B158" s="89"/>
      <x:c r="C158" s="89"/>
      <x:c r="D158" s="89"/>
      <x:c r="E158" s="89"/>
      <x:c r="F158" s="89"/>
      <x:c r="G158" s="89"/>
      <x:c r="H158" s="89"/>
      <x:c r="I158" s="89"/>
      <x:c r="J158" s="89"/>
      <x:c r="K158" s="89"/>
      <x:c r="L158" s="89"/>
      <x:c r="M158" s="89"/>
      <x:c r="N158" s="89"/>
      <x:c r="O158" s="89"/>
      <x:c r="P158" s="89"/>
      <x:c r="Q158" s="89"/>
      <x:c r="R158" s="89"/>
      <x:c r="S158" s="89"/>
      <x:c r="T158" s="89"/>
      <x:c r="U158" s="89"/>
      <x:c r="V158" s="89"/>
      <x:c r="W158" s="89"/>
      <x:c r="X158" s="89"/>
      <x:c r="Y158" s="89"/>
      <x:c r="Z158" s="89"/>
    </x:row>
    <x:row r="159">
      <x:c r="A159" s="89"/>
      <x:c r="B159" s="89"/>
      <x:c r="C159" s="89"/>
      <x:c r="D159" s="89"/>
      <x:c r="E159" s="89"/>
      <x:c r="F159" s="89"/>
      <x:c r="G159" s="89"/>
      <x:c r="H159" s="89"/>
      <x:c r="I159" s="89"/>
      <x:c r="J159" s="89"/>
      <x:c r="K159" s="89"/>
      <x:c r="L159" s="89"/>
      <x:c r="M159" s="89"/>
      <x:c r="N159" s="89"/>
      <x:c r="O159" s="89"/>
      <x:c r="P159" s="89"/>
      <x:c r="Q159" s="89"/>
      <x:c r="R159" s="89"/>
      <x:c r="S159" s="89"/>
      <x:c r="T159" s="89"/>
      <x:c r="U159" s="89"/>
      <x:c r="V159" s="89"/>
      <x:c r="W159" s="89"/>
      <x:c r="X159" s="89"/>
      <x:c r="Y159" s="89"/>
      <x:c r="Z159" s="89"/>
    </x:row>
    <x:row r="160">
      <x:c r="A160" s="89"/>
      <x:c r="B160" s="89"/>
      <x:c r="C160" s="89"/>
      <x:c r="D160" s="89"/>
      <x:c r="E160" s="89"/>
      <x:c r="F160" s="89"/>
      <x:c r="G160" s="89"/>
      <x:c r="H160" s="89"/>
      <x:c r="I160" s="89"/>
      <x:c r="J160" s="89"/>
      <x:c r="K160" s="89"/>
      <x:c r="L160" s="89"/>
      <x:c r="M160" s="89"/>
      <x:c r="N160" s="89"/>
      <x:c r="O160" s="89"/>
      <x:c r="P160" s="89"/>
      <x:c r="Q160" s="89"/>
      <x:c r="R160" s="89"/>
      <x:c r="S160" s="89"/>
      <x:c r="T160" s="89"/>
      <x:c r="U160" s="89"/>
      <x:c r="V160" s="89"/>
      <x:c r="W160" s="89"/>
      <x:c r="X160" s="89"/>
      <x:c r="Y160" s="89"/>
      <x:c r="Z160" s="89"/>
    </x:row>
    <x:row r="161">
      <x:c r="A161" s="89"/>
      <x:c r="B161" s="89"/>
      <x:c r="C161" s="89"/>
      <x:c r="D161" s="89"/>
      <x:c r="E161" s="89"/>
      <x:c r="F161" s="89"/>
      <x:c r="G161" s="89"/>
      <x:c r="H161" s="89"/>
      <x:c r="I161" s="89"/>
      <x:c r="J161" s="89"/>
      <x:c r="K161" s="89"/>
      <x:c r="L161" s="89"/>
      <x:c r="M161" s="89"/>
      <x:c r="N161" s="89"/>
      <x:c r="O161" s="89"/>
      <x:c r="P161" s="89"/>
      <x:c r="Q161" s="89"/>
      <x:c r="R161" s="89"/>
      <x:c r="S161" s="89"/>
      <x:c r="T161" s="89"/>
      <x:c r="U161" s="89"/>
      <x:c r="V161" s="89"/>
      <x:c r="W161" s="89"/>
      <x:c r="X161" s="89"/>
      <x:c r="Y161" s="89"/>
      <x:c r="Z161" s="89"/>
    </x:row>
    <x:row r="162">
      <x:c r="A162" s="89"/>
      <x:c r="B162" s="89"/>
      <x:c r="C162" s="89"/>
      <x:c r="D162" s="89"/>
      <x:c r="E162" s="89"/>
      <x:c r="F162" s="89"/>
      <x:c r="G162" s="89"/>
      <x:c r="H162" s="89"/>
      <x:c r="I162" s="89"/>
      <x:c r="J162" s="89"/>
      <x:c r="K162" s="89"/>
      <x:c r="L162" s="89"/>
      <x:c r="M162" s="89"/>
      <x:c r="N162" s="89"/>
      <x:c r="O162" s="89"/>
      <x:c r="P162" s="89"/>
      <x:c r="Q162" s="89"/>
      <x:c r="R162" s="89"/>
      <x:c r="S162" s="89"/>
      <x:c r="T162" s="89"/>
      <x:c r="U162" s="89"/>
      <x:c r="V162" s="89"/>
      <x:c r="W162" s="89"/>
      <x:c r="X162" s="89"/>
      <x:c r="Y162" s="89"/>
      <x:c r="Z162" s="89"/>
    </x:row>
    <x:row r="163">
      <x:c r="A163" s="89"/>
      <x:c r="B163" s="89"/>
      <x:c r="C163" s="89"/>
      <x:c r="D163" s="89"/>
      <x:c r="E163" s="89"/>
      <x:c r="F163" s="89"/>
      <x:c r="G163" s="89"/>
      <x:c r="H163" s="89"/>
      <x:c r="I163" s="89"/>
      <x:c r="J163" s="89"/>
      <x:c r="K163" s="89"/>
      <x:c r="L163" s="89"/>
      <x:c r="M163" s="89"/>
      <x:c r="N163" s="89"/>
      <x:c r="O163" s="89"/>
      <x:c r="P163" s="89"/>
      <x:c r="Q163" s="89"/>
      <x:c r="R163" s="89"/>
      <x:c r="S163" s="89"/>
      <x:c r="T163" s="89"/>
      <x:c r="U163" s="89"/>
      <x:c r="V163" s="89"/>
      <x:c r="W163" s="89"/>
      <x:c r="X163" s="89"/>
      <x:c r="Y163" s="89"/>
      <x:c r="Z163" s="89"/>
    </x:row>
    <x:row r="164">
      <x:c r="A164" s="89"/>
      <x:c r="B164" s="89"/>
      <x:c r="C164" s="89"/>
      <x:c r="D164" s="89"/>
      <x:c r="E164" s="89"/>
      <x:c r="F164" s="89"/>
      <x:c r="G164" s="89"/>
      <x:c r="H164" s="89"/>
      <x:c r="I164" s="89"/>
      <x:c r="J164" s="89"/>
      <x:c r="K164" s="89"/>
      <x:c r="L164" s="89"/>
      <x:c r="M164" s="89"/>
      <x:c r="N164" s="89"/>
      <x:c r="O164" s="89"/>
      <x:c r="P164" s="89"/>
      <x:c r="Q164" s="89"/>
      <x:c r="R164" s="89"/>
      <x:c r="S164" s="89"/>
      <x:c r="T164" s="89"/>
      <x:c r="U164" s="89"/>
      <x:c r="V164" s="89"/>
      <x:c r="W164" s="89"/>
      <x:c r="X164" s="89"/>
      <x:c r="Y164" s="89"/>
      <x:c r="Z164" s="89"/>
    </x:row>
    <x:row r="165">
      <x:c r="A165" s="89"/>
      <x:c r="B165" s="89"/>
      <x:c r="C165" s="89"/>
      <x:c r="D165" s="89"/>
      <x:c r="E165" s="89"/>
      <x:c r="F165" s="89"/>
      <x:c r="G165" s="89"/>
      <x:c r="H165" s="89"/>
      <x:c r="I165" s="89"/>
      <x:c r="J165" s="89"/>
      <x:c r="K165" s="89"/>
      <x:c r="L165" s="89"/>
      <x:c r="M165" s="89"/>
      <x:c r="N165" s="89"/>
      <x:c r="O165" s="89"/>
      <x:c r="P165" s="89"/>
      <x:c r="Q165" s="89"/>
      <x:c r="R165" s="89"/>
      <x:c r="S165" s="89"/>
      <x:c r="T165" s="89"/>
      <x:c r="U165" s="89"/>
      <x:c r="V165" s="89"/>
      <x:c r="W165" s="89"/>
      <x:c r="X165" s="89"/>
      <x:c r="Y165" s="89"/>
      <x:c r="Z165" s="89"/>
    </x:row>
    <x:row r="166">
      <x:c r="A166" s="89"/>
      <x:c r="B166" s="89"/>
      <x:c r="C166" s="89"/>
      <x:c r="D166" s="89"/>
      <x:c r="E166" s="89"/>
      <x:c r="F166" s="89"/>
      <x:c r="G166" s="89"/>
      <x:c r="H166" s="89"/>
      <x:c r="I166" s="89"/>
      <x:c r="J166" s="89"/>
      <x:c r="K166" s="89"/>
      <x:c r="L166" s="89"/>
      <x:c r="M166" s="89"/>
      <x:c r="N166" s="89"/>
      <x:c r="O166" s="89"/>
      <x:c r="P166" s="89"/>
      <x:c r="Q166" s="89"/>
      <x:c r="R166" s="89"/>
      <x:c r="S166" s="89"/>
      <x:c r="T166" s="89"/>
      <x:c r="U166" s="89"/>
      <x:c r="V166" s="89"/>
      <x:c r="W166" s="89"/>
      <x:c r="X166" s="89"/>
      <x:c r="Y166" s="89"/>
      <x:c r="Z166" s="89"/>
    </x:row>
    <x:row r="167">
      <x:c r="A167" s="89"/>
      <x:c r="B167" s="89"/>
      <x:c r="C167" s="89"/>
      <x:c r="D167" s="89"/>
      <x:c r="E167" s="89"/>
      <x:c r="F167" s="89"/>
      <x:c r="G167" s="89"/>
      <x:c r="H167" s="89"/>
      <x:c r="I167" s="89"/>
      <x:c r="J167" s="89"/>
      <x:c r="K167" s="89"/>
      <x:c r="L167" s="89"/>
      <x:c r="M167" s="89"/>
      <x:c r="N167" s="89"/>
      <x:c r="O167" s="89"/>
      <x:c r="P167" s="89"/>
      <x:c r="Q167" s="89"/>
      <x:c r="R167" s="89"/>
      <x:c r="S167" s="89"/>
      <x:c r="T167" s="89"/>
      <x:c r="U167" s="89"/>
      <x:c r="V167" s="89"/>
      <x:c r="W167" s="89"/>
      <x:c r="X167" s="89"/>
      <x:c r="Y167" s="89"/>
      <x:c r="Z167" s="89"/>
    </x:row>
    <x:row r="168">
      <x:c r="A168" s="89"/>
      <x:c r="B168" s="89"/>
      <x:c r="C168" s="89"/>
      <x:c r="D168" s="89"/>
      <x:c r="E168" s="89"/>
      <x:c r="F168" s="89"/>
      <x:c r="G168" s="89"/>
      <x:c r="H168" s="89"/>
      <x:c r="I168" s="89"/>
      <x:c r="J168" s="89"/>
      <x:c r="K168" s="89"/>
      <x:c r="L168" s="89"/>
      <x:c r="M168" s="89"/>
      <x:c r="N168" s="89"/>
      <x:c r="O168" s="89"/>
      <x:c r="P168" s="89"/>
      <x:c r="Q168" s="89"/>
      <x:c r="R168" s="89"/>
      <x:c r="S168" s="89"/>
      <x:c r="T168" s="89"/>
      <x:c r="U168" s="89"/>
      <x:c r="V168" s="89"/>
      <x:c r="W168" s="89"/>
      <x:c r="X168" s="89"/>
      <x:c r="Y168" s="89"/>
      <x:c r="Z168" s="89"/>
    </x:row>
    <x:row r="169">
      <x:c r="A169" s="89"/>
      <x:c r="B169" s="89"/>
      <x:c r="C169" s="89"/>
      <x:c r="D169" s="89"/>
      <x:c r="E169" s="89"/>
      <x:c r="F169" s="89"/>
      <x:c r="G169" s="89"/>
      <x:c r="H169" s="89"/>
      <x:c r="I169" s="89"/>
      <x:c r="J169" s="89"/>
      <x:c r="K169" s="89"/>
      <x:c r="L169" s="89"/>
      <x:c r="M169" s="89"/>
      <x:c r="N169" s="89"/>
      <x:c r="O169" s="89"/>
      <x:c r="P169" s="89"/>
      <x:c r="Q169" s="89"/>
      <x:c r="R169" s="89"/>
      <x:c r="S169" s="89"/>
      <x:c r="T169" s="89"/>
      <x:c r="U169" s="89"/>
      <x:c r="V169" s="89"/>
      <x:c r="W169" s="89"/>
      <x:c r="X169" s="89"/>
      <x:c r="Y169" s="89"/>
      <x:c r="Z169" s="89"/>
    </x:row>
    <x:row r="170">
      <x:c r="A170" s="89"/>
      <x:c r="B170" s="89"/>
      <x:c r="C170" s="89"/>
      <x:c r="D170" s="89"/>
      <x:c r="E170" s="89"/>
      <x:c r="F170" s="89"/>
      <x:c r="G170" s="89"/>
      <x:c r="H170" s="89"/>
      <x:c r="I170" s="89"/>
      <x:c r="J170" s="89"/>
      <x:c r="K170" s="89"/>
      <x:c r="L170" s="89"/>
      <x:c r="M170" s="89"/>
      <x:c r="N170" s="89"/>
      <x:c r="O170" s="89"/>
      <x:c r="P170" s="89"/>
      <x:c r="Q170" s="89"/>
      <x:c r="R170" s="89"/>
      <x:c r="S170" s="89"/>
      <x:c r="T170" s="89"/>
      <x:c r="U170" s="89"/>
      <x:c r="V170" s="89"/>
      <x:c r="W170" s="89"/>
      <x:c r="X170" s="89"/>
      <x:c r="Y170" s="89"/>
      <x:c r="Z170" s="89"/>
    </x:row>
    <x:row r="171">
      <x:c r="A171" s="89"/>
      <x:c r="B171" s="89"/>
      <x:c r="C171" s="89"/>
      <x:c r="D171" s="89"/>
      <x:c r="E171" s="89"/>
      <x:c r="F171" s="89"/>
      <x:c r="G171" s="89"/>
      <x:c r="H171" s="89"/>
      <x:c r="I171" s="89"/>
      <x:c r="J171" s="89"/>
      <x:c r="K171" s="89"/>
      <x:c r="L171" s="89"/>
      <x:c r="M171" s="89"/>
      <x:c r="N171" s="89"/>
      <x:c r="O171" s="89"/>
      <x:c r="P171" s="89"/>
      <x:c r="Q171" s="89"/>
      <x:c r="R171" s="89"/>
      <x:c r="S171" s="89"/>
      <x:c r="T171" s="89"/>
      <x:c r="U171" s="89"/>
      <x:c r="V171" s="89"/>
      <x:c r="W171" s="89"/>
      <x:c r="X171" s="89"/>
      <x:c r="Y171" s="89"/>
      <x:c r="Z171" s="89"/>
    </x:row>
    <x:row r="172">
      <x:c r="A172" s="89"/>
      <x:c r="B172" s="89"/>
      <x:c r="C172" s="89"/>
      <x:c r="D172" s="89"/>
      <x:c r="E172" s="89"/>
      <x:c r="F172" s="89"/>
      <x:c r="G172" s="89"/>
      <x:c r="H172" s="89"/>
      <x:c r="I172" s="89"/>
      <x:c r="J172" s="89"/>
      <x:c r="K172" s="89"/>
      <x:c r="L172" s="89"/>
      <x:c r="M172" s="89"/>
      <x:c r="N172" s="89"/>
      <x:c r="O172" s="89"/>
      <x:c r="P172" s="89"/>
      <x:c r="Q172" s="89"/>
      <x:c r="R172" s="89"/>
      <x:c r="S172" s="89"/>
      <x:c r="T172" s="89"/>
      <x:c r="U172" s="89"/>
      <x:c r="V172" s="89"/>
      <x:c r="W172" s="89"/>
      <x:c r="X172" s="89"/>
      <x:c r="Y172" s="89"/>
      <x:c r="Z172" s="89"/>
    </x:row>
    <x:row r="173">
      <x:c r="A173" s="89"/>
      <x:c r="B173" s="89"/>
      <x:c r="C173" s="89"/>
      <x:c r="D173" s="89"/>
      <x:c r="E173" s="89"/>
      <x:c r="F173" s="89"/>
      <x:c r="G173" s="89"/>
      <x:c r="H173" s="89"/>
      <x:c r="I173" s="89"/>
      <x:c r="J173" s="89"/>
      <x:c r="K173" s="89"/>
      <x:c r="L173" s="89"/>
      <x:c r="M173" s="89"/>
      <x:c r="N173" s="89"/>
      <x:c r="O173" s="89"/>
      <x:c r="P173" s="89"/>
      <x:c r="Q173" s="89"/>
      <x:c r="R173" s="89"/>
      <x:c r="S173" s="89"/>
      <x:c r="T173" s="89"/>
      <x:c r="U173" s="89"/>
      <x:c r="V173" s="89"/>
      <x:c r="W173" s="89"/>
      <x:c r="X173" s="89"/>
      <x:c r="Y173" s="89"/>
      <x:c r="Z173" s="89"/>
    </x:row>
    <x:row r="174">
      <x:c r="A174" s="89"/>
      <x:c r="B174" s="89"/>
      <x:c r="C174" s="89"/>
      <x:c r="D174" s="89"/>
      <x:c r="E174" s="89"/>
      <x:c r="F174" s="89"/>
      <x:c r="G174" s="89"/>
      <x:c r="H174" s="89"/>
      <x:c r="I174" s="89"/>
      <x:c r="J174" s="89"/>
      <x:c r="K174" s="89"/>
      <x:c r="L174" s="89"/>
      <x:c r="M174" s="89"/>
      <x:c r="N174" s="89"/>
      <x:c r="O174" s="89"/>
      <x:c r="P174" s="89"/>
      <x:c r="Q174" s="89"/>
      <x:c r="R174" s="89"/>
      <x:c r="S174" s="89"/>
      <x:c r="T174" s="89"/>
      <x:c r="U174" s="89"/>
      <x:c r="V174" s="89"/>
      <x:c r="W174" s="89"/>
      <x:c r="X174" s="89"/>
      <x:c r="Y174" s="89"/>
      <x:c r="Z174" s="89"/>
    </x:row>
    <x:row r="175">
      <x:c r="A175" s="89"/>
      <x:c r="B175" s="89"/>
      <x:c r="C175" s="89"/>
      <x:c r="D175" s="89"/>
      <x:c r="E175" s="89"/>
      <x:c r="F175" s="89"/>
      <x:c r="G175" s="89"/>
      <x:c r="H175" s="89"/>
      <x:c r="I175" s="89"/>
      <x:c r="J175" s="89"/>
      <x:c r="K175" s="89"/>
      <x:c r="L175" s="89"/>
      <x:c r="M175" s="89"/>
      <x:c r="N175" s="89"/>
      <x:c r="O175" s="89"/>
      <x:c r="P175" s="89"/>
      <x:c r="Q175" s="89"/>
      <x:c r="R175" s="89"/>
      <x:c r="S175" s="89"/>
      <x:c r="T175" s="89"/>
      <x:c r="U175" s="89"/>
      <x:c r="V175" s="89"/>
      <x:c r="W175" s="89"/>
      <x:c r="X175" s="89"/>
      <x:c r="Y175" s="89"/>
      <x:c r="Z175" s="89"/>
    </x:row>
    <x:row r="176">
      <x:c r="A176" s="89"/>
      <x:c r="B176" s="89"/>
      <x:c r="C176" s="89"/>
      <x:c r="D176" s="89"/>
      <x:c r="E176" s="89"/>
      <x:c r="F176" s="89"/>
      <x:c r="G176" s="89"/>
      <x:c r="H176" s="89"/>
      <x:c r="I176" s="89"/>
      <x:c r="J176" s="89"/>
      <x:c r="K176" s="89"/>
      <x:c r="L176" s="89"/>
      <x:c r="M176" s="89"/>
      <x:c r="N176" s="89"/>
      <x:c r="O176" s="89"/>
      <x:c r="P176" s="89"/>
      <x:c r="Q176" s="89"/>
      <x:c r="R176" s="89"/>
      <x:c r="S176" s="89"/>
      <x:c r="T176" s="89"/>
      <x:c r="U176" s="89"/>
      <x:c r="V176" s="89"/>
      <x:c r="W176" s="89"/>
      <x:c r="X176" s="89"/>
      <x:c r="Y176" s="89"/>
      <x:c r="Z176" s="89"/>
    </x:row>
    <x:row r="177">
      <x:c r="A177" s="89"/>
      <x:c r="B177" s="89"/>
      <x:c r="C177" s="89"/>
      <x:c r="D177" s="89"/>
      <x:c r="E177" s="89"/>
      <x:c r="F177" s="89"/>
      <x:c r="G177" s="89"/>
      <x:c r="H177" s="89"/>
      <x:c r="I177" s="89"/>
      <x:c r="J177" s="89"/>
      <x:c r="K177" s="89"/>
      <x:c r="L177" s="89"/>
      <x:c r="M177" s="89"/>
      <x:c r="N177" s="89"/>
      <x:c r="O177" s="89"/>
      <x:c r="P177" s="89"/>
      <x:c r="Q177" s="89"/>
      <x:c r="R177" s="89"/>
      <x:c r="S177" s="89"/>
      <x:c r="T177" s="89"/>
      <x:c r="U177" s="89"/>
      <x:c r="V177" s="89"/>
      <x:c r="W177" s="89"/>
      <x:c r="X177" s="89"/>
      <x:c r="Y177" s="89"/>
      <x:c r="Z177" s="89"/>
    </x:row>
    <x:row r="178">
      <x:c r="A178" s="89"/>
      <x:c r="B178" s="89"/>
      <x:c r="C178" s="89"/>
      <x:c r="D178" s="89"/>
      <x:c r="E178" s="89"/>
      <x:c r="F178" s="89"/>
      <x:c r="G178" s="89"/>
      <x:c r="H178" s="89"/>
      <x:c r="I178" s="89"/>
      <x:c r="J178" s="89"/>
      <x:c r="K178" s="89"/>
      <x:c r="L178" s="89"/>
      <x:c r="M178" s="89"/>
      <x:c r="N178" s="89"/>
      <x:c r="O178" s="89"/>
      <x:c r="P178" s="89"/>
      <x:c r="Q178" s="89"/>
      <x:c r="R178" s="89"/>
      <x:c r="S178" s="89"/>
      <x:c r="T178" s="89"/>
      <x:c r="U178" s="89"/>
      <x:c r="V178" s="89"/>
      <x:c r="W178" s="89"/>
      <x:c r="X178" s="89"/>
      <x:c r="Y178" s="89"/>
      <x:c r="Z178" s="89"/>
    </x:row>
    <x:row r="179">
      <x:c r="A179" s="89"/>
      <x:c r="B179" s="89"/>
      <x:c r="C179" s="89"/>
      <x:c r="D179" s="89"/>
      <x:c r="E179" s="89"/>
      <x:c r="F179" s="89"/>
      <x:c r="G179" s="89"/>
      <x:c r="H179" s="89"/>
      <x:c r="I179" s="89"/>
      <x:c r="J179" s="89"/>
      <x:c r="K179" s="89"/>
      <x:c r="L179" s="89"/>
      <x:c r="M179" s="89"/>
      <x:c r="N179" s="89"/>
      <x:c r="O179" s="89"/>
      <x:c r="P179" s="89"/>
      <x:c r="Q179" s="89"/>
      <x:c r="R179" s="89"/>
      <x:c r="S179" s="89"/>
      <x:c r="T179" s="89"/>
      <x:c r="U179" s="89"/>
      <x:c r="V179" s="89"/>
      <x:c r="W179" s="89"/>
      <x:c r="X179" s="89"/>
      <x:c r="Y179" s="89"/>
      <x:c r="Z179" s="89"/>
    </x:row>
    <x:row r="180">
      <x:c r="A180" s="89"/>
      <x:c r="B180" s="89"/>
      <x:c r="C180" s="89"/>
      <x:c r="D180" s="89"/>
      <x:c r="E180" s="89"/>
      <x:c r="F180" s="89"/>
      <x:c r="G180" s="89"/>
      <x:c r="H180" s="89"/>
      <x:c r="I180" s="89"/>
      <x:c r="J180" s="89"/>
      <x:c r="K180" s="89"/>
      <x:c r="L180" s="89"/>
      <x:c r="M180" s="89"/>
      <x:c r="N180" s="89"/>
      <x:c r="O180" s="89"/>
      <x:c r="P180" s="89"/>
      <x:c r="Q180" s="89"/>
      <x:c r="R180" s="89"/>
      <x:c r="S180" s="89"/>
      <x:c r="T180" s="89"/>
      <x:c r="U180" s="89"/>
      <x:c r="V180" s="89"/>
      <x:c r="W180" s="89"/>
      <x:c r="X180" s="89"/>
      <x:c r="Y180" s="89"/>
      <x:c r="Z180" s="89"/>
    </x:row>
    <x:row r="181">
      <x:c r="A181" s="89"/>
      <x:c r="B181" s="89"/>
      <x:c r="C181" s="89"/>
      <x:c r="D181" s="89"/>
      <x:c r="E181" s="89"/>
      <x:c r="F181" s="89"/>
      <x:c r="G181" s="89"/>
      <x:c r="H181" s="89"/>
      <x:c r="I181" s="89"/>
      <x:c r="J181" s="89"/>
      <x:c r="K181" s="89"/>
      <x:c r="L181" s="89"/>
      <x:c r="M181" s="89"/>
      <x:c r="N181" s="89"/>
      <x:c r="O181" s="89"/>
      <x:c r="P181" s="89"/>
      <x:c r="Q181" s="89"/>
      <x:c r="R181" s="89"/>
      <x:c r="S181" s="89"/>
      <x:c r="T181" s="89"/>
      <x:c r="U181" s="89"/>
      <x:c r="V181" s="89"/>
      <x:c r="W181" s="89"/>
      <x:c r="X181" s="89"/>
      <x:c r="Y181" s="89"/>
      <x:c r="Z181" s="89"/>
    </x:row>
    <x:row r="182">
      <x:c r="A182" s="89"/>
      <x:c r="B182" s="89"/>
      <x:c r="C182" s="89"/>
      <x:c r="D182" s="89"/>
      <x:c r="E182" s="89"/>
      <x:c r="F182" s="89"/>
      <x:c r="G182" s="89"/>
      <x:c r="H182" s="89"/>
      <x:c r="I182" s="89"/>
      <x:c r="J182" s="89"/>
      <x:c r="K182" s="89"/>
      <x:c r="L182" s="89"/>
      <x:c r="M182" s="89"/>
      <x:c r="N182" s="89"/>
      <x:c r="O182" s="89"/>
      <x:c r="P182" s="89"/>
      <x:c r="Q182" s="89"/>
      <x:c r="R182" s="89"/>
      <x:c r="S182" s="89"/>
      <x:c r="T182" s="89"/>
      <x:c r="U182" s="89"/>
      <x:c r="V182" s="89"/>
      <x:c r="W182" s="89"/>
      <x:c r="X182" s="89"/>
      <x:c r="Y182" s="89"/>
      <x:c r="Z182" s="89"/>
    </x:row>
    <x:row r="183">
      <x:c r="A183" s="89"/>
      <x:c r="B183" s="89"/>
      <x:c r="C183" s="89"/>
      <x:c r="D183" s="89"/>
      <x:c r="E183" s="89"/>
      <x:c r="F183" s="89"/>
      <x:c r="G183" s="89"/>
      <x:c r="H183" s="89"/>
      <x:c r="I183" s="89"/>
      <x:c r="J183" s="89"/>
      <x:c r="K183" s="89"/>
      <x:c r="L183" s="89"/>
      <x:c r="M183" s="89"/>
      <x:c r="N183" s="89"/>
      <x:c r="O183" s="89"/>
      <x:c r="P183" s="89"/>
      <x:c r="Q183" s="89"/>
      <x:c r="R183" s="89"/>
      <x:c r="S183" s="89"/>
      <x:c r="T183" s="89"/>
      <x:c r="U183" s="89"/>
      <x:c r="V183" s="89"/>
      <x:c r="W183" s="89"/>
      <x:c r="X183" s="89"/>
      <x:c r="Y183" s="89"/>
      <x:c r="Z183" s="89"/>
    </x:row>
    <x:row r="184">
      <x:c r="A184" s="89"/>
      <x:c r="B184" s="89"/>
      <x:c r="C184" s="89"/>
      <x:c r="D184" s="89"/>
      <x:c r="E184" s="89"/>
      <x:c r="F184" s="89"/>
      <x:c r="G184" s="89"/>
      <x:c r="H184" s="89"/>
      <x:c r="I184" s="89"/>
      <x:c r="J184" s="89"/>
      <x:c r="K184" s="89"/>
      <x:c r="L184" s="89"/>
      <x:c r="M184" s="89"/>
      <x:c r="N184" s="89"/>
      <x:c r="O184" s="89"/>
      <x:c r="P184" s="89"/>
      <x:c r="Q184" s="89"/>
      <x:c r="R184" s="89"/>
      <x:c r="S184" s="89"/>
      <x:c r="T184" s="89"/>
      <x:c r="U184" s="89"/>
      <x:c r="V184" s="89"/>
      <x:c r="W184" s="89"/>
      <x:c r="X184" s="89"/>
      <x:c r="Y184" s="89"/>
      <x:c r="Z184" s="89"/>
    </x:row>
    <x:row r="185">
      <x:c r="A185" s="89"/>
      <x:c r="B185" s="89"/>
      <x:c r="C185" s="89"/>
      <x:c r="D185" s="89"/>
      <x:c r="E185" s="89"/>
      <x:c r="F185" s="89"/>
      <x:c r="G185" s="89"/>
      <x:c r="H185" s="89"/>
      <x:c r="I185" s="89"/>
      <x:c r="J185" s="89"/>
      <x:c r="K185" s="89"/>
      <x:c r="L185" s="89"/>
      <x:c r="M185" s="89"/>
      <x:c r="N185" s="89"/>
      <x:c r="O185" s="89"/>
      <x:c r="P185" s="89"/>
      <x:c r="Q185" s="89"/>
      <x:c r="R185" s="89"/>
      <x:c r="S185" s="89"/>
      <x:c r="T185" s="89"/>
      <x:c r="U185" s="89"/>
      <x:c r="V185" s="89"/>
      <x:c r="W185" s="89"/>
      <x:c r="X185" s="89"/>
      <x:c r="Y185" s="89"/>
      <x:c r="Z185" s="89"/>
    </x:row>
    <x:row r="186">
      <x:c r="A186" s="89"/>
      <x:c r="B186" s="89"/>
      <x:c r="C186" s="89"/>
      <x:c r="D186" s="89"/>
      <x:c r="E186" s="89"/>
      <x:c r="F186" s="89"/>
      <x:c r="G186" s="89"/>
      <x:c r="H186" s="89"/>
      <x:c r="I186" s="89"/>
      <x:c r="J186" s="89"/>
      <x:c r="K186" s="89"/>
      <x:c r="L186" s="89"/>
      <x:c r="M186" s="89"/>
      <x:c r="N186" s="89"/>
      <x:c r="O186" s="89"/>
      <x:c r="P186" s="89"/>
      <x:c r="Q186" s="89"/>
      <x:c r="R186" s="89"/>
      <x:c r="S186" s="89"/>
      <x:c r="T186" s="89"/>
      <x:c r="U186" s="89"/>
      <x:c r="V186" s="89"/>
      <x:c r="W186" s="89"/>
      <x:c r="X186" s="89"/>
      <x:c r="Y186" s="89"/>
      <x:c r="Z186" s="89"/>
    </x:row>
    <x:row r="187">
      <x:c r="A187" s="89"/>
      <x:c r="B187" s="89"/>
      <x:c r="C187" s="89"/>
      <x:c r="D187" s="89"/>
      <x:c r="E187" s="89"/>
      <x:c r="F187" s="89"/>
      <x:c r="G187" s="89"/>
      <x:c r="H187" s="89"/>
      <x:c r="I187" s="89"/>
      <x:c r="J187" s="89"/>
      <x:c r="K187" s="89"/>
      <x:c r="L187" s="89"/>
      <x:c r="M187" s="89"/>
      <x:c r="N187" s="89"/>
      <x:c r="O187" s="89"/>
      <x:c r="P187" s="89"/>
      <x:c r="Q187" s="89"/>
      <x:c r="R187" s="89"/>
      <x:c r="S187" s="89"/>
      <x:c r="T187" s="89"/>
      <x:c r="U187" s="89"/>
      <x:c r="V187" s="89"/>
      <x:c r="W187" s="89"/>
      <x:c r="X187" s="89"/>
      <x:c r="Y187" s="89"/>
      <x:c r="Z187" s="89"/>
    </x:row>
    <x:row r="188">
      <x:c r="A188" s="89"/>
      <x:c r="B188" s="89"/>
      <x:c r="C188" s="89"/>
      <x:c r="D188" s="89"/>
      <x:c r="E188" s="89"/>
      <x:c r="F188" s="89"/>
      <x:c r="G188" s="89"/>
      <x:c r="H188" s="89"/>
      <x:c r="I188" s="89"/>
      <x:c r="J188" s="89"/>
      <x:c r="K188" s="89"/>
      <x:c r="L188" s="89"/>
      <x:c r="M188" s="89"/>
      <x:c r="N188" s="89"/>
      <x:c r="O188" s="89"/>
      <x:c r="P188" s="89"/>
      <x:c r="Q188" s="89"/>
      <x:c r="R188" s="89"/>
      <x:c r="S188" s="89"/>
      <x:c r="T188" s="89"/>
      <x:c r="U188" s="89"/>
      <x:c r="V188" s="89"/>
      <x:c r="W188" s="89"/>
      <x:c r="X188" s="89"/>
      <x:c r="Y188" s="89"/>
      <x:c r="Z188" s="89"/>
    </x:row>
    <x:row r="189">
      <x:c r="A189" s="89"/>
      <x:c r="B189" s="89"/>
      <x:c r="C189" s="89"/>
      <x:c r="D189" s="89"/>
      <x:c r="E189" s="89"/>
      <x:c r="F189" s="89"/>
      <x:c r="G189" s="89"/>
      <x:c r="H189" s="89"/>
      <x:c r="I189" s="89"/>
      <x:c r="J189" s="89"/>
      <x:c r="K189" s="89"/>
      <x:c r="L189" s="89"/>
      <x:c r="M189" s="89"/>
      <x:c r="N189" s="89"/>
      <x:c r="O189" s="89"/>
      <x:c r="P189" s="89"/>
      <x:c r="Q189" s="89"/>
      <x:c r="R189" s="89"/>
      <x:c r="S189" s="89"/>
      <x:c r="T189" s="89"/>
      <x:c r="U189" s="89"/>
      <x:c r="V189" s="89"/>
      <x:c r="W189" s="89"/>
      <x:c r="X189" s="89"/>
      <x:c r="Y189" s="89"/>
      <x:c r="Z189" s="89"/>
    </x:row>
    <x:row r="190">
      <x:c r="A190" s="89"/>
      <x:c r="B190" s="89"/>
      <x:c r="C190" s="89"/>
      <x:c r="D190" s="89"/>
      <x:c r="E190" s="89"/>
      <x:c r="F190" s="89"/>
      <x:c r="G190" s="89"/>
      <x:c r="H190" s="89"/>
      <x:c r="I190" s="89"/>
      <x:c r="J190" s="89"/>
      <x:c r="K190" s="89"/>
      <x:c r="L190" s="89"/>
      <x:c r="M190" s="89"/>
      <x:c r="N190" s="89"/>
      <x:c r="O190" s="89"/>
      <x:c r="P190" s="89"/>
      <x:c r="Q190" s="89"/>
      <x:c r="R190" s="89"/>
      <x:c r="S190" s="89"/>
      <x:c r="T190" s="89"/>
      <x:c r="U190" s="89"/>
      <x:c r="V190" s="89"/>
      <x:c r="W190" s="89"/>
      <x:c r="X190" s="89"/>
      <x:c r="Y190" s="89"/>
      <x:c r="Z190" s="89"/>
    </x:row>
    <x:row r="191">
      <x:c r="A191" s="89"/>
      <x:c r="B191" s="89"/>
      <x:c r="C191" s="89"/>
      <x:c r="D191" s="89"/>
      <x:c r="E191" s="89"/>
      <x:c r="F191" s="89"/>
      <x:c r="G191" s="89"/>
      <x:c r="H191" s="89"/>
      <x:c r="I191" s="89"/>
      <x:c r="J191" s="89"/>
      <x:c r="K191" s="89"/>
      <x:c r="L191" s="89"/>
      <x:c r="M191" s="89"/>
      <x:c r="N191" s="89"/>
      <x:c r="O191" s="89"/>
      <x:c r="P191" s="89"/>
      <x:c r="Q191" s="89"/>
      <x:c r="R191" s="89"/>
      <x:c r="S191" s="89"/>
      <x:c r="T191" s="89"/>
      <x:c r="U191" s="89"/>
      <x:c r="V191" s="89"/>
      <x:c r="W191" s="89"/>
      <x:c r="X191" s="89"/>
      <x:c r="Y191" s="89"/>
      <x:c r="Z191" s="89"/>
    </x:row>
    <x:row r="192">
      <x:c r="A192" s="89"/>
      <x:c r="B192" s="89"/>
      <x:c r="C192" s="89"/>
      <x:c r="D192" s="89"/>
      <x:c r="E192" s="89"/>
      <x:c r="F192" s="89"/>
      <x:c r="G192" s="89"/>
      <x:c r="H192" s="89"/>
      <x:c r="I192" s="89"/>
      <x:c r="J192" s="89"/>
      <x:c r="K192" s="89"/>
      <x:c r="L192" s="89"/>
      <x:c r="M192" s="89"/>
      <x:c r="N192" s="89"/>
      <x:c r="O192" s="89"/>
      <x:c r="P192" s="89"/>
      <x:c r="Q192" s="89"/>
      <x:c r="R192" s="89"/>
      <x:c r="S192" s="89"/>
      <x:c r="T192" s="89"/>
      <x:c r="U192" s="89"/>
      <x:c r="V192" s="89"/>
      <x:c r="W192" s="89"/>
      <x:c r="X192" s="89"/>
      <x:c r="Y192" s="89"/>
      <x:c r="Z192" s="89"/>
    </x:row>
    <x:row r="193">
      <x:c r="A193" s="89"/>
      <x:c r="B193" s="89"/>
      <x:c r="C193" s="89"/>
      <x:c r="D193" s="89"/>
      <x:c r="E193" s="89"/>
      <x:c r="F193" s="89"/>
      <x:c r="G193" s="89"/>
      <x:c r="H193" s="89"/>
      <x:c r="I193" s="89"/>
      <x:c r="J193" s="89"/>
      <x:c r="K193" s="89"/>
      <x:c r="L193" s="89"/>
      <x:c r="M193" s="89"/>
      <x:c r="N193" s="89"/>
      <x:c r="O193" s="89"/>
      <x:c r="P193" s="89"/>
      <x:c r="Q193" s="89"/>
      <x:c r="R193" s="89"/>
      <x:c r="S193" s="89"/>
      <x:c r="T193" s="89"/>
      <x:c r="U193" s="89"/>
      <x:c r="V193" s="89"/>
      <x:c r="W193" s="89"/>
      <x:c r="X193" s="89"/>
      <x:c r="Y193" s="89"/>
      <x:c r="Z193" s="89"/>
    </x:row>
    <x:row r="194">
      <x:c r="A194" s="89"/>
      <x:c r="B194" s="89"/>
      <x:c r="C194" s="89"/>
      <x:c r="D194" s="89"/>
      <x:c r="E194" s="89"/>
      <x:c r="F194" s="89"/>
      <x:c r="G194" s="89"/>
      <x:c r="H194" s="89"/>
      <x:c r="I194" s="89"/>
      <x:c r="J194" s="89"/>
      <x:c r="K194" s="89"/>
      <x:c r="L194" s="89"/>
      <x:c r="M194" s="89"/>
      <x:c r="N194" s="89"/>
      <x:c r="O194" s="89"/>
      <x:c r="P194" s="89"/>
      <x:c r="Q194" s="89"/>
      <x:c r="R194" s="89"/>
      <x:c r="S194" s="89"/>
      <x:c r="T194" s="89"/>
      <x:c r="U194" s="89"/>
      <x:c r="V194" s="89"/>
      <x:c r="W194" s="89"/>
      <x:c r="X194" s="89"/>
      <x:c r="Y194" s="89"/>
      <x:c r="Z194" s="89"/>
    </x:row>
    <x:row r="195">
      <x:c r="A195" s="89"/>
      <x:c r="B195" s="89"/>
      <x:c r="C195" s="89"/>
      <x:c r="D195" s="89"/>
      <x:c r="E195" s="89"/>
      <x:c r="F195" s="89"/>
      <x:c r="G195" s="89"/>
      <x:c r="H195" s="89"/>
      <x:c r="I195" s="89"/>
      <x:c r="J195" s="89"/>
      <x:c r="K195" s="89"/>
      <x:c r="L195" s="89"/>
      <x:c r="M195" s="89"/>
      <x:c r="N195" s="89"/>
      <x:c r="O195" s="89"/>
      <x:c r="P195" s="89"/>
      <x:c r="Q195" s="89"/>
      <x:c r="R195" s="89"/>
      <x:c r="S195" s="89"/>
      <x:c r="T195" s="89"/>
      <x:c r="U195" s="89"/>
      <x:c r="V195" s="89"/>
      <x:c r="W195" s="89"/>
      <x:c r="X195" s="89"/>
      <x:c r="Y195" s="89"/>
      <x:c r="Z195" s="89"/>
    </x:row>
    <x:row r="196">
      <x:c r="A196" s="89"/>
      <x:c r="B196" s="89"/>
      <x:c r="C196" s="89"/>
      <x:c r="D196" s="89"/>
      <x:c r="E196" s="89"/>
      <x:c r="F196" s="89"/>
      <x:c r="G196" s="89"/>
      <x:c r="H196" s="89"/>
      <x:c r="I196" s="89"/>
      <x:c r="J196" s="89"/>
      <x:c r="K196" s="89"/>
      <x:c r="L196" s="89"/>
      <x:c r="M196" s="89"/>
      <x:c r="N196" s="89"/>
      <x:c r="O196" s="89"/>
      <x:c r="P196" s="89"/>
      <x:c r="Q196" s="89"/>
      <x:c r="R196" s="89"/>
      <x:c r="S196" s="89"/>
      <x:c r="T196" s="89"/>
      <x:c r="U196" s="89"/>
      <x:c r="V196" s="89"/>
      <x:c r="W196" s="89"/>
      <x:c r="X196" s="89"/>
      <x:c r="Y196" s="89"/>
      <x:c r="Z196" s="89"/>
    </x:row>
    <x:row r="197">
      <x:c r="A197" s="89"/>
      <x:c r="B197" s="89"/>
      <x:c r="C197" s="89"/>
      <x:c r="D197" s="89"/>
      <x:c r="E197" s="89"/>
      <x:c r="F197" s="89"/>
      <x:c r="G197" s="89"/>
      <x:c r="H197" s="89"/>
      <x:c r="I197" s="89"/>
      <x:c r="J197" s="89"/>
      <x:c r="K197" s="89"/>
      <x:c r="L197" s="89"/>
      <x:c r="M197" s="89"/>
      <x:c r="N197" s="89"/>
      <x:c r="O197" s="89"/>
      <x:c r="P197" s="89"/>
      <x:c r="Q197" s="89"/>
      <x:c r="R197" s="89"/>
      <x:c r="S197" s="89"/>
      <x:c r="T197" s="89"/>
      <x:c r="U197" s="89"/>
      <x:c r="V197" s="89"/>
      <x:c r="W197" s="89"/>
      <x:c r="X197" s="89"/>
      <x:c r="Y197" s="89"/>
      <x:c r="Z197" s="89"/>
    </x:row>
    <x:row r="198">
      <x:c r="A198" s="89"/>
      <x:c r="B198" s="89"/>
      <x:c r="C198" s="89"/>
      <x:c r="D198" s="89"/>
      <x:c r="E198" s="89"/>
      <x:c r="F198" s="89"/>
      <x:c r="G198" s="89"/>
      <x:c r="H198" s="89"/>
      <x:c r="I198" s="89"/>
      <x:c r="J198" s="89"/>
      <x:c r="K198" s="89"/>
      <x:c r="L198" s="89"/>
      <x:c r="M198" s="89"/>
      <x:c r="N198" s="89"/>
      <x:c r="O198" s="89"/>
      <x:c r="P198" s="89"/>
      <x:c r="Q198" s="89"/>
      <x:c r="R198" s="89"/>
      <x:c r="S198" s="89"/>
      <x:c r="T198" s="89"/>
      <x:c r="U198" s="89"/>
      <x:c r="V198" s="89"/>
      <x:c r="W198" s="89"/>
      <x:c r="X198" s="89"/>
      <x:c r="Y198" s="89"/>
      <x:c r="Z198" s="89"/>
    </x:row>
    <x:row r="199">
      <x:c r="A199" s="89"/>
      <x:c r="B199" s="89"/>
      <x:c r="C199" s="89"/>
      <x:c r="D199" s="89"/>
      <x:c r="E199" s="89"/>
      <x:c r="F199" s="89"/>
      <x:c r="G199" s="89"/>
      <x:c r="H199" s="89"/>
      <x:c r="I199" s="89"/>
      <x:c r="J199" s="89"/>
      <x:c r="K199" s="89"/>
      <x:c r="L199" s="89"/>
      <x:c r="M199" s="89"/>
      <x:c r="N199" s="89"/>
      <x:c r="O199" s="89"/>
      <x:c r="P199" s="89"/>
      <x:c r="Q199" s="89"/>
      <x:c r="R199" s="89"/>
      <x:c r="S199" s="89"/>
      <x:c r="T199" s="89"/>
      <x:c r="U199" s="89"/>
      <x:c r="V199" s="89"/>
      <x:c r="W199" s="89"/>
      <x:c r="X199" s="89"/>
      <x:c r="Y199" s="89"/>
      <x:c r="Z199" s="89"/>
    </x:row>
    <x:row r="200">
      <x:c r="A200" s="89"/>
      <x:c r="B200" s="89"/>
      <x:c r="C200" s="89"/>
      <x:c r="D200" s="89"/>
      <x:c r="E200" s="89"/>
      <x:c r="F200" s="89"/>
      <x:c r="G200" s="89"/>
      <x:c r="H200" s="89"/>
      <x:c r="I200" s="89"/>
      <x:c r="J200" s="89"/>
      <x:c r="K200" s="89"/>
      <x:c r="L200" s="89"/>
      <x:c r="M200" s="89"/>
      <x:c r="N200" s="89"/>
      <x:c r="O200" s="89"/>
      <x:c r="P200" s="89"/>
      <x:c r="Q200" s="89"/>
      <x:c r="R200" s="89"/>
      <x:c r="S200" s="89"/>
      <x:c r="T200" s="89"/>
      <x:c r="U200" s="89"/>
      <x:c r="V200" s="89"/>
      <x:c r="W200" s="89"/>
      <x:c r="X200" s="89"/>
      <x:c r="Y200" s="89"/>
      <x:c r="Z200" s="89"/>
    </x:row>
  </x:sheetData>
  <x:mergeCells>
    <x:mergeCell ref="A1:E1"/>
  </x:mergeCells>
  <x:pageMargins left="0.7" right="0.7" top="0.75" bottom="0.75" header="0.3" footer="0.3"/>
  <x:tableParts count="1">
    <x:tablePart xmlns:r="http://schemas.openxmlformats.org/officeDocument/2006/relationships" r:id="R1150c956f7464192"/>
  </x:tableParts>
</x:worksheet>
</file>

<file path=xl/worksheets/sheet8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8" hidden="0" customWidth="1"/>
    <x:col min="3" max="3" width="18" hidden="0" customWidth="1"/>
    <x:col min="4" max="4" width="28" hidden="0" customWidth="1"/>
    <x:col min="5" max="5" width="38" hidden="0" customWidth="1"/>
    <x:col min="6" max="6" width="15" hidden="0" customWidth="1"/>
    <x:col min="7" max="7" width="12" hidden="0" customWidth="1"/>
    <x:col min="8" max="8" width="30" hidden="0" customWidth="1"/>
    <x:col min="9" max="9" width="28" hidden="0" customWidth="1"/>
  </x:cols>
  <x:sheetData>
    <x:row r="1">
      <x:c r="A1" s="126" t="str">
        <x:v>BunuDaBastık3D - Sosyal Medya İçerik Takvimi</x:v>
      </x:c>
      <x:c r="B1" s="126"/>
      <x:c r="C1" s="126"/>
      <x:c r="D1" s="126"/>
      <x:c r="E1" s="126"/>
      <x:c r="F1" s="126"/>
      <x:c r="G1" s="126"/>
      <x:c r="H1" s="126"/>
      <x:c r="I1" s="126"/>
      <x:c r="J1" s="89"/>
      <x:c r="K1" s="89"/>
      <x:c r="L1" s="89"/>
      <x:c r="M1" s="89"/>
      <x:c r="N1" s="89"/>
      <x:c r="O1" s="89"/>
      <x:c r="P1" s="89"/>
      <x:c r="Q1" s="89"/>
      <x:c r="R1" s="89"/>
      <x:c r="S1" s="89"/>
      <x:c r="T1" s="89"/>
      <x:c r="U1" s="89"/>
      <x:c r="V1" s="89"/>
      <x:c r="W1" s="89"/>
      <x:c r="X1" s="89"/>
      <x:c r="Y1" s="89"/>
      <x:c r="Z1" s="89"/>
    </x:row>
    <x:row r="2">
      <x:c r="A2" s="89"/>
      <x:c r="B2" s="89"/>
      <x:c r="C2" s="89"/>
      <x:c r="D2" s="89"/>
      <x:c r="E2" s="89"/>
      <x:c r="F2" s="89"/>
      <x:c r="G2" s="89"/>
      <x:c r="H2" s="89"/>
      <x:c r="I2" s="89"/>
      <x:c r="J2" s="89"/>
      <x:c r="K2" s="89"/>
      <x:c r="L2" s="89"/>
      <x:c r="M2" s="89"/>
      <x:c r="N2" s="89"/>
      <x:c r="O2" s="89"/>
      <x:c r="P2" s="89"/>
      <x:c r="Q2" s="89"/>
      <x:c r="R2" s="89"/>
      <x:c r="S2" s="89"/>
      <x:c r="T2" s="89"/>
      <x:c r="U2" s="89"/>
      <x:c r="V2" s="89"/>
      <x:c r="W2" s="89"/>
      <x:c r="X2" s="89"/>
      <x:c r="Y2" s="89"/>
      <x:c r="Z2" s="89"/>
    </x:row>
    <x:row r="3">
      <x:c r="A3" s="91" t="str">
        <x:v>Tarih</x:v>
      </x:c>
      <x:c r="B3" s="91" t="str">
        <x:v>Platform</x:v>
      </x:c>
      <x:c r="C3" s="91" t="str">
        <x:v>İçerik Türü</x:v>
      </x:c>
      <x:c r="D3" s="91" t="str">
        <x:v>Konu</x:v>
      </x:c>
      <x:c r="E3" s="91" t="str">
        <x:v>Çekim Notu</x:v>
      </x:c>
      <x:c r="F3" s="91" t="str">
        <x:v>Durum</x:v>
      </x:c>
      <x:c r="G3" s="91" t="str">
        <x:v>Yayın Saati</x:v>
      </x:c>
      <x:c r="H3" s="91" t="str">
        <x:v>CTA</x:v>
      </x:c>
      <x:c r="I3" s="91" t="str">
        <x:v>Not</x:v>
      </x:c>
      <x:c r="J3" s="89"/>
      <x:c r="K3" s="89"/>
      <x:c r="L3" s="89"/>
      <x:c r="M3" s="89"/>
      <x:c r="N3" s="89"/>
      <x:c r="O3" s="89"/>
      <x:c r="P3" s="89"/>
      <x:c r="Q3" s="89"/>
      <x:c r="R3" s="89"/>
      <x:c r="S3" s="89"/>
      <x:c r="T3" s="89"/>
      <x:c r="U3" s="89"/>
      <x:c r="V3" s="89"/>
      <x:c r="W3" s="89"/>
      <x:c r="X3" s="89"/>
      <x:c r="Y3" s="89"/>
      <x:c r="Z3" s="89"/>
    </x:row>
    <x:row r="4">
      <x:c r="A4" s="114" t="n">
        <x:v>46182</x:v>
      </x:c>
      <x:c r="B4" s="95" t="str">
        <x:v>Instagram Reels</x:v>
      </x:c>
      <x:c r="C4" s="95" t="str">
        <x:v>Baskı süreci</x:v>
      </x:c>
      <x:c r="D4" s="95" t="str">
        <x:v>İlk müşteri işi / time-lapse</x:v>
      </x:c>
      <x:c r="E4" s="95" t="str">
        <x:v>Başlangıç, orta süreç, final parça</x:v>
      </x:c>
      <x:c r="F4" s="95" t="str">
        <x:v>Fikir</x:v>
      </x:c>
      <x:c r="G4" s="95" t="str">
        <x:v>20:30</x:v>
      </x:c>
      <x:c r="H4" s="95" t="str">
        <x:v>Modelini gönder, fiyatlandıralım</x:v>
      </x:c>
      <x:c r="I4" s="95" t="str"/>
      <x:c r="J4" s="89"/>
      <x:c r="K4" s="89"/>
      <x:c r="L4" s="89"/>
      <x:c r="M4" s="89"/>
      <x:c r="N4" s="89"/>
      <x:c r="O4" s="89"/>
      <x:c r="P4" s="89"/>
      <x:c r="Q4" s="89"/>
      <x:c r="R4" s="89"/>
      <x:c r="S4" s="89"/>
      <x:c r="T4" s="89"/>
      <x:c r="U4" s="89"/>
      <x:c r="V4" s="89"/>
      <x:c r="W4" s="89"/>
      <x:c r="X4" s="89"/>
      <x:c r="Y4" s="89"/>
      <x:c r="Z4" s="89"/>
    </x:row>
    <x:row r="5">
      <x:c r="A5" s="114" t="n">
        <x:v>46183</x:v>
      </x:c>
      <x:c r="B5" s="95" t="str">
        <x:v>Instagram Story</x:v>
      </x:c>
      <x:c r="C5" s="95" t="str">
        <x:v>Anket</x:v>
      </x:c>
      <x:c r="D5" s="95" t="str">
        <x:v>Hangi renk daha iyi?</x:v>
      </x:c>
      <x:c r="E5" s="95" t="str">
        <x:v>Siyah/beyaz/gri karşılaştırma</x:v>
      </x:c>
      <x:c r="F5" s="95" t="str">
        <x:v>Fikir</x:v>
      </x:c>
      <x:c r="G5" s="95" t="str">
        <x:v>18:00</x:v>
      </x:c>
      <x:c r="H5" s="95" t="str">
        <x:v>DM’den yaz</x:v>
      </x:c>
      <x:c r="I5" s="95" t="str"/>
      <x:c r="J5" s="89"/>
      <x:c r="K5" s="89"/>
      <x:c r="L5" s="89"/>
      <x:c r="M5" s="89"/>
      <x:c r="N5" s="89"/>
      <x:c r="O5" s="89"/>
      <x:c r="P5" s="89"/>
      <x:c r="Q5" s="89"/>
      <x:c r="R5" s="89"/>
      <x:c r="S5" s="89"/>
      <x:c r="T5" s="89"/>
      <x:c r="U5" s="89"/>
      <x:c r="V5" s="89"/>
      <x:c r="W5" s="89"/>
      <x:c r="X5" s="89"/>
      <x:c r="Y5" s="89"/>
      <x:c r="Z5" s="89"/>
    </x:row>
    <x:row r="6">
      <x:c r="A6" s="114" t="n">
        <x:v>46184</x:v>
      </x:c>
      <x:c r="B6" s="95" t="str">
        <x:v>TikTok</x:v>
      </x:c>
      <x:c r="C6" s="95" t="str">
        <x:v>Before/After</x:v>
      </x:c>
      <x:c r="D6" s="95" t="str">
        <x:v>STL’den gerçek parçaya</x:v>
      </x:c>
      <x:c r="E6" s="95" t="str">
        <x:v>Ekran kaydı + baskı sonucu</x:v>
      </x:c>
      <x:c r="F6" s="95" t="str">
        <x:v>Fikir</x:v>
      </x:c>
      <x:c r="G6" s="95" t="str">
        <x:v>21:00</x:v>
      </x:c>
      <x:c r="H6" s="95" t="str">
        <x:v>Bunu da bastık</x:v>
      </x:c>
      <x:c r="I6" s="95" t="str"/>
      <x:c r="J6" s="89"/>
      <x:c r="K6" s="89"/>
      <x:c r="L6" s="89"/>
      <x:c r="M6" s="89"/>
      <x:c r="N6" s="89"/>
      <x:c r="O6" s="89"/>
      <x:c r="P6" s="89"/>
      <x:c r="Q6" s="89"/>
      <x:c r="R6" s="89"/>
      <x:c r="S6" s="89"/>
      <x:c r="T6" s="89"/>
      <x:c r="U6" s="89"/>
      <x:c r="V6" s="89"/>
      <x:c r="W6" s="89"/>
      <x:c r="X6" s="89"/>
      <x:c r="Y6" s="89"/>
      <x:c r="Z6" s="89"/>
    </x:row>
    <x:row r="7">
      <x:c r="A7" s="114" t="n">
        <x:v>46185</x:v>
      </x:c>
      <x:c r="B7" s="95" t="str">
        <x:v>Instagram Reels</x:v>
      </x:c>
      <x:c r="C7" s="95" t="str">
        <x:v>Eğitici</x:v>
      </x:c>
      <x:c r="D7" s="95" t="str">
        <x:v>PLA mı PETG mi?</x:v>
      </x:c>
      <x:c r="E7" s="95" t="str">
        <x:v>İki parçayı elde göster</x:v>
      </x:c>
      <x:c r="F7" s="95" t="str">
        <x:v>Fikir</x:v>
      </x:c>
      <x:c r="G7" s="95" t="str">
        <x:v>20:30</x:v>
      </x:c>
      <x:c r="H7" s="95" t="str">
        <x:v>Kullanım amacını yaz</x:v>
      </x:c>
      <x:c r="I7" s="95" t="str"/>
      <x:c r="J7" s="89"/>
      <x:c r="K7" s="89"/>
      <x:c r="L7" s="89"/>
      <x:c r="M7" s="89"/>
      <x:c r="N7" s="89"/>
      <x:c r="O7" s="89"/>
      <x:c r="P7" s="89"/>
      <x:c r="Q7" s="89"/>
      <x:c r="R7" s="89"/>
      <x:c r="S7" s="89"/>
      <x:c r="T7" s="89"/>
      <x:c r="U7" s="89"/>
      <x:c r="V7" s="89"/>
      <x:c r="W7" s="89"/>
      <x:c r="X7" s="89"/>
      <x:c r="Y7" s="89"/>
      <x:c r="Z7" s="89"/>
    </x:row>
    <x:row r="8">
      <x:c r="A8" s="114"/>
      <x:c r="B8" s="95"/>
      <x:c r="C8" s="95"/>
      <x:c r="D8" s="95"/>
      <x:c r="E8" s="95"/>
      <x:c r="F8" s="95"/>
      <x:c r="G8" s="95"/>
      <x:c r="H8" s="95"/>
      <x:c r="I8" s="95"/>
      <x:c r="J8" s="89"/>
      <x:c r="K8" s="89"/>
      <x:c r="L8" s="89"/>
      <x:c r="M8" s="89"/>
      <x:c r="N8" s="89"/>
      <x:c r="O8" s="89"/>
      <x:c r="P8" s="89"/>
      <x:c r="Q8" s="89"/>
      <x:c r="R8" s="89"/>
      <x:c r="S8" s="89"/>
      <x:c r="T8" s="89"/>
      <x:c r="U8" s="89"/>
      <x:c r="V8" s="89"/>
      <x:c r="W8" s="89"/>
      <x:c r="X8" s="89"/>
      <x:c r="Y8" s="89"/>
      <x:c r="Z8" s="89"/>
    </x:row>
    <x:row r="9">
      <x:c r="A9" s="114"/>
      <x:c r="B9" s="95"/>
      <x:c r="C9" s="95"/>
      <x:c r="D9" s="95"/>
      <x:c r="E9" s="95"/>
      <x:c r="F9" s="95"/>
      <x:c r="G9" s="95"/>
      <x:c r="H9" s="95"/>
      <x:c r="I9" s="95"/>
      <x:c r="J9" s="89"/>
      <x:c r="K9" s="89"/>
      <x:c r="L9" s="89"/>
      <x:c r="M9" s="89"/>
      <x:c r="N9" s="89"/>
      <x:c r="O9" s="89"/>
      <x:c r="P9" s="89"/>
      <x:c r="Q9" s="89"/>
      <x:c r="R9" s="89"/>
      <x:c r="S9" s="89"/>
      <x:c r="T9" s="89"/>
      <x:c r="U9" s="89"/>
      <x:c r="V9" s="89"/>
      <x:c r="W9" s="89"/>
      <x:c r="X9" s="89"/>
      <x:c r="Y9" s="89"/>
      <x:c r="Z9" s="89"/>
    </x:row>
    <x:row r="10">
      <x:c r="A10" s="114"/>
      <x:c r="B10" s="95"/>
      <x:c r="C10" s="95"/>
      <x:c r="D10" s="95"/>
      <x:c r="E10" s="95"/>
      <x:c r="F10" s="95"/>
      <x:c r="G10" s="95"/>
      <x:c r="H10" s="95"/>
      <x:c r="I10" s="95"/>
      <x:c r="J10" s="89"/>
      <x:c r="K10" s="89"/>
      <x:c r="L10" s="89"/>
      <x:c r="M10" s="89"/>
      <x:c r="N10" s="89"/>
      <x:c r="O10" s="89"/>
      <x:c r="P10" s="89"/>
      <x:c r="Q10" s="89"/>
      <x:c r="R10" s="89"/>
      <x:c r="S10" s="89"/>
      <x:c r="T10" s="89"/>
      <x:c r="U10" s="89"/>
      <x:c r="V10" s="89"/>
      <x:c r="W10" s="89"/>
      <x:c r="X10" s="89"/>
      <x:c r="Y10" s="89"/>
      <x:c r="Z10" s="89"/>
    </x:row>
    <x:row r="11">
      <x:c r="A11" s="114"/>
      <x:c r="B11" s="95"/>
      <x:c r="C11" s="95"/>
      <x:c r="D11" s="95"/>
      <x:c r="E11" s="95"/>
      <x:c r="F11" s="95"/>
      <x:c r="G11" s="95"/>
      <x:c r="H11" s="95"/>
      <x:c r="I11" s="95"/>
      <x:c r="J11" s="89"/>
      <x:c r="K11" s="89"/>
      <x:c r="L11" s="89"/>
      <x:c r="M11" s="89"/>
      <x:c r="N11" s="89"/>
      <x:c r="O11" s="89"/>
      <x:c r="P11" s="89"/>
      <x:c r="Q11" s="89"/>
      <x:c r="R11" s="89"/>
      <x:c r="S11" s="89"/>
      <x:c r="T11" s="89"/>
      <x:c r="U11" s="89"/>
      <x:c r="V11" s="89"/>
      <x:c r="W11" s="89"/>
      <x:c r="X11" s="89"/>
      <x:c r="Y11" s="89"/>
      <x:c r="Z11" s="89"/>
    </x:row>
    <x:row r="12">
      <x:c r="A12" s="114"/>
      <x:c r="B12" s="95"/>
      <x:c r="C12" s="95"/>
      <x:c r="D12" s="95"/>
      <x:c r="E12" s="95"/>
      <x:c r="F12" s="95"/>
      <x:c r="G12" s="95"/>
      <x:c r="H12" s="95"/>
      <x:c r="I12" s="95"/>
      <x:c r="J12" s="89"/>
      <x:c r="K12" s="89"/>
      <x:c r="L12" s="89"/>
      <x:c r="M12" s="89"/>
      <x:c r="N12" s="89"/>
      <x:c r="O12" s="89"/>
      <x:c r="P12" s="89"/>
      <x:c r="Q12" s="89"/>
      <x:c r="R12" s="89"/>
      <x:c r="S12" s="89"/>
      <x:c r="T12" s="89"/>
      <x:c r="U12" s="89"/>
      <x:c r="V12" s="89"/>
      <x:c r="W12" s="89"/>
      <x:c r="X12" s="89"/>
      <x:c r="Y12" s="89"/>
      <x:c r="Z12" s="89"/>
    </x:row>
    <x:row r="13">
      <x:c r="A13" s="114"/>
      <x:c r="B13" s="95"/>
      <x:c r="C13" s="95"/>
      <x:c r="D13" s="95"/>
      <x:c r="E13" s="95"/>
      <x:c r="F13" s="95"/>
      <x:c r="G13" s="95"/>
      <x:c r="H13" s="95"/>
      <x:c r="I13" s="95"/>
      <x:c r="J13" s="89"/>
      <x:c r="K13" s="89"/>
      <x:c r="L13" s="89"/>
      <x:c r="M13" s="89"/>
      <x:c r="N13" s="89"/>
      <x:c r="O13" s="89"/>
      <x:c r="P13" s="89"/>
      <x:c r="Q13" s="89"/>
      <x:c r="R13" s="89"/>
      <x:c r="S13" s="89"/>
      <x:c r="T13" s="89"/>
      <x:c r="U13" s="89"/>
      <x:c r="V13" s="89"/>
      <x:c r="W13" s="89"/>
      <x:c r="X13" s="89"/>
      <x:c r="Y13" s="89"/>
      <x:c r="Z13" s="89"/>
    </x:row>
    <x:row r="14">
      <x:c r="A14" s="114"/>
      <x:c r="B14" s="95"/>
      <x:c r="C14" s="95"/>
      <x:c r="D14" s="95"/>
      <x:c r="E14" s="95"/>
      <x:c r="F14" s="95"/>
      <x:c r="G14" s="95"/>
      <x:c r="H14" s="95"/>
      <x:c r="I14" s="95"/>
      <x:c r="J14" s="89"/>
      <x:c r="K14" s="89"/>
      <x:c r="L14" s="89"/>
      <x:c r="M14" s="89"/>
      <x:c r="N14" s="89"/>
      <x:c r="O14" s="89"/>
      <x:c r="P14" s="89"/>
      <x:c r="Q14" s="89"/>
      <x:c r="R14" s="89"/>
      <x:c r="S14" s="89"/>
      <x:c r="T14" s="89"/>
      <x:c r="U14" s="89"/>
      <x:c r="V14" s="89"/>
      <x:c r="W14" s="89"/>
      <x:c r="X14" s="89"/>
      <x:c r="Y14" s="89"/>
      <x:c r="Z14" s="89"/>
    </x:row>
    <x:row r="15">
      <x:c r="A15" s="114"/>
      <x:c r="B15" s="95"/>
      <x:c r="C15" s="95"/>
      <x:c r="D15" s="95"/>
      <x:c r="E15" s="95"/>
      <x:c r="F15" s="95"/>
      <x:c r="G15" s="95"/>
      <x:c r="H15" s="95"/>
      <x:c r="I15" s="95"/>
      <x:c r="J15" s="89"/>
      <x:c r="K15" s="89"/>
      <x:c r="L15" s="89"/>
      <x:c r="M15" s="89"/>
      <x:c r="N15" s="89"/>
      <x:c r="O15" s="89"/>
      <x:c r="P15" s="89"/>
      <x:c r="Q15" s="89"/>
      <x:c r="R15" s="89"/>
      <x:c r="S15" s="89"/>
      <x:c r="T15" s="89"/>
      <x:c r="U15" s="89"/>
      <x:c r="V15" s="89"/>
      <x:c r="W15" s="89"/>
      <x:c r="X15" s="89"/>
      <x:c r="Y15" s="89"/>
      <x:c r="Z15" s="89"/>
    </x:row>
    <x:row r="16">
      <x:c r="A16" s="114"/>
      <x:c r="B16" s="95"/>
      <x:c r="C16" s="95"/>
      <x:c r="D16" s="95"/>
      <x:c r="E16" s="95"/>
      <x:c r="F16" s="95"/>
      <x:c r="G16" s="95"/>
      <x:c r="H16" s="95"/>
      <x:c r="I16" s="95"/>
      <x:c r="J16" s="89"/>
      <x:c r="K16" s="89"/>
      <x:c r="L16" s="89"/>
      <x:c r="M16" s="89"/>
      <x:c r="N16" s="89"/>
      <x:c r="O16" s="89"/>
      <x:c r="P16" s="89"/>
      <x:c r="Q16" s="89"/>
      <x:c r="R16" s="89"/>
      <x:c r="S16" s="89"/>
      <x:c r="T16" s="89"/>
      <x:c r="U16" s="89"/>
      <x:c r="V16" s="89"/>
      <x:c r="W16" s="89"/>
      <x:c r="X16" s="89"/>
      <x:c r="Y16" s="89"/>
      <x:c r="Z16" s="89"/>
    </x:row>
    <x:row r="17">
      <x:c r="A17" s="114"/>
      <x:c r="B17" s="95"/>
      <x:c r="C17" s="95"/>
      <x:c r="D17" s="95"/>
      <x:c r="E17" s="95"/>
      <x:c r="F17" s="95"/>
      <x:c r="G17" s="95"/>
      <x:c r="H17" s="95"/>
      <x:c r="I17" s="95"/>
      <x:c r="J17" s="89"/>
      <x:c r="K17" s="89"/>
      <x:c r="L17" s="89"/>
      <x:c r="M17" s="89"/>
      <x:c r="N17" s="89"/>
      <x:c r="O17" s="89"/>
      <x:c r="P17" s="89"/>
      <x:c r="Q17" s="89"/>
      <x:c r="R17" s="89"/>
      <x:c r="S17" s="89"/>
      <x:c r="T17" s="89"/>
      <x:c r="U17" s="89"/>
      <x:c r="V17" s="89"/>
      <x:c r="W17" s="89"/>
      <x:c r="X17" s="89"/>
      <x:c r="Y17" s="89"/>
      <x:c r="Z17" s="89"/>
    </x:row>
    <x:row r="18">
      <x:c r="A18" s="114"/>
      <x:c r="B18" s="95"/>
      <x:c r="C18" s="95"/>
      <x:c r="D18" s="95"/>
      <x:c r="E18" s="95"/>
      <x:c r="F18" s="95"/>
      <x:c r="G18" s="95"/>
      <x:c r="H18" s="95"/>
      <x:c r="I18" s="95"/>
      <x:c r="J18" s="89"/>
      <x:c r="K18" s="89"/>
      <x:c r="L18" s="89"/>
      <x:c r="M18" s="89"/>
      <x:c r="N18" s="89"/>
      <x:c r="O18" s="89"/>
      <x:c r="P18" s="89"/>
      <x:c r="Q18" s="89"/>
      <x:c r="R18" s="89"/>
      <x:c r="S18" s="89"/>
      <x:c r="T18" s="89"/>
      <x:c r="U18" s="89"/>
      <x:c r="V18" s="89"/>
      <x:c r="W18" s="89"/>
      <x:c r="X18" s="89"/>
      <x:c r="Y18" s="89"/>
      <x:c r="Z18" s="89"/>
    </x:row>
    <x:row r="19">
      <x:c r="A19" s="114"/>
      <x:c r="B19" s="95"/>
      <x:c r="C19" s="95"/>
      <x:c r="D19" s="95"/>
      <x:c r="E19" s="95"/>
      <x:c r="F19" s="95"/>
      <x:c r="G19" s="95"/>
      <x:c r="H19" s="95"/>
      <x:c r="I19" s="95"/>
      <x:c r="J19" s="89"/>
      <x:c r="K19" s="89"/>
      <x:c r="L19" s="89"/>
      <x:c r="M19" s="89"/>
      <x:c r="N19" s="89"/>
      <x:c r="O19" s="89"/>
      <x:c r="P19" s="89"/>
      <x:c r="Q19" s="89"/>
      <x:c r="R19" s="89"/>
      <x:c r="S19" s="89"/>
      <x:c r="T19" s="89"/>
      <x:c r="U19" s="89"/>
      <x:c r="V19" s="89"/>
      <x:c r="W19" s="89"/>
      <x:c r="X19" s="89"/>
      <x:c r="Y19" s="89"/>
      <x:c r="Z19" s="89"/>
    </x:row>
    <x:row r="20">
      <x:c r="A20" s="114"/>
      <x:c r="B20" s="95"/>
      <x:c r="C20" s="95"/>
      <x:c r="D20" s="95"/>
      <x:c r="E20" s="95"/>
      <x:c r="F20" s="95"/>
      <x:c r="G20" s="95"/>
      <x:c r="H20" s="95"/>
      <x:c r="I20" s="95"/>
      <x:c r="J20" s="89"/>
      <x:c r="K20" s="89"/>
      <x:c r="L20" s="89"/>
      <x:c r="M20" s="89"/>
      <x:c r="N20" s="89"/>
      <x:c r="O20" s="89"/>
      <x:c r="P20" s="89"/>
      <x:c r="Q20" s="89"/>
      <x:c r="R20" s="89"/>
      <x:c r="S20" s="89"/>
      <x:c r="T20" s="89"/>
      <x:c r="U20" s="89"/>
      <x:c r="V20" s="89"/>
      <x:c r="W20" s="89"/>
      <x:c r="X20" s="89"/>
      <x:c r="Y20" s="89"/>
      <x:c r="Z20" s="89"/>
    </x:row>
    <x:row r="21">
      <x:c r="A21" s="114"/>
      <x:c r="B21" s="95"/>
      <x:c r="C21" s="95"/>
      <x:c r="D21" s="95"/>
      <x:c r="E21" s="95"/>
      <x:c r="F21" s="95"/>
      <x:c r="G21" s="95"/>
      <x:c r="H21" s="95"/>
      <x:c r="I21" s="95"/>
      <x:c r="J21" s="89"/>
      <x:c r="K21" s="89"/>
      <x:c r="L21" s="89"/>
      <x:c r="M21" s="89"/>
      <x:c r="N21" s="89"/>
      <x:c r="O21" s="89"/>
      <x:c r="P21" s="89"/>
      <x:c r="Q21" s="89"/>
      <x:c r="R21" s="89"/>
      <x:c r="S21" s="89"/>
      <x:c r="T21" s="89"/>
      <x:c r="U21" s="89"/>
      <x:c r="V21" s="89"/>
      <x:c r="W21" s="89"/>
      <x:c r="X21" s="89"/>
      <x:c r="Y21" s="89"/>
      <x:c r="Z21" s="89"/>
    </x:row>
    <x:row r="22">
      <x:c r="A22" s="114"/>
      <x:c r="B22" s="95"/>
      <x:c r="C22" s="95"/>
      <x:c r="D22" s="95"/>
      <x:c r="E22" s="95"/>
      <x:c r="F22" s="95"/>
      <x:c r="G22" s="95"/>
      <x:c r="H22" s="95"/>
      <x:c r="I22" s="95"/>
      <x:c r="J22" s="89"/>
      <x:c r="K22" s="89"/>
      <x:c r="L22" s="89"/>
      <x:c r="M22" s="89"/>
      <x:c r="N22" s="89"/>
      <x:c r="O22" s="89"/>
      <x:c r="P22" s="89"/>
      <x:c r="Q22" s="89"/>
      <x:c r="R22" s="89"/>
      <x:c r="S22" s="89"/>
      <x:c r="T22" s="89"/>
      <x:c r="U22" s="89"/>
      <x:c r="V22" s="89"/>
      <x:c r="W22" s="89"/>
      <x:c r="X22" s="89"/>
      <x:c r="Y22" s="89"/>
      <x:c r="Z22" s="89"/>
    </x:row>
    <x:row r="23">
      <x:c r="A23" s="114"/>
      <x:c r="B23" s="95"/>
      <x:c r="C23" s="95"/>
      <x:c r="D23" s="95"/>
      <x:c r="E23" s="95"/>
      <x:c r="F23" s="95"/>
      <x:c r="G23" s="95"/>
      <x:c r="H23" s="95"/>
      <x:c r="I23" s="95"/>
      <x:c r="J23" s="89"/>
      <x:c r="K23" s="89"/>
      <x:c r="L23" s="89"/>
      <x:c r="M23" s="89"/>
      <x:c r="N23" s="89"/>
      <x:c r="O23" s="89"/>
      <x:c r="P23" s="89"/>
      <x:c r="Q23" s="89"/>
      <x:c r="R23" s="89"/>
      <x:c r="S23" s="89"/>
      <x:c r="T23" s="89"/>
      <x:c r="U23" s="89"/>
      <x:c r="V23" s="89"/>
      <x:c r="W23" s="89"/>
      <x:c r="X23" s="89"/>
      <x:c r="Y23" s="89"/>
      <x:c r="Z23" s="89"/>
    </x:row>
    <x:row r="24">
      <x:c r="A24" s="114"/>
      <x:c r="B24" s="95"/>
      <x:c r="C24" s="95"/>
      <x:c r="D24" s="95"/>
      <x:c r="E24" s="95"/>
      <x:c r="F24" s="95"/>
      <x:c r="G24" s="95"/>
      <x:c r="H24" s="95"/>
      <x:c r="I24" s="95"/>
      <x:c r="J24" s="89"/>
      <x:c r="K24" s="89"/>
      <x:c r="L24" s="89"/>
      <x:c r="M24" s="89"/>
      <x:c r="N24" s="89"/>
      <x:c r="O24" s="89"/>
      <x:c r="P24" s="89"/>
      <x:c r="Q24" s="89"/>
      <x:c r="R24" s="89"/>
      <x:c r="S24" s="89"/>
      <x:c r="T24" s="89"/>
      <x:c r="U24" s="89"/>
      <x:c r="V24" s="89"/>
      <x:c r="W24" s="89"/>
      <x:c r="X24" s="89"/>
      <x:c r="Y24" s="89"/>
      <x:c r="Z24" s="89"/>
    </x:row>
    <x:row r="25">
      <x:c r="A25" s="114"/>
      <x:c r="B25" s="95"/>
      <x:c r="C25" s="95"/>
      <x:c r="D25" s="95"/>
      <x:c r="E25" s="95"/>
      <x:c r="F25" s="95"/>
      <x:c r="G25" s="95"/>
      <x:c r="H25" s="95"/>
      <x:c r="I25" s="95"/>
      <x:c r="J25" s="89"/>
      <x:c r="K25" s="89"/>
      <x:c r="L25" s="89"/>
      <x:c r="M25" s="89"/>
      <x:c r="N25" s="89"/>
      <x:c r="O25" s="89"/>
      <x:c r="P25" s="89"/>
      <x:c r="Q25" s="89"/>
      <x:c r="R25" s="89"/>
      <x:c r="S25" s="89"/>
      <x:c r="T25" s="89"/>
      <x:c r="U25" s="89"/>
      <x:c r="V25" s="89"/>
      <x:c r="W25" s="89"/>
      <x:c r="X25" s="89"/>
      <x:c r="Y25" s="89"/>
      <x:c r="Z25" s="89"/>
    </x:row>
    <x:row r="26">
      <x:c r="A26" s="114"/>
      <x:c r="B26" s="95"/>
      <x:c r="C26" s="95"/>
      <x:c r="D26" s="95"/>
      <x:c r="E26" s="95"/>
      <x:c r="F26" s="95"/>
      <x:c r="G26" s="95"/>
      <x:c r="H26" s="95"/>
      <x:c r="I26" s="95"/>
      <x:c r="J26" s="89"/>
      <x:c r="K26" s="89"/>
      <x:c r="L26" s="89"/>
      <x:c r="M26" s="89"/>
      <x:c r="N26" s="89"/>
      <x:c r="O26" s="89"/>
      <x:c r="P26" s="89"/>
      <x:c r="Q26" s="89"/>
      <x:c r="R26" s="89"/>
      <x:c r="S26" s="89"/>
      <x:c r="T26" s="89"/>
      <x:c r="U26" s="89"/>
      <x:c r="V26" s="89"/>
      <x:c r="W26" s="89"/>
      <x:c r="X26" s="89"/>
      <x:c r="Y26" s="89"/>
      <x:c r="Z26" s="89"/>
    </x:row>
    <x:row r="27">
      <x:c r="A27" s="114"/>
      <x:c r="B27" s="95"/>
      <x:c r="C27" s="95"/>
      <x:c r="D27" s="95"/>
      <x:c r="E27" s="95"/>
      <x:c r="F27" s="95"/>
      <x:c r="G27" s="95"/>
      <x:c r="H27" s="95"/>
      <x:c r="I27" s="95"/>
      <x:c r="J27" s="89"/>
      <x:c r="K27" s="89"/>
      <x:c r="L27" s="89"/>
      <x:c r="M27" s="89"/>
      <x:c r="N27" s="89"/>
      <x:c r="O27" s="89"/>
      <x:c r="P27" s="89"/>
      <x:c r="Q27" s="89"/>
      <x:c r="R27" s="89"/>
      <x:c r="S27" s="89"/>
      <x:c r="T27" s="89"/>
      <x:c r="U27" s="89"/>
      <x:c r="V27" s="89"/>
      <x:c r="W27" s="89"/>
      <x:c r="X27" s="89"/>
      <x:c r="Y27" s="89"/>
      <x:c r="Z27" s="89"/>
    </x:row>
    <x:row r="28">
      <x:c r="A28" s="114"/>
      <x:c r="B28" s="95"/>
      <x:c r="C28" s="95"/>
      <x:c r="D28" s="95"/>
      <x:c r="E28" s="95"/>
      <x:c r="F28" s="95"/>
      <x:c r="G28" s="95"/>
      <x:c r="H28" s="95"/>
      <x:c r="I28" s="95"/>
      <x:c r="J28" s="89"/>
      <x:c r="K28" s="89"/>
      <x:c r="L28" s="89"/>
      <x:c r="M28" s="89"/>
      <x:c r="N28" s="89"/>
      <x:c r="O28" s="89"/>
      <x:c r="P28" s="89"/>
      <x:c r="Q28" s="89"/>
      <x:c r="R28" s="89"/>
      <x:c r="S28" s="89"/>
      <x:c r="T28" s="89"/>
      <x:c r="U28" s="89"/>
      <x:c r="V28" s="89"/>
      <x:c r="W28" s="89"/>
      <x:c r="X28" s="89"/>
      <x:c r="Y28" s="89"/>
      <x:c r="Z28" s="89"/>
    </x:row>
    <x:row r="29">
      <x:c r="A29" s="114"/>
      <x:c r="B29" s="95"/>
      <x:c r="C29" s="95"/>
      <x:c r="D29" s="95"/>
      <x:c r="E29" s="95"/>
      <x:c r="F29" s="95"/>
      <x:c r="G29" s="95"/>
      <x:c r="H29" s="95"/>
      <x:c r="I29" s="95"/>
      <x:c r="J29" s="89"/>
      <x:c r="K29" s="89"/>
      <x:c r="L29" s="89"/>
      <x:c r="M29" s="89"/>
      <x:c r="N29" s="89"/>
      <x:c r="O29" s="89"/>
      <x:c r="P29" s="89"/>
      <x:c r="Q29" s="89"/>
      <x:c r="R29" s="89"/>
      <x:c r="S29" s="89"/>
      <x:c r="T29" s="89"/>
      <x:c r="U29" s="89"/>
      <x:c r="V29" s="89"/>
      <x:c r="W29" s="89"/>
      <x:c r="X29" s="89"/>
      <x:c r="Y29" s="89"/>
      <x:c r="Z29" s="89"/>
    </x:row>
    <x:row r="30">
      <x:c r="A30" s="114"/>
      <x:c r="B30" s="95"/>
      <x:c r="C30" s="95"/>
      <x:c r="D30" s="95"/>
      <x:c r="E30" s="95"/>
      <x:c r="F30" s="95"/>
      <x:c r="G30" s="95"/>
      <x:c r="H30" s="95"/>
      <x:c r="I30" s="95"/>
      <x:c r="J30" s="89"/>
      <x:c r="K30" s="89"/>
      <x:c r="L30" s="89"/>
      <x:c r="M30" s="89"/>
      <x:c r="N30" s="89"/>
      <x:c r="O30" s="89"/>
      <x:c r="P30" s="89"/>
      <x:c r="Q30" s="89"/>
      <x:c r="R30" s="89"/>
      <x:c r="S30" s="89"/>
      <x:c r="T30" s="89"/>
      <x:c r="U30" s="89"/>
      <x:c r="V30" s="89"/>
      <x:c r="W30" s="89"/>
      <x:c r="X30" s="89"/>
      <x:c r="Y30" s="89"/>
      <x:c r="Z30" s="89"/>
    </x:row>
    <x:row r="31">
      <x:c r="A31" s="114"/>
      <x:c r="B31" s="95"/>
      <x:c r="C31" s="95"/>
      <x:c r="D31" s="95"/>
      <x:c r="E31" s="95"/>
      <x:c r="F31" s="95"/>
      <x:c r="G31" s="95"/>
      <x:c r="H31" s="95"/>
      <x:c r="I31" s="95"/>
      <x:c r="J31" s="89"/>
      <x:c r="K31" s="89"/>
      <x:c r="L31" s="89"/>
      <x:c r="M31" s="89"/>
      <x:c r="N31" s="89"/>
      <x:c r="O31" s="89"/>
      <x:c r="P31" s="89"/>
      <x:c r="Q31" s="89"/>
      <x:c r="R31" s="89"/>
      <x:c r="S31" s="89"/>
      <x:c r="T31" s="89"/>
      <x:c r="U31" s="89"/>
      <x:c r="V31" s="89"/>
      <x:c r="W31" s="89"/>
      <x:c r="X31" s="89"/>
      <x:c r="Y31" s="89"/>
      <x:c r="Z31" s="89"/>
    </x:row>
    <x:row r="32">
      <x:c r="A32" s="114"/>
      <x:c r="B32" s="95"/>
      <x:c r="C32" s="95"/>
      <x:c r="D32" s="95"/>
      <x:c r="E32" s="95"/>
      <x:c r="F32" s="95"/>
      <x:c r="G32" s="95"/>
      <x:c r="H32" s="95"/>
      <x:c r="I32" s="95"/>
      <x:c r="J32" s="89"/>
      <x:c r="K32" s="89"/>
      <x:c r="L32" s="89"/>
      <x:c r="M32" s="89"/>
      <x:c r="N32" s="89"/>
      <x:c r="O32" s="89"/>
      <x:c r="P32" s="89"/>
      <x:c r="Q32" s="89"/>
      <x:c r="R32" s="89"/>
      <x:c r="S32" s="89"/>
      <x:c r="T32" s="89"/>
      <x:c r="U32" s="89"/>
      <x:c r="V32" s="89"/>
      <x:c r="W32" s="89"/>
      <x:c r="X32" s="89"/>
      <x:c r="Y32" s="89"/>
      <x:c r="Z32" s="89"/>
    </x:row>
    <x:row r="33">
      <x:c r="A33" s="114"/>
      <x:c r="B33" s="95"/>
      <x:c r="C33" s="95"/>
      <x:c r="D33" s="95"/>
      <x:c r="E33" s="95"/>
      <x:c r="F33" s="95"/>
      <x:c r="G33" s="95"/>
      <x:c r="H33" s="95"/>
      <x:c r="I33" s="95"/>
      <x:c r="J33" s="89"/>
      <x:c r="K33" s="89"/>
      <x:c r="L33" s="89"/>
      <x:c r="M33" s="89"/>
      <x:c r="N33" s="89"/>
      <x:c r="O33" s="89"/>
      <x:c r="P33" s="89"/>
      <x:c r="Q33" s="89"/>
      <x:c r="R33" s="89"/>
      <x:c r="S33" s="89"/>
      <x:c r="T33" s="89"/>
      <x:c r="U33" s="89"/>
      <x:c r="V33" s="89"/>
      <x:c r="W33" s="89"/>
      <x:c r="X33" s="89"/>
      <x:c r="Y33" s="89"/>
      <x:c r="Z33" s="89"/>
    </x:row>
    <x:row r="34">
      <x:c r="A34" s="114"/>
      <x:c r="B34" s="95"/>
      <x:c r="C34" s="95"/>
      <x:c r="D34" s="95"/>
      <x:c r="E34" s="95"/>
      <x:c r="F34" s="95"/>
      <x:c r="G34" s="95"/>
      <x:c r="H34" s="95"/>
      <x:c r="I34" s="95"/>
      <x:c r="J34" s="89"/>
      <x:c r="K34" s="89"/>
      <x:c r="L34" s="89"/>
      <x:c r="M34" s="89"/>
      <x:c r="N34" s="89"/>
      <x:c r="O34" s="89"/>
      <x:c r="P34" s="89"/>
      <x:c r="Q34" s="89"/>
      <x:c r="R34" s="89"/>
      <x:c r="S34" s="89"/>
      <x:c r="T34" s="89"/>
      <x:c r="U34" s="89"/>
      <x:c r="V34" s="89"/>
      <x:c r="W34" s="89"/>
      <x:c r="X34" s="89"/>
      <x:c r="Y34" s="89"/>
      <x:c r="Z34" s="89"/>
    </x:row>
    <x:row r="35">
      <x:c r="A35" s="114"/>
      <x:c r="B35" s="95"/>
      <x:c r="C35" s="95"/>
      <x:c r="D35" s="95"/>
      <x:c r="E35" s="95"/>
      <x:c r="F35" s="95"/>
      <x:c r="G35" s="95"/>
      <x:c r="H35" s="95"/>
      <x:c r="I35" s="95"/>
      <x:c r="J35" s="89"/>
      <x:c r="K35" s="89"/>
      <x:c r="L35" s="89"/>
      <x:c r="M35" s="89"/>
      <x:c r="N35" s="89"/>
      <x:c r="O35" s="89"/>
      <x:c r="P35" s="89"/>
      <x:c r="Q35" s="89"/>
      <x:c r="R35" s="89"/>
      <x:c r="S35" s="89"/>
      <x:c r="T35" s="89"/>
      <x:c r="U35" s="89"/>
      <x:c r="V35" s="89"/>
      <x:c r="W35" s="89"/>
      <x:c r="X35" s="89"/>
      <x:c r="Y35" s="89"/>
      <x:c r="Z35" s="89"/>
    </x:row>
    <x:row r="36">
      <x:c r="A36" s="114"/>
      <x:c r="B36" s="95"/>
      <x:c r="C36" s="95"/>
      <x:c r="D36" s="95"/>
      <x:c r="E36" s="95"/>
      <x:c r="F36" s="95"/>
      <x:c r="G36" s="95"/>
      <x:c r="H36" s="95"/>
      <x:c r="I36" s="95"/>
      <x:c r="J36" s="89"/>
      <x:c r="K36" s="89"/>
      <x:c r="L36" s="89"/>
      <x:c r="M36" s="89"/>
      <x:c r="N36" s="89"/>
      <x:c r="O36" s="89"/>
      <x:c r="P36" s="89"/>
      <x:c r="Q36" s="89"/>
      <x:c r="R36" s="89"/>
      <x:c r="S36" s="89"/>
      <x:c r="T36" s="89"/>
      <x:c r="U36" s="89"/>
      <x:c r="V36" s="89"/>
      <x:c r="W36" s="89"/>
      <x:c r="X36" s="89"/>
      <x:c r="Y36" s="89"/>
      <x:c r="Z36" s="89"/>
    </x:row>
    <x:row r="37">
      <x:c r="A37" s="114"/>
      <x:c r="B37" s="95"/>
      <x:c r="C37" s="95"/>
      <x:c r="D37" s="95"/>
      <x:c r="E37" s="95"/>
      <x:c r="F37" s="95"/>
      <x:c r="G37" s="95"/>
      <x:c r="H37" s="95"/>
      <x:c r="I37" s="95"/>
      <x:c r="J37" s="89"/>
      <x:c r="K37" s="89"/>
      <x:c r="L37" s="89"/>
      <x:c r="M37" s="89"/>
      <x:c r="N37" s="89"/>
      <x:c r="O37" s="89"/>
      <x:c r="P37" s="89"/>
      <x:c r="Q37" s="89"/>
      <x:c r="R37" s="89"/>
      <x:c r="S37" s="89"/>
      <x:c r="T37" s="89"/>
      <x:c r="U37" s="89"/>
      <x:c r="V37" s="89"/>
      <x:c r="W37" s="89"/>
      <x:c r="X37" s="89"/>
      <x:c r="Y37" s="89"/>
      <x:c r="Z37" s="89"/>
    </x:row>
    <x:row r="38">
      <x:c r="A38" s="114"/>
      <x:c r="B38" s="95"/>
      <x:c r="C38" s="95"/>
      <x:c r="D38" s="95"/>
      <x:c r="E38" s="95"/>
      <x:c r="F38" s="95"/>
      <x:c r="G38" s="95"/>
      <x:c r="H38" s="95"/>
      <x:c r="I38" s="95"/>
      <x:c r="J38" s="89"/>
      <x:c r="K38" s="89"/>
      <x:c r="L38" s="89"/>
      <x:c r="M38" s="89"/>
      <x:c r="N38" s="89"/>
      <x:c r="O38" s="89"/>
      <x:c r="P38" s="89"/>
      <x:c r="Q38" s="89"/>
      <x:c r="R38" s="89"/>
      <x:c r="S38" s="89"/>
      <x:c r="T38" s="89"/>
      <x:c r="U38" s="89"/>
      <x:c r="V38" s="89"/>
      <x:c r="W38" s="89"/>
      <x:c r="X38" s="89"/>
      <x:c r="Y38" s="89"/>
      <x:c r="Z38" s="89"/>
    </x:row>
    <x:row r="39">
      <x:c r="A39" s="114"/>
      <x:c r="B39" s="95"/>
      <x:c r="C39" s="95"/>
      <x:c r="D39" s="95"/>
      <x:c r="E39" s="95"/>
      <x:c r="F39" s="95"/>
      <x:c r="G39" s="95"/>
      <x:c r="H39" s="95"/>
      <x:c r="I39" s="95"/>
      <x:c r="J39" s="89"/>
      <x:c r="K39" s="89"/>
      <x:c r="L39" s="89"/>
      <x:c r="M39" s="89"/>
      <x:c r="N39" s="89"/>
      <x:c r="O39" s="89"/>
      <x:c r="P39" s="89"/>
      <x:c r="Q39" s="89"/>
      <x:c r="R39" s="89"/>
      <x:c r="S39" s="89"/>
      <x:c r="T39" s="89"/>
      <x:c r="U39" s="89"/>
      <x:c r="V39" s="89"/>
      <x:c r="W39" s="89"/>
      <x:c r="X39" s="89"/>
      <x:c r="Y39" s="89"/>
      <x:c r="Z39" s="89"/>
    </x:row>
    <x:row r="40">
      <x:c r="A40" s="114"/>
      <x:c r="B40" s="95"/>
      <x:c r="C40" s="95"/>
      <x:c r="D40" s="95"/>
      <x:c r="E40" s="95"/>
      <x:c r="F40" s="95"/>
      <x:c r="G40" s="95"/>
      <x:c r="H40" s="95"/>
      <x:c r="I40" s="95"/>
      <x:c r="J40" s="89"/>
      <x:c r="K40" s="89"/>
      <x:c r="L40" s="89"/>
      <x:c r="M40" s="89"/>
      <x:c r="N40" s="89"/>
      <x:c r="O40" s="89"/>
      <x:c r="P40" s="89"/>
      <x:c r="Q40" s="89"/>
      <x:c r="R40" s="89"/>
      <x:c r="S40" s="89"/>
      <x:c r="T40" s="89"/>
      <x:c r="U40" s="89"/>
      <x:c r="V40" s="89"/>
      <x:c r="W40" s="89"/>
      <x:c r="X40" s="89"/>
      <x:c r="Y40" s="89"/>
      <x:c r="Z40" s="89"/>
    </x:row>
    <x:row r="41">
      <x:c r="A41" s="114"/>
      <x:c r="B41" s="95"/>
      <x:c r="C41" s="95"/>
      <x:c r="D41" s="95"/>
      <x:c r="E41" s="95"/>
      <x:c r="F41" s="95"/>
      <x:c r="G41" s="95"/>
      <x:c r="H41" s="95"/>
      <x:c r="I41" s="95"/>
      <x:c r="J41" s="89"/>
      <x:c r="K41" s="89"/>
      <x:c r="L41" s="89"/>
      <x:c r="M41" s="89"/>
      <x:c r="N41" s="89"/>
      <x:c r="O41" s="89"/>
      <x:c r="P41" s="89"/>
      <x:c r="Q41" s="89"/>
      <x:c r="R41" s="89"/>
      <x:c r="S41" s="89"/>
      <x:c r="T41" s="89"/>
      <x:c r="U41" s="89"/>
      <x:c r="V41" s="89"/>
      <x:c r="W41" s="89"/>
      <x:c r="X41" s="89"/>
      <x:c r="Y41" s="89"/>
      <x:c r="Z41" s="89"/>
    </x:row>
    <x:row r="42">
      <x:c r="A42" s="114"/>
      <x:c r="B42" s="95"/>
      <x:c r="C42" s="95"/>
      <x:c r="D42" s="95"/>
      <x:c r="E42" s="95"/>
      <x:c r="F42" s="95"/>
      <x:c r="G42" s="95"/>
      <x:c r="H42" s="95"/>
      <x:c r="I42" s="95"/>
      <x:c r="J42" s="89"/>
      <x:c r="K42" s="89"/>
      <x:c r="L42" s="89"/>
      <x:c r="M42" s="89"/>
      <x:c r="N42" s="89"/>
      <x:c r="O42" s="89"/>
      <x:c r="P42" s="89"/>
      <x:c r="Q42" s="89"/>
      <x:c r="R42" s="89"/>
      <x:c r="S42" s="89"/>
      <x:c r="T42" s="89"/>
      <x:c r="U42" s="89"/>
      <x:c r="V42" s="89"/>
      <x:c r="W42" s="89"/>
      <x:c r="X42" s="89"/>
      <x:c r="Y42" s="89"/>
      <x:c r="Z42" s="89"/>
    </x:row>
    <x:row r="43">
      <x:c r="A43" s="114"/>
      <x:c r="B43" s="95"/>
      <x:c r="C43" s="95"/>
      <x:c r="D43" s="95"/>
      <x:c r="E43" s="95"/>
      <x:c r="F43" s="95"/>
      <x:c r="G43" s="95"/>
      <x:c r="H43" s="95"/>
      <x:c r="I43" s="95"/>
      <x:c r="J43" s="89"/>
      <x:c r="K43" s="89"/>
      <x:c r="L43" s="89"/>
      <x:c r="M43" s="89"/>
      <x:c r="N43" s="89"/>
      <x:c r="O43" s="89"/>
      <x:c r="P43" s="89"/>
      <x:c r="Q43" s="89"/>
      <x:c r="R43" s="89"/>
      <x:c r="S43" s="89"/>
      <x:c r="T43" s="89"/>
      <x:c r="U43" s="89"/>
      <x:c r="V43" s="89"/>
      <x:c r="W43" s="89"/>
      <x:c r="X43" s="89"/>
      <x:c r="Y43" s="89"/>
      <x:c r="Z43" s="89"/>
    </x:row>
    <x:row r="44">
      <x:c r="A44" s="114"/>
      <x:c r="B44" s="95"/>
      <x:c r="C44" s="95"/>
      <x:c r="D44" s="95"/>
      <x:c r="E44" s="95"/>
      <x:c r="F44" s="95"/>
      <x:c r="G44" s="95"/>
      <x:c r="H44" s="95"/>
      <x:c r="I44" s="95"/>
      <x:c r="J44" s="89"/>
      <x:c r="K44" s="89"/>
      <x:c r="L44" s="89"/>
      <x:c r="M44" s="89"/>
      <x:c r="N44" s="89"/>
      <x:c r="O44" s="89"/>
      <x:c r="P44" s="89"/>
      <x:c r="Q44" s="89"/>
      <x:c r="R44" s="89"/>
      <x:c r="S44" s="89"/>
      <x:c r="T44" s="89"/>
      <x:c r="U44" s="89"/>
      <x:c r="V44" s="89"/>
      <x:c r="W44" s="89"/>
      <x:c r="X44" s="89"/>
      <x:c r="Y44" s="89"/>
      <x:c r="Z44" s="89"/>
    </x:row>
    <x:row r="45">
      <x:c r="A45" s="114"/>
      <x:c r="B45" s="95"/>
      <x:c r="C45" s="95"/>
      <x:c r="D45" s="95"/>
      <x:c r="E45" s="95"/>
      <x:c r="F45" s="95"/>
      <x:c r="G45" s="95"/>
      <x:c r="H45" s="95"/>
      <x:c r="I45" s="95"/>
      <x:c r="J45" s="89"/>
      <x:c r="K45" s="89"/>
      <x:c r="L45" s="89"/>
      <x:c r="M45" s="89"/>
      <x:c r="N45" s="89"/>
      <x:c r="O45" s="89"/>
      <x:c r="P45" s="89"/>
      <x:c r="Q45" s="89"/>
      <x:c r="R45" s="89"/>
      <x:c r="S45" s="89"/>
      <x:c r="T45" s="89"/>
      <x:c r="U45" s="89"/>
      <x:c r="V45" s="89"/>
      <x:c r="W45" s="89"/>
      <x:c r="X45" s="89"/>
      <x:c r="Y45" s="89"/>
      <x:c r="Z45" s="89"/>
    </x:row>
    <x:row r="46">
      <x:c r="A46" s="114"/>
      <x:c r="B46" s="95"/>
      <x:c r="C46" s="95"/>
      <x:c r="D46" s="95"/>
      <x:c r="E46" s="95"/>
      <x:c r="F46" s="95"/>
      <x:c r="G46" s="95"/>
      <x:c r="H46" s="95"/>
      <x:c r="I46" s="95"/>
      <x:c r="J46" s="89"/>
      <x:c r="K46" s="89"/>
      <x:c r="L46" s="89"/>
      <x:c r="M46" s="89"/>
      <x:c r="N46" s="89"/>
      <x:c r="O46" s="89"/>
      <x:c r="P46" s="89"/>
      <x:c r="Q46" s="89"/>
      <x:c r="R46" s="89"/>
      <x:c r="S46" s="89"/>
      <x:c r="T46" s="89"/>
      <x:c r="U46" s="89"/>
      <x:c r="V46" s="89"/>
      <x:c r="W46" s="89"/>
      <x:c r="X46" s="89"/>
      <x:c r="Y46" s="89"/>
      <x:c r="Z46" s="89"/>
    </x:row>
    <x:row r="47">
      <x:c r="A47" s="114"/>
      <x:c r="B47" s="95"/>
      <x:c r="C47" s="95"/>
      <x:c r="D47" s="95"/>
      <x:c r="E47" s="95"/>
      <x:c r="F47" s="95"/>
      <x:c r="G47" s="95"/>
      <x:c r="H47" s="95"/>
      <x:c r="I47" s="95"/>
      <x:c r="J47" s="89"/>
      <x:c r="K47" s="89"/>
      <x:c r="L47" s="89"/>
      <x:c r="M47" s="89"/>
      <x:c r="N47" s="89"/>
      <x:c r="O47" s="89"/>
      <x:c r="P47" s="89"/>
      <x:c r="Q47" s="89"/>
      <x:c r="R47" s="89"/>
      <x:c r="S47" s="89"/>
      <x:c r="T47" s="89"/>
      <x:c r="U47" s="89"/>
      <x:c r="V47" s="89"/>
      <x:c r="W47" s="89"/>
      <x:c r="X47" s="89"/>
      <x:c r="Y47" s="89"/>
      <x:c r="Z47" s="89"/>
    </x:row>
    <x:row r="48">
      <x:c r="A48" s="114"/>
      <x:c r="B48" s="95"/>
      <x:c r="C48" s="95"/>
      <x:c r="D48" s="95"/>
      <x:c r="E48" s="95"/>
      <x:c r="F48" s="95"/>
      <x:c r="G48" s="95"/>
      <x:c r="H48" s="95"/>
      <x:c r="I48" s="95"/>
      <x:c r="J48" s="89"/>
      <x:c r="K48" s="89"/>
      <x:c r="L48" s="89"/>
      <x:c r="M48" s="89"/>
      <x:c r="N48" s="89"/>
      <x:c r="O48" s="89"/>
      <x:c r="P48" s="89"/>
      <x:c r="Q48" s="89"/>
      <x:c r="R48" s="89"/>
      <x:c r="S48" s="89"/>
      <x:c r="T48" s="89"/>
      <x:c r="U48" s="89"/>
      <x:c r="V48" s="89"/>
      <x:c r="W48" s="89"/>
      <x:c r="X48" s="89"/>
      <x:c r="Y48" s="89"/>
      <x:c r="Z48" s="89"/>
    </x:row>
    <x:row r="49">
      <x:c r="A49" s="114"/>
      <x:c r="B49" s="95"/>
      <x:c r="C49" s="95"/>
      <x:c r="D49" s="95"/>
      <x:c r="E49" s="95"/>
      <x:c r="F49" s="95"/>
      <x:c r="G49" s="95"/>
      <x:c r="H49" s="95"/>
      <x:c r="I49" s="95"/>
      <x:c r="J49" s="89"/>
      <x:c r="K49" s="89"/>
      <x:c r="L49" s="89"/>
      <x:c r="M49" s="89"/>
      <x:c r="N49" s="89"/>
      <x:c r="O49" s="89"/>
      <x:c r="P49" s="89"/>
      <x:c r="Q49" s="89"/>
      <x:c r="R49" s="89"/>
      <x:c r="S49" s="89"/>
      <x:c r="T49" s="89"/>
      <x:c r="U49" s="89"/>
      <x:c r="V49" s="89"/>
      <x:c r="W49" s="89"/>
      <x:c r="X49" s="89"/>
      <x:c r="Y49" s="89"/>
      <x:c r="Z49" s="89"/>
    </x:row>
    <x:row r="50">
      <x:c r="A50" s="114"/>
      <x:c r="B50" s="95"/>
      <x:c r="C50" s="95"/>
      <x:c r="D50" s="95"/>
      <x:c r="E50" s="95"/>
      <x:c r="F50" s="95"/>
      <x:c r="G50" s="95"/>
      <x:c r="H50" s="95"/>
      <x:c r="I50" s="95"/>
      <x:c r="J50" s="89"/>
      <x:c r="K50" s="89"/>
      <x:c r="L50" s="89"/>
      <x:c r="M50" s="89"/>
      <x:c r="N50" s="89"/>
      <x:c r="O50" s="89"/>
      <x:c r="P50" s="89"/>
      <x:c r="Q50" s="89"/>
      <x:c r="R50" s="89"/>
      <x:c r="S50" s="89"/>
      <x:c r="T50" s="89"/>
      <x:c r="U50" s="89"/>
      <x:c r="V50" s="89"/>
      <x:c r="W50" s="89"/>
      <x:c r="X50" s="89"/>
      <x:c r="Y50" s="89"/>
      <x:c r="Z50" s="89"/>
    </x:row>
    <x:row r="51">
      <x:c r="A51" s="114"/>
      <x:c r="B51" s="95"/>
      <x:c r="C51" s="95"/>
      <x:c r="D51" s="95"/>
      <x:c r="E51" s="95"/>
      <x:c r="F51" s="95"/>
      <x:c r="G51" s="95"/>
      <x:c r="H51" s="95"/>
      <x:c r="I51" s="95"/>
      <x:c r="J51" s="89"/>
      <x:c r="K51" s="89"/>
      <x:c r="L51" s="89"/>
      <x:c r="M51" s="89"/>
      <x:c r="N51" s="89"/>
      <x:c r="O51" s="89"/>
      <x:c r="P51" s="89"/>
      <x:c r="Q51" s="89"/>
      <x:c r="R51" s="89"/>
      <x:c r="S51" s="89"/>
      <x:c r="T51" s="89"/>
      <x:c r="U51" s="89"/>
      <x:c r="V51" s="89"/>
      <x:c r="W51" s="89"/>
      <x:c r="X51" s="89"/>
      <x:c r="Y51" s="89"/>
      <x:c r="Z51" s="89"/>
    </x:row>
    <x:row r="52">
      <x:c r="A52" s="114"/>
      <x:c r="B52" s="95"/>
      <x:c r="C52" s="95"/>
      <x:c r="D52" s="95"/>
      <x:c r="E52" s="95"/>
      <x:c r="F52" s="95"/>
      <x:c r="G52" s="95"/>
      <x:c r="H52" s="95"/>
      <x:c r="I52" s="95"/>
      <x:c r="J52" s="89"/>
      <x:c r="K52" s="89"/>
      <x:c r="L52" s="89"/>
      <x:c r="M52" s="89"/>
      <x:c r="N52" s="89"/>
      <x:c r="O52" s="89"/>
      <x:c r="P52" s="89"/>
      <x:c r="Q52" s="89"/>
      <x:c r="R52" s="89"/>
      <x:c r="S52" s="89"/>
      <x:c r="T52" s="89"/>
      <x:c r="U52" s="89"/>
      <x:c r="V52" s="89"/>
      <x:c r="W52" s="89"/>
      <x:c r="X52" s="89"/>
      <x:c r="Y52" s="89"/>
      <x:c r="Z52" s="89"/>
    </x:row>
    <x:row r="53">
      <x:c r="A53" s="114"/>
      <x:c r="B53" s="95"/>
      <x:c r="C53" s="95"/>
      <x:c r="D53" s="95"/>
      <x:c r="E53" s="95"/>
      <x:c r="F53" s="95"/>
      <x:c r="G53" s="95"/>
      <x:c r="H53" s="95"/>
      <x:c r="I53" s="95"/>
      <x:c r="J53" s="89"/>
      <x:c r="K53" s="89"/>
      <x:c r="L53" s="89"/>
      <x:c r="M53" s="89"/>
      <x:c r="N53" s="89"/>
      <x:c r="O53" s="89"/>
      <x:c r="P53" s="89"/>
      <x:c r="Q53" s="89"/>
      <x:c r="R53" s="89"/>
      <x:c r="S53" s="89"/>
      <x:c r="T53" s="89"/>
      <x:c r="U53" s="89"/>
      <x:c r="V53" s="89"/>
      <x:c r="W53" s="89"/>
      <x:c r="X53" s="89"/>
      <x:c r="Y53" s="89"/>
      <x:c r="Z53" s="89"/>
    </x:row>
    <x:row r="54">
      <x:c r="A54" s="114"/>
      <x:c r="B54" s="95"/>
      <x:c r="C54" s="95"/>
      <x:c r="D54" s="95"/>
      <x:c r="E54" s="95"/>
      <x:c r="F54" s="95"/>
      <x:c r="G54" s="95"/>
      <x:c r="H54" s="95"/>
      <x:c r="I54" s="95"/>
      <x:c r="J54" s="89"/>
      <x:c r="K54" s="89"/>
      <x:c r="L54" s="89"/>
      <x:c r="M54" s="89"/>
      <x:c r="N54" s="89"/>
      <x:c r="O54" s="89"/>
      <x:c r="P54" s="89"/>
      <x:c r="Q54" s="89"/>
      <x:c r="R54" s="89"/>
      <x:c r="S54" s="89"/>
      <x:c r="T54" s="89"/>
      <x:c r="U54" s="89"/>
      <x:c r="V54" s="89"/>
      <x:c r="W54" s="89"/>
      <x:c r="X54" s="89"/>
      <x:c r="Y54" s="89"/>
      <x:c r="Z54" s="89"/>
    </x:row>
    <x:row r="55">
      <x:c r="A55" s="114"/>
      <x:c r="B55" s="95"/>
      <x:c r="C55" s="95"/>
      <x:c r="D55" s="95"/>
      <x:c r="E55" s="95"/>
      <x:c r="F55" s="95"/>
      <x:c r="G55" s="95"/>
      <x:c r="H55" s="95"/>
      <x:c r="I55" s="95"/>
      <x:c r="J55" s="89"/>
      <x:c r="K55" s="89"/>
      <x:c r="L55" s="89"/>
      <x:c r="M55" s="89"/>
      <x:c r="N55" s="89"/>
      <x:c r="O55" s="89"/>
      <x:c r="P55" s="89"/>
      <x:c r="Q55" s="89"/>
      <x:c r="R55" s="89"/>
      <x:c r="S55" s="89"/>
      <x:c r="T55" s="89"/>
      <x:c r="U55" s="89"/>
      <x:c r="V55" s="89"/>
      <x:c r="W55" s="89"/>
      <x:c r="X55" s="89"/>
      <x:c r="Y55" s="89"/>
      <x:c r="Z55" s="89"/>
    </x:row>
    <x:row r="56">
      <x:c r="A56" s="114"/>
      <x:c r="B56" s="95"/>
      <x:c r="C56" s="95"/>
      <x:c r="D56" s="95"/>
      <x:c r="E56" s="95"/>
      <x:c r="F56" s="95"/>
      <x:c r="G56" s="95"/>
      <x:c r="H56" s="95"/>
      <x:c r="I56" s="95"/>
      <x:c r="J56" s="89"/>
      <x:c r="K56" s="89"/>
      <x:c r="L56" s="89"/>
      <x:c r="M56" s="89"/>
      <x:c r="N56" s="89"/>
      <x:c r="O56" s="89"/>
      <x:c r="P56" s="89"/>
      <x:c r="Q56" s="89"/>
      <x:c r="R56" s="89"/>
      <x:c r="S56" s="89"/>
      <x:c r="T56" s="89"/>
      <x:c r="U56" s="89"/>
      <x:c r="V56" s="89"/>
      <x:c r="W56" s="89"/>
      <x:c r="X56" s="89"/>
      <x:c r="Y56" s="89"/>
      <x:c r="Z56" s="89"/>
    </x:row>
    <x:row r="57">
      <x:c r="A57" s="114"/>
      <x:c r="B57" s="95"/>
      <x:c r="C57" s="95"/>
      <x:c r="D57" s="95"/>
      <x:c r="E57" s="95"/>
      <x:c r="F57" s="95"/>
      <x:c r="G57" s="95"/>
      <x:c r="H57" s="95"/>
      <x:c r="I57" s="95"/>
      <x:c r="J57" s="89"/>
      <x:c r="K57" s="89"/>
      <x:c r="L57" s="89"/>
      <x:c r="M57" s="89"/>
      <x:c r="N57" s="89"/>
      <x:c r="O57" s="89"/>
      <x:c r="P57" s="89"/>
      <x:c r="Q57" s="89"/>
      <x:c r="R57" s="89"/>
      <x:c r="S57" s="89"/>
      <x:c r="T57" s="89"/>
      <x:c r="U57" s="89"/>
      <x:c r="V57" s="89"/>
      <x:c r="W57" s="89"/>
      <x:c r="X57" s="89"/>
      <x:c r="Y57" s="89"/>
      <x:c r="Z57" s="89"/>
    </x:row>
    <x:row r="58">
      <x:c r="A58" s="114"/>
      <x:c r="B58" s="95"/>
      <x:c r="C58" s="95"/>
      <x:c r="D58" s="95"/>
      <x:c r="E58" s="95"/>
      <x:c r="F58" s="95"/>
      <x:c r="G58" s="95"/>
      <x:c r="H58" s="95"/>
      <x:c r="I58" s="95"/>
      <x:c r="J58" s="89"/>
      <x:c r="K58" s="89"/>
      <x:c r="L58" s="89"/>
      <x:c r="M58" s="89"/>
      <x:c r="N58" s="89"/>
      <x:c r="O58" s="89"/>
      <x:c r="P58" s="89"/>
      <x:c r="Q58" s="89"/>
      <x:c r="R58" s="89"/>
      <x:c r="S58" s="89"/>
      <x:c r="T58" s="89"/>
      <x:c r="U58" s="89"/>
      <x:c r="V58" s="89"/>
      <x:c r="W58" s="89"/>
      <x:c r="X58" s="89"/>
      <x:c r="Y58" s="89"/>
      <x:c r="Z58" s="89"/>
    </x:row>
    <x:row r="59">
      <x:c r="A59" s="114"/>
      <x:c r="B59" s="95"/>
      <x:c r="C59" s="95"/>
      <x:c r="D59" s="95"/>
      <x:c r="E59" s="95"/>
      <x:c r="F59" s="95"/>
      <x:c r="G59" s="95"/>
      <x:c r="H59" s="95"/>
      <x:c r="I59" s="95"/>
      <x:c r="J59" s="89"/>
      <x:c r="K59" s="89"/>
      <x:c r="L59" s="89"/>
      <x:c r="M59" s="89"/>
      <x:c r="N59" s="89"/>
      <x:c r="O59" s="89"/>
      <x:c r="P59" s="89"/>
      <x:c r="Q59" s="89"/>
      <x:c r="R59" s="89"/>
      <x:c r="S59" s="89"/>
      <x:c r="T59" s="89"/>
      <x:c r="U59" s="89"/>
      <x:c r="V59" s="89"/>
      <x:c r="W59" s="89"/>
      <x:c r="X59" s="89"/>
      <x:c r="Y59" s="89"/>
      <x:c r="Z59" s="89"/>
    </x:row>
    <x:row r="60">
      <x:c r="A60" s="114"/>
      <x:c r="B60" s="95"/>
      <x:c r="C60" s="95"/>
      <x:c r="D60" s="95"/>
      <x:c r="E60" s="95"/>
      <x:c r="F60" s="95"/>
      <x:c r="G60" s="95"/>
      <x:c r="H60" s="95"/>
      <x:c r="I60" s="95"/>
      <x:c r="J60" s="89"/>
      <x:c r="K60" s="89"/>
      <x:c r="L60" s="89"/>
      <x:c r="M60" s="89"/>
      <x:c r="N60" s="89"/>
      <x:c r="O60" s="89"/>
      <x:c r="P60" s="89"/>
      <x:c r="Q60" s="89"/>
      <x:c r="R60" s="89"/>
      <x:c r="S60" s="89"/>
      <x:c r="T60" s="89"/>
      <x:c r="U60" s="89"/>
      <x:c r="V60" s="89"/>
      <x:c r="W60" s="89"/>
      <x:c r="X60" s="89"/>
      <x:c r="Y60" s="89"/>
      <x:c r="Z60" s="89"/>
    </x:row>
    <x:row r="61">
      <x:c r="A61" s="114"/>
      <x:c r="B61" s="95"/>
      <x:c r="C61" s="95"/>
      <x:c r="D61" s="95"/>
      <x:c r="E61" s="95"/>
      <x:c r="F61" s="95"/>
      <x:c r="G61" s="95"/>
      <x:c r="H61" s="95"/>
      <x:c r="I61" s="95"/>
      <x:c r="J61" s="89"/>
      <x:c r="K61" s="89"/>
      <x:c r="L61" s="89"/>
      <x:c r="M61" s="89"/>
      <x:c r="N61" s="89"/>
      <x:c r="O61" s="89"/>
      <x:c r="P61" s="89"/>
      <x:c r="Q61" s="89"/>
      <x:c r="R61" s="89"/>
      <x:c r="S61" s="89"/>
      <x:c r="T61" s="89"/>
      <x:c r="U61" s="89"/>
      <x:c r="V61" s="89"/>
      <x:c r="W61" s="89"/>
      <x:c r="X61" s="89"/>
      <x:c r="Y61" s="89"/>
      <x:c r="Z61" s="89"/>
    </x:row>
    <x:row r="62">
      <x:c r="A62" s="114"/>
      <x:c r="B62" s="95"/>
      <x:c r="C62" s="95"/>
      <x:c r="D62" s="95"/>
      <x:c r="E62" s="95"/>
      <x:c r="F62" s="95"/>
      <x:c r="G62" s="95"/>
      <x:c r="H62" s="95"/>
      <x:c r="I62" s="95"/>
      <x:c r="J62" s="89"/>
      <x:c r="K62" s="89"/>
      <x:c r="L62" s="89"/>
      <x:c r="M62" s="89"/>
      <x:c r="N62" s="89"/>
      <x:c r="O62" s="89"/>
      <x:c r="P62" s="89"/>
      <x:c r="Q62" s="89"/>
      <x:c r="R62" s="89"/>
      <x:c r="S62" s="89"/>
      <x:c r="T62" s="89"/>
      <x:c r="U62" s="89"/>
      <x:c r="V62" s="89"/>
      <x:c r="W62" s="89"/>
      <x:c r="X62" s="89"/>
      <x:c r="Y62" s="89"/>
      <x:c r="Z62" s="89"/>
    </x:row>
    <x:row r="63">
      <x:c r="A63" s="114"/>
      <x:c r="B63" s="95"/>
      <x:c r="C63" s="95"/>
      <x:c r="D63" s="95"/>
      <x:c r="E63" s="95"/>
      <x:c r="F63" s="95"/>
      <x:c r="G63" s="95"/>
      <x:c r="H63" s="95"/>
      <x:c r="I63" s="95"/>
      <x:c r="J63" s="89"/>
      <x:c r="K63" s="89"/>
      <x:c r="L63" s="89"/>
      <x:c r="M63" s="89"/>
      <x:c r="N63" s="89"/>
      <x:c r="O63" s="89"/>
      <x:c r="P63" s="89"/>
      <x:c r="Q63" s="89"/>
      <x:c r="R63" s="89"/>
      <x:c r="S63" s="89"/>
      <x:c r="T63" s="89"/>
      <x:c r="U63" s="89"/>
      <x:c r="V63" s="89"/>
      <x:c r="W63" s="89"/>
      <x:c r="X63" s="89"/>
      <x:c r="Y63" s="89"/>
      <x:c r="Z63" s="89"/>
    </x:row>
    <x:row r="64">
      <x:c r="A64" s="114"/>
      <x:c r="B64" s="95"/>
      <x:c r="C64" s="95"/>
      <x:c r="D64" s="95"/>
      <x:c r="E64" s="95"/>
      <x:c r="F64" s="95"/>
      <x:c r="G64" s="95"/>
      <x:c r="H64" s="95"/>
      <x:c r="I64" s="95"/>
      <x:c r="J64" s="89"/>
      <x:c r="K64" s="89"/>
      <x:c r="L64" s="89"/>
      <x:c r="M64" s="89"/>
      <x:c r="N64" s="89"/>
      <x:c r="O64" s="89"/>
      <x:c r="P64" s="89"/>
      <x:c r="Q64" s="89"/>
      <x:c r="R64" s="89"/>
      <x:c r="S64" s="89"/>
      <x:c r="T64" s="89"/>
      <x:c r="U64" s="89"/>
      <x:c r="V64" s="89"/>
      <x:c r="W64" s="89"/>
      <x:c r="X64" s="89"/>
      <x:c r="Y64" s="89"/>
      <x:c r="Z64" s="89"/>
    </x:row>
    <x:row r="65">
      <x:c r="A65" s="114"/>
      <x:c r="B65" s="95"/>
      <x:c r="C65" s="95"/>
      <x:c r="D65" s="95"/>
      <x:c r="E65" s="95"/>
      <x:c r="F65" s="95"/>
      <x:c r="G65" s="95"/>
      <x:c r="H65" s="95"/>
      <x:c r="I65" s="95"/>
      <x:c r="J65" s="89"/>
      <x:c r="K65" s="89"/>
      <x:c r="L65" s="89"/>
      <x:c r="M65" s="89"/>
      <x:c r="N65" s="89"/>
      <x:c r="O65" s="89"/>
      <x:c r="P65" s="89"/>
      <x:c r="Q65" s="89"/>
      <x:c r="R65" s="89"/>
      <x:c r="S65" s="89"/>
      <x:c r="T65" s="89"/>
      <x:c r="U65" s="89"/>
      <x:c r="V65" s="89"/>
      <x:c r="W65" s="89"/>
      <x:c r="X65" s="89"/>
      <x:c r="Y65" s="89"/>
      <x:c r="Z65" s="89"/>
    </x:row>
    <x:row r="66">
      <x:c r="A66" s="114"/>
      <x:c r="B66" s="95"/>
      <x:c r="C66" s="95"/>
      <x:c r="D66" s="95"/>
      <x:c r="E66" s="95"/>
      <x:c r="F66" s="95"/>
      <x:c r="G66" s="95"/>
      <x:c r="H66" s="95"/>
      <x:c r="I66" s="95"/>
      <x:c r="J66" s="89"/>
      <x:c r="K66" s="89"/>
      <x:c r="L66" s="89"/>
      <x:c r="M66" s="89"/>
      <x:c r="N66" s="89"/>
      <x:c r="O66" s="89"/>
      <x:c r="P66" s="89"/>
      <x:c r="Q66" s="89"/>
      <x:c r="R66" s="89"/>
      <x:c r="S66" s="89"/>
      <x:c r="T66" s="89"/>
      <x:c r="U66" s="89"/>
      <x:c r="V66" s="89"/>
      <x:c r="W66" s="89"/>
      <x:c r="X66" s="89"/>
      <x:c r="Y66" s="89"/>
      <x:c r="Z66" s="89"/>
    </x:row>
    <x:row r="67">
      <x:c r="A67" s="114"/>
      <x:c r="B67" s="95"/>
      <x:c r="C67" s="95"/>
      <x:c r="D67" s="95"/>
      <x:c r="E67" s="95"/>
      <x:c r="F67" s="95"/>
      <x:c r="G67" s="95"/>
      <x:c r="H67" s="95"/>
      <x:c r="I67" s="95"/>
      <x:c r="J67" s="89"/>
      <x:c r="K67" s="89"/>
      <x:c r="L67" s="89"/>
      <x:c r="M67" s="89"/>
      <x:c r="N67" s="89"/>
      <x:c r="O67" s="89"/>
      <x:c r="P67" s="89"/>
      <x:c r="Q67" s="89"/>
      <x:c r="R67" s="89"/>
      <x:c r="S67" s="89"/>
      <x:c r="T67" s="89"/>
      <x:c r="U67" s="89"/>
      <x:c r="V67" s="89"/>
      <x:c r="W67" s="89"/>
      <x:c r="X67" s="89"/>
      <x:c r="Y67" s="89"/>
      <x:c r="Z67" s="89"/>
    </x:row>
    <x:row r="68">
      <x:c r="A68" s="114"/>
      <x:c r="B68" s="95"/>
      <x:c r="C68" s="95"/>
      <x:c r="D68" s="95"/>
      <x:c r="E68" s="95"/>
      <x:c r="F68" s="95"/>
      <x:c r="G68" s="95"/>
      <x:c r="H68" s="95"/>
      <x:c r="I68" s="95"/>
      <x:c r="J68" s="89"/>
      <x:c r="K68" s="89"/>
      <x:c r="L68" s="89"/>
      <x:c r="M68" s="89"/>
      <x:c r="N68" s="89"/>
      <x:c r="O68" s="89"/>
      <x:c r="P68" s="89"/>
      <x:c r="Q68" s="89"/>
      <x:c r="R68" s="89"/>
      <x:c r="S68" s="89"/>
      <x:c r="T68" s="89"/>
      <x:c r="U68" s="89"/>
      <x:c r="V68" s="89"/>
      <x:c r="W68" s="89"/>
      <x:c r="X68" s="89"/>
      <x:c r="Y68" s="89"/>
      <x:c r="Z68" s="89"/>
    </x:row>
    <x:row r="69">
      <x:c r="A69" s="114"/>
      <x:c r="B69" s="95"/>
      <x:c r="C69" s="95"/>
      <x:c r="D69" s="95"/>
      <x:c r="E69" s="95"/>
      <x:c r="F69" s="95"/>
      <x:c r="G69" s="95"/>
      <x:c r="H69" s="95"/>
      <x:c r="I69" s="95"/>
      <x:c r="J69" s="89"/>
      <x:c r="K69" s="89"/>
      <x:c r="L69" s="89"/>
      <x:c r="M69" s="89"/>
      <x:c r="N69" s="89"/>
      <x:c r="O69" s="89"/>
      <x:c r="P69" s="89"/>
      <x:c r="Q69" s="89"/>
      <x:c r="R69" s="89"/>
      <x:c r="S69" s="89"/>
      <x:c r="T69" s="89"/>
      <x:c r="U69" s="89"/>
      <x:c r="V69" s="89"/>
      <x:c r="W69" s="89"/>
      <x:c r="X69" s="89"/>
      <x:c r="Y69" s="89"/>
      <x:c r="Z69" s="89"/>
    </x:row>
    <x:row r="70">
      <x:c r="A70" s="114"/>
      <x:c r="B70" s="95"/>
      <x:c r="C70" s="95"/>
      <x:c r="D70" s="95"/>
      <x:c r="E70" s="95"/>
      <x:c r="F70" s="95"/>
      <x:c r="G70" s="95"/>
      <x:c r="H70" s="95"/>
      <x:c r="I70" s="95"/>
      <x:c r="J70" s="89"/>
      <x:c r="K70" s="89"/>
      <x:c r="L70" s="89"/>
      <x:c r="M70" s="89"/>
      <x:c r="N70" s="89"/>
      <x:c r="O70" s="89"/>
      <x:c r="P70" s="89"/>
      <x:c r="Q70" s="89"/>
      <x:c r="R70" s="89"/>
      <x:c r="S70" s="89"/>
      <x:c r="T70" s="89"/>
      <x:c r="U70" s="89"/>
      <x:c r="V70" s="89"/>
      <x:c r="W70" s="89"/>
      <x:c r="X70" s="89"/>
      <x:c r="Y70" s="89"/>
      <x:c r="Z70" s="89"/>
    </x:row>
    <x:row r="71">
      <x:c r="A71" s="114"/>
      <x:c r="B71" s="95"/>
      <x:c r="C71" s="95"/>
      <x:c r="D71" s="95"/>
      <x:c r="E71" s="95"/>
      <x:c r="F71" s="95"/>
      <x:c r="G71" s="95"/>
      <x:c r="H71" s="95"/>
      <x:c r="I71" s="95"/>
      <x:c r="J71" s="89"/>
      <x:c r="K71" s="89"/>
      <x:c r="L71" s="89"/>
      <x:c r="M71" s="89"/>
      <x:c r="N71" s="89"/>
      <x:c r="O71" s="89"/>
      <x:c r="P71" s="89"/>
      <x:c r="Q71" s="89"/>
      <x:c r="R71" s="89"/>
      <x:c r="S71" s="89"/>
      <x:c r="T71" s="89"/>
      <x:c r="U71" s="89"/>
      <x:c r="V71" s="89"/>
      <x:c r="W71" s="89"/>
      <x:c r="X71" s="89"/>
      <x:c r="Y71" s="89"/>
      <x:c r="Z71" s="89"/>
    </x:row>
    <x:row r="72">
      <x:c r="A72" s="114"/>
      <x:c r="B72" s="95"/>
      <x:c r="C72" s="95"/>
      <x:c r="D72" s="95"/>
      <x:c r="E72" s="95"/>
      <x:c r="F72" s="95"/>
      <x:c r="G72" s="95"/>
      <x:c r="H72" s="95"/>
      <x:c r="I72" s="95"/>
      <x:c r="J72" s="89"/>
      <x:c r="K72" s="89"/>
      <x:c r="L72" s="89"/>
      <x:c r="M72" s="89"/>
      <x:c r="N72" s="89"/>
      <x:c r="O72" s="89"/>
      <x:c r="P72" s="89"/>
      <x:c r="Q72" s="89"/>
      <x:c r="R72" s="89"/>
      <x:c r="S72" s="89"/>
      <x:c r="T72" s="89"/>
      <x:c r="U72" s="89"/>
      <x:c r="V72" s="89"/>
      <x:c r="W72" s="89"/>
      <x:c r="X72" s="89"/>
      <x:c r="Y72" s="89"/>
      <x:c r="Z72" s="89"/>
    </x:row>
    <x:row r="73">
      <x:c r="A73" s="114"/>
      <x:c r="B73" s="95"/>
      <x:c r="C73" s="95"/>
      <x:c r="D73" s="95"/>
      <x:c r="E73" s="95"/>
      <x:c r="F73" s="95"/>
      <x:c r="G73" s="95"/>
      <x:c r="H73" s="95"/>
      <x:c r="I73" s="95"/>
      <x:c r="J73" s="89"/>
      <x:c r="K73" s="89"/>
      <x:c r="L73" s="89"/>
      <x:c r="M73" s="89"/>
      <x:c r="N73" s="89"/>
      <x:c r="O73" s="89"/>
      <x:c r="P73" s="89"/>
      <x:c r="Q73" s="89"/>
      <x:c r="R73" s="89"/>
      <x:c r="S73" s="89"/>
      <x:c r="T73" s="89"/>
      <x:c r="U73" s="89"/>
      <x:c r="V73" s="89"/>
      <x:c r="W73" s="89"/>
      <x:c r="X73" s="89"/>
      <x:c r="Y73" s="89"/>
      <x:c r="Z73" s="89"/>
    </x:row>
    <x:row r="74">
      <x:c r="A74" s="114"/>
      <x:c r="B74" s="95"/>
      <x:c r="C74" s="95"/>
      <x:c r="D74" s="95"/>
      <x:c r="E74" s="95"/>
      <x:c r="F74" s="95"/>
      <x:c r="G74" s="95"/>
      <x:c r="H74" s="95"/>
      <x:c r="I74" s="95"/>
      <x:c r="J74" s="89"/>
      <x:c r="K74" s="89"/>
      <x:c r="L74" s="89"/>
      <x:c r="M74" s="89"/>
      <x:c r="N74" s="89"/>
      <x:c r="O74" s="89"/>
      <x:c r="P74" s="89"/>
      <x:c r="Q74" s="89"/>
      <x:c r="R74" s="89"/>
      <x:c r="S74" s="89"/>
      <x:c r="T74" s="89"/>
      <x:c r="U74" s="89"/>
      <x:c r="V74" s="89"/>
      <x:c r="W74" s="89"/>
      <x:c r="X74" s="89"/>
      <x:c r="Y74" s="89"/>
      <x:c r="Z74" s="89"/>
    </x:row>
    <x:row r="75">
      <x:c r="A75" s="114"/>
      <x:c r="B75" s="95"/>
      <x:c r="C75" s="95"/>
      <x:c r="D75" s="95"/>
      <x:c r="E75" s="95"/>
      <x:c r="F75" s="95"/>
      <x:c r="G75" s="95"/>
      <x:c r="H75" s="95"/>
      <x:c r="I75" s="95"/>
      <x:c r="J75" s="89"/>
      <x:c r="K75" s="89"/>
      <x:c r="L75" s="89"/>
      <x:c r="M75" s="89"/>
      <x:c r="N75" s="89"/>
      <x:c r="O75" s="89"/>
      <x:c r="P75" s="89"/>
      <x:c r="Q75" s="89"/>
      <x:c r="R75" s="89"/>
      <x:c r="S75" s="89"/>
      <x:c r="T75" s="89"/>
      <x:c r="U75" s="89"/>
      <x:c r="V75" s="89"/>
      <x:c r="W75" s="89"/>
      <x:c r="X75" s="89"/>
      <x:c r="Y75" s="89"/>
      <x:c r="Z75" s="89"/>
    </x:row>
    <x:row r="76">
      <x:c r="A76" s="114"/>
      <x:c r="B76" s="95"/>
      <x:c r="C76" s="95"/>
      <x:c r="D76" s="95"/>
      <x:c r="E76" s="95"/>
      <x:c r="F76" s="95"/>
      <x:c r="G76" s="95"/>
      <x:c r="H76" s="95"/>
      <x:c r="I76" s="95"/>
      <x:c r="J76" s="89"/>
      <x:c r="K76" s="89"/>
      <x:c r="L76" s="89"/>
      <x:c r="M76" s="89"/>
      <x:c r="N76" s="89"/>
      <x:c r="O76" s="89"/>
      <x:c r="P76" s="89"/>
      <x:c r="Q76" s="89"/>
      <x:c r="R76" s="89"/>
      <x:c r="S76" s="89"/>
      <x:c r="T76" s="89"/>
      <x:c r="U76" s="89"/>
      <x:c r="V76" s="89"/>
      <x:c r="W76" s="89"/>
      <x:c r="X76" s="89"/>
      <x:c r="Y76" s="89"/>
      <x:c r="Z76" s="89"/>
    </x:row>
    <x:row r="77">
      <x:c r="A77" s="114"/>
      <x:c r="B77" s="95"/>
      <x:c r="C77" s="95"/>
      <x:c r="D77" s="95"/>
      <x:c r="E77" s="95"/>
      <x:c r="F77" s="95"/>
      <x:c r="G77" s="95"/>
      <x:c r="H77" s="95"/>
      <x:c r="I77" s="95"/>
      <x:c r="J77" s="89"/>
      <x:c r="K77" s="89"/>
      <x:c r="L77" s="89"/>
      <x:c r="M77" s="89"/>
      <x:c r="N77" s="89"/>
      <x:c r="O77" s="89"/>
      <x:c r="P77" s="89"/>
      <x:c r="Q77" s="89"/>
      <x:c r="R77" s="89"/>
      <x:c r="S77" s="89"/>
      <x:c r="T77" s="89"/>
      <x:c r="U77" s="89"/>
      <x:c r="V77" s="89"/>
      <x:c r="W77" s="89"/>
      <x:c r="X77" s="89"/>
      <x:c r="Y77" s="89"/>
      <x:c r="Z77" s="89"/>
    </x:row>
    <x:row r="78">
      <x:c r="A78" s="114"/>
      <x:c r="B78" s="95"/>
      <x:c r="C78" s="95"/>
      <x:c r="D78" s="95"/>
      <x:c r="E78" s="95"/>
      <x:c r="F78" s="95"/>
      <x:c r="G78" s="95"/>
      <x:c r="H78" s="95"/>
      <x:c r="I78" s="95"/>
      <x:c r="J78" s="89"/>
      <x:c r="K78" s="89"/>
      <x:c r="L78" s="89"/>
      <x:c r="M78" s="89"/>
      <x:c r="N78" s="89"/>
      <x:c r="O78" s="89"/>
      <x:c r="P78" s="89"/>
      <x:c r="Q78" s="89"/>
      <x:c r="R78" s="89"/>
      <x:c r="S78" s="89"/>
      <x:c r="T78" s="89"/>
      <x:c r="U78" s="89"/>
      <x:c r="V78" s="89"/>
      <x:c r="W78" s="89"/>
      <x:c r="X78" s="89"/>
      <x:c r="Y78" s="89"/>
      <x:c r="Z78" s="89"/>
    </x:row>
    <x:row r="79">
      <x:c r="A79" s="114"/>
      <x:c r="B79" s="95"/>
      <x:c r="C79" s="95"/>
      <x:c r="D79" s="95"/>
      <x:c r="E79" s="95"/>
      <x:c r="F79" s="95"/>
      <x:c r="G79" s="95"/>
      <x:c r="H79" s="95"/>
      <x:c r="I79" s="95"/>
      <x:c r="J79" s="89"/>
      <x:c r="K79" s="89"/>
      <x:c r="L79" s="89"/>
      <x:c r="M79" s="89"/>
      <x:c r="N79" s="89"/>
      <x:c r="O79" s="89"/>
      <x:c r="P79" s="89"/>
      <x:c r="Q79" s="89"/>
      <x:c r="R79" s="89"/>
      <x:c r="S79" s="89"/>
      <x:c r="T79" s="89"/>
      <x:c r="U79" s="89"/>
      <x:c r="V79" s="89"/>
      <x:c r="W79" s="89"/>
      <x:c r="X79" s="89"/>
      <x:c r="Y79" s="89"/>
      <x:c r="Z79" s="89"/>
    </x:row>
    <x:row r="80">
      <x:c r="A80" s="114"/>
      <x:c r="B80" s="95"/>
      <x:c r="C80" s="95"/>
      <x:c r="D80" s="95"/>
      <x:c r="E80" s="95"/>
      <x:c r="F80" s="95"/>
      <x:c r="G80" s="95"/>
      <x:c r="H80" s="95"/>
      <x:c r="I80" s="95"/>
      <x:c r="J80" s="89"/>
      <x:c r="K80" s="89"/>
      <x:c r="L80" s="89"/>
      <x:c r="M80" s="89"/>
      <x:c r="N80" s="89"/>
      <x:c r="O80" s="89"/>
      <x:c r="P80" s="89"/>
      <x:c r="Q80" s="89"/>
      <x:c r="R80" s="89"/>
      <x:c r="S80" s="89"/>
      <x:c r="T80" s="89"/>
      <x:c r="U80" s="89"/>
      <x:c r="V80" s="89"/>
      <x:c r="W80" s="89"/>
      <x:c r="X80" s="89"/>
      <x:c r="Y80" s="89"/>
      <x:c r="Z80" s="89"/>
    </x:row>
    <x:row r="81">
      <x:c r="A81" s="114"/>
      <x:c r="B81" s="95"/>
      <x:c r="C81" s="95"/>
      <x:c r="D81" s="95"/>
      <x:c r="E81" s="95"/>
      <x:c r="F81" s="95"/>
      <x:c r="G81" s="95"/>
      <x:c r="H81" s="95"/>
      <x:c r="I81" s="95"/>
      <x:c r="J81" s="89"/>
      <x:c r="K81" s="89"/>
      <x:c r="L81" s="89"/>
      <x:c r="M81" s="89"/>
      <x:c r="N81" s="89"/>
      <x:c r="O81" s="89"/>
      <x:c r="P81" s="89"/>
      <x:c r="Q81" s="89"/>
      <x:c r="R81" s="89"/>
      <x:c r="S81" s="89"/>
      <x:c r="T81" s="89"/>
      <x:c r="U81" s="89"/>
      <x:c r="V81" s="89"/>
      <x:c r="W81" s="89"/>
      <x:c r="X81" s="89"/>
      <x:c r="Y81" s="89"/>
      <x:c r="Z81" s="89"/>
    </x:row>
    <x:row r="82">
      <x:c r="A82" s="114"/>
      <x:c r="B82" s="95"/>
      <x:c r="C82" s="95"/>
      <x:c r="D82" s="95"/>
      <x:c r="E82" s="95"/>
      <x:c r="F82" s="95"/>
      <x:c r="G82" s="95"/>
      <x:c r="H82" s="95"/>
      <x:c r="I82" s="95"/>
      <x:c r="J82" s="89"/>
      <x:c r="K82" s="89"/>
      <x:c r="L82" s="89"/>
      <x:c r="M82" s="89"/>
      <x:c r="N82" s="89"/>
      <x:c r="O82" s="89"/>
      <x:c r="P82" s="89"/>
      <x:c r="Q82" s="89"/>
      <x:c r="R82" s="89"/>
      <x:c r="S82" s="89"/>
      <x:c r="T82" s="89"/>
      <x:c r="U82" s="89"/>
      <x:c r="V82" s="89"/>
      <x:c r="W82" s="89"/>
      <x:c r="X82" s="89"/>
      <x:c r="Y82" s="89"/>
      <x:c r="Z82" s="89"/>
    </x:row>
    <x:row r="83">
      <x:c r="A83" s="114"/>
      <x:c r="B83" s="95"/>
      <x:c r="C83" s="95"/>
      <x:c r="D83" s="95"/>
      <x:c r="E83" s="95"/>
      <x:c r="F83" s="95"/>
      <x:c r="G83" s="95"/>
      <x:c r="H83" s="95"/>
      <x:c r="I83" s="95"/>
      <x:c r="J83" s="89"/>
      <x:c r="K83" s="89"/>
      <x:c r="L83" s="89"/>
      <x:c r="M83" s="89"/>
      <x:c r="N83" s="89"/>
      <x:c r="O83" s="89"/>
      <x:c r="P83" s="89"/>
      <x:c r="Q83" s="89"/>
      <x:c r="R83" s="89"/>
      <x:c r="S83" s="89"/>
      <x:c r="T83" s="89"/>
      <x:c r="U83" s="89"/>
      <x:c r="V83" s="89"/>
      <x:c r="W83" s="89"/>
      <x:c r="X83" s="89"/>
      <x:c r="Y83" s="89"/>
      <x:c r="Z83" s="89"/>
    </x:row>
    <x:row r="84">
      <x:c r="A84" s="114"/>
      <x:c r="B84" s="95"/>
      <x:c r="C84" s="95"/>
      <x:c r="D84" s="95"/>
      <x:c r="E84" s="95"/>
      <x:c r="F84" s="95"/>
      <x:c r="G84" s="95"/>
      <x:c r="H84" s="95"/>
      <x:c r="I84" s="95"/>
      <x:c r="J84" s="89"/>
      <x:c r="K84" s="89"/>
      <x:c r="L84" s="89"/>
      <x:c r="M84" s="89"/>
      <x:c r="N84" s="89"/>
      <x:c r="O84" s="89"/>
      <x:c r="P84" s="89"/>
      <x:c r="Q84" s="89"/>
      <x:c r="R84" s="89"/>
      <x:c r="S84" s="89"/>
      <x:c r="T84" s="89"/>
      <x:c r="U84" s="89"/>
      <x:c r="V84" s="89"/>
      <x:c r="W84" s="89"/>
      <x:c r="X84" s="89"/>
      <x:c r="Y84" s="89"/>
      <x:c r="Z84" s="89"/>
    </x:row>
    <x:row r="85">
      <x:c r="A85" s="114"/>
      <x:c r="B85" s="95"/>
      <x:c r="C85" s="95"/>
      <x:c r="D85" s="95"/>
      <x:c r="E85" s="95"/>
      <x:c r="F85" s="95"/>
      <x:c r="G85" s="95"/>
      <x:c r="H85" s="95"/>
      <x:c r="I85" s="95"/>
      <x:c r="J85" s="89"/>
      <x:c r="K85" s="89"/>
      <x:c r="L85" s="89"/>
      <x:c r="M85" s="89"/>
      <x:c r="N85" s="89"/>
      <x:c r="O85" s="89"/>
      <x:c r="P85" s="89"/>
      <x:c r="Q85" s="89"/>
      <x:c r="R85" s="89"/>
      <x:c r="S85" s="89"/>
      <x:c r="T85" s="89"/>
      <x:c r="U85" s="89"/>
      <x:c r="V85" s="89"/>
      <x:c r="W85" s="89"/>
      <x:c r="X85" s="89"/>
      <x:c r="Y85" s="89"/>
      <x:c r="Z85" s="89"/>
    </x:row>
    <x:row r="86">
      <x:c r="A86" s="114"/>
      <x:c r="B86" s="95"/>
      <x:c r="C86" s="95"/>
      <x:c r="D86" s="95"/>
      <x:c r="E86" s="95"/>
      <x:c r="F86" s="95"/>
      <x:c r="G86" s="95"/>
      <x:c r="H86" s="95"/>
      <x:c r="I86" s="95"/>
      <x:c r="J86" s="89"/>
      <x:c r="K86" s="89"/>
      <x:c r="L86" s="89"/>
      <x:c r="M86" s="89"/>
      <x:c r="N86" s="89"/>
      <x:c r="O86" s="89"/>
      <x:c r="P86" s="89"/>
      <x:c r="Q86" s="89"/>
      <x:c r="R86" s="89"/>
      <x:c r="S86" s="89"/>
      <x:c r="T86" s="89"/>
      <x:c r="U86" s="89"/>
      <x:c r="V86" s="89"/>
      <x:c r="W86" s="89"/>
      <x:c r="X86" s="89"/>
      <x:c r="Y86" s="89"/>
      <x:c r="Z86" s="89"/>
    </x:row>
    <x:row r="87">
      <x:c r="A87" s="114"/>
      <x:c r="B87" s="95"/>
      <x:c r="C87" s="95"/>
      <x:c r="D87" s="95"/>
      <x:c r="E87" s="95"/>
      <x:c r="F87" s="95"/>
      <x:c r="G87" s="95"/>
      <x:c r="H87" s="95"/>
      <x:c r="I87" s="95"/>
      <x:c r="J87" s="89"/>
      <x:c r="K87" s="89"/>
      <x:c r="L87" s="89"/>
      <x:c r="M87" s="89"/>
      <x:c r="N87" s="89"/>
      <x:c r="O87" s="89"/>
      <x:c r="P87" s="89"/>
      <x:c r="Q87" s="89"/>
      <x:c r="R87" s="89"/>
      <x:c r="S87" s="89"/>
      <x:c r="T87" s="89"/>
      <x:c r="U87" s="89"/>
      <x:c r="V87" s="89"/>
      <x:c r="W87" s="89"/>
      <x:c r="X87" s="89"/>
      <x:c r="Y87" s="89"/>
      <x:c r="Z87" s="89"/>
    </x:row>
    <x:row r="88">
      <x:c r="A88" s="114"/>
      <x:c r="B88" s="95"/>
      <x:c r="C88" s="95"/>
      <x:c r="D88" s="95"/>
      <x:c r="E88" s="95"/>
      <x:c r="F88" s="95"/>
      <x:c r="G88" s="95"/>
      <x:c r="H88" s="95"/>
      <x:c r="I88" s="95"/>
      <x:c r="J88" s="89"/>
      <x:c r="K88" s="89"/>
      <x:c r="L88" s="89"/>
      <x:c r="M88" s="89"/>
      <x:c r="N88" s="89"/>
      <x:c r="O88" s="89"/>
      <x:c r="P88" s="89"/>
      <x:c r="Q88" s="89"/>
      <x:c r="R88" s="89"/>
      <x:c r="S88" s="89"/>
      <x:c r="T88" s="89"/>
      <x:c r="U88" s="89"/>
      <x:c r="V88" s="89"/>
      <x:c r="W88" s="89"/>
      <x:c r="X88" s="89"/>
      <x:c r="Y88" s="89"/>
      <x:c r="Z88" s="89"/>
    </x:row>
    <x:row r="89">
      <x:c r="A89" s="114"/>
      <x:c r="B89" s="95"/>
      <x:c r="C89" s="95"/>
      <x:c r="D89" s="95"/>
      <x:c r="E89" s="95"/>
      <x:c r="F89" s="95"/>
      <x:c r="G89" s="95"/>
      <x:c r="H89" s="95"/>
      <x:c r="I89" s="95"/>
      <x:c r="J89" s="89"/>
      <x:c r="K89" s="89"/>
      <x:c r="L89" s="89"/>
      <x:c r="M89" s="89"/>
      <x:c r="N89" s="89"/>
      <x:c r="O89" s="89"/>
      <x:c r="P89" s="89"/>
      <x:c r="Q89" s="89"/>
      <x:c r="R89" s="89"/>
      <x:c r="S89" s="89"/>
      <x:c r="T89" s="89"/>
      <x:c r="U89" s="89"/>
      <x:c r="V89" s="89"/>
      <x:c r="W89" s="89"/>
      <x:c r="X89" s="89"/>
      <x:c r="Y89" s="89"/>
      <x:c r="Z89" s="89"/>
    </x:row>
    <x:row r="90">
      <x:c r="A90" s="114"/>
      <x:c r="B90" s="95"/>
      <x:c r="C90" s="95"/>
      <x:c r="D90" s="95"/>
      <x:c r="E90" s="95"/>
      <x:c r="F90" s="95"/>
      <x:c r="G90" s="95"/>
      <x:c r="H90" s="95"/>
      <x:c r="I90" s="95"/>
      <x:c r="J90" s="89"/>
      <x:c r="K90" s="89"/>
      <x:c r="L90" s="89"/>
      <x:c r="M90" s="89"/>
      <x:c r="N90" s="89"/>
      <x:c r="O90" s="89"/>
      <x:c r="P90" s="89"/>
      <x:c r="Q90" s="89"/>
      <x:c r="R90" s="89"/>
      <x:c r="S90" s="89"/>
      <x:c r="T90" s="89"/>
      <x:c r="U90" s="89"/>
      <x:c r="V90" s="89"/>
      <x:c r="W90" s="89"/>
      <x:c r="X90" s="89"/>
      <x:c r="Y90" s="89"/>
      <x:c r="Z90" s="89"/>
    </x:row>
    <x:row r="91">
      <x:c r="A91" s="114"/>
      <x:c r="B91" s="95"/>
      <x:c r="C91" s="95"/>
      <x:c r="D91" s="95"/>
      <x:c r="E91" s="95"/>
      <x:c r="F91" s="95"/>
      <x:c r="G91" s="95"/>
      <x:c r="H91" s="95"/>
      <x:c r="I91" s="95"/>
      <x:c r="J91" s="89"/>
      <x:c r="K91" s="89"/>
      <x:c r="L91" s="89"/>
      <x:c r="M91" s="89"/>
      <x:c r="N91" s="89"/>
      <x:c r="O91" s="89"/>
      <x:c r="P91" s="89"/>
      <x:c r="Q91" s="89"/>
      <x:c r="R91" s="89"/>
      <x:c r="S91" s="89"/>
      <x:c r="T91" s="89"/>
      <x:c r="U91" s="89"/>
      <x:c r="V91" s="89"/>
      <x:c r="W91" s="89"/>
      <x:c r="X91" s="89"/>
      <x:c r="Y91" s="89"/>
      <x:c r="Z91" s="89"/>
    </x:row>
    <x:row r="92">
      <x:c r="A92" s="114"/>
      <x:c r="B92" s="95"/>
      <x:c r="C92" s="95"/>
      <x:c r="D92" s="95"/>
      <x:c r="E92" s="95"/>
      <x:c r="F92" s="95"/>
      <x:c r="G92" s="95"/>
      <x:c r="H92" s="95"/>
      <x:c r="I92" s="95"/>
      <x:c r="J92" s="89"/>
      <x:c r="K92" s="89"/>
      <x:c r="L92" s="89"/>
      <x:c r="M92" s="89"/>
      <x:c r="N92" s="89"/>
      <x:c r="O92" s="89"/>
      <x:c r="P92" s="89"/>
      <x:c r="Q92" s="89"/>
      <x:c r="R92" s="89"/>
      <x:c r="S92" s="89"/>
      <x:c r="T92" s="89"/>
      <x:c r="U92" s="89"/>
      <x:c r="V92" s="89"/>
      <x:c r="W92" s="89"/>
      <x:c r="X92" s="89"/>
      <x:c r="Y92" s="89"/>
      <x:c r="Z92" s="89"/>
    </x:row>
    <x:row r="93">
      <x:c r="A93" s="114"/>
      <x:c r="B93" s="95"/>
      <x:c r="C93" s="95"/>
      <x:c r="D93" s="95"/>
      <x:c r="E93" s="95"/>
      <x:c r="F93" s="95"/>
      <x:c r="G93" s="95"/>
      <x:c r="H93" s="95"/>
      <x:c r="I93" s="95"/>
      <x:c r="J93" s="89"/>
      <x:c r="K93" s="89"/>
      <x:c r="L93" s="89"/>
      <x:c r="M93" s="89"/>
      <x:c r="N93" s="89"/>
      <x:c r="O93" s="89"/>
      <x:c r="P93" s="89"/>
      <x:c r="Q93" s="89"/>
      <x:c r="R93" s="89"/>
      <x:c r="S93" s="89"/>
      <x:c r="T93" s="89"/>
      <x:c r="U93" s="89"/>
      <x:c r="V93" s="89"/>
      <x:c r="W93" s="89"/>
      <x:c r="X93" s="89"/>
      <x:c r="Y93" s="89"/>
      <x:c r="Z93" s="89"/>
    </x:row>
    <x:row r="94">
      <x:c r="A94" s="114"/>
      <x:c r="B94" s="95"/>
      <x:c r="C94" s="95"/>
      <x:c r="D94" s="95"/>
      <x:c r="E94" s="95"/>
      <x:c r="F94" s="95"/>
      <x:c r="G94" s="95"/>
      <x:c r="H94" s="95"/>
      <x:c r="I94" s="95"/>
      <x:c r="J94" s="89"/>
      <x:c r="K94" s="89"/>
      <x:c r="L94" s="89"/>
      <x:c r="M94" s="89"/>
      <x:c r="N94" s="89"/>
      <x:c r="O94" s="89"/>
      <x:c r="P94" s="89"/>
      <x:c r="Q94" s="89"/>
      <x:c r="R94" s="89"/>
      <x:c r="S94" s="89"/>
      <x:c r="T94" s="89"/>
      <x:c r="U94" s="89"/>
      <x:c r="V94" s="89"/>
      <x:c r="W94" s="89"/>
      <x:c r="X94" s="89"/>
      <x:c r="Y94" s="89"/>
      <x:c r="Z94" s="89"/>
    </x:row>
    <x:row r="95">
      <x:c r="A95" s="114"/>
      <x:c r="B95" s="95"/>
      <x:c r="C95" s="95"/>
      <x:c r="D95" s="95"/>
      <x:c r="E95" s="95"/>
      <x:c r="F95" s="95"/>
      <x:c r="G95" s="95"/>
      <x:c r="H95" s="95"/>
      <x:c r="I95" s="95"/>
      <x:c r="J95" s="89"/>
      <x:c r="K95" s="89"/>
      <x:c r="L95" s="89"/>
      <x:c r="M95" s="89"/>
      <x:c r="N95" s="89"/>
      <x:c r="O95" s="89"/>
      <x:c r="P95" s="89"/>
      <x:c r="Q95" s="89"/>
      <x:c r="R95" s="89"/>
      <x:c r="S95" s="89"/>
      <x:c r="T95" s="89"/>
      <x:c r="U95" s="89"/>
      <x:c r="V95" s="89"/>
      <x:c r="W95" s="89"/>
      <x:c r="X95" s="89"/>
      <x:c r="Y95" s="89"/>
      <x:c r="Z95" s="89"/>
    </x:row>
    <x:row r="96">
      <x:c r="A96" s="114"/>
      <x:c r="B96" s="95"/>
      <x:c r="C96" s="95"/>
      <x:c r="D96" s="95"/>
      <x:c r="E96" s="95"/>
      <x:c r="F96" s="95"/>
      <x:c r="G96" s="95"/>
      <x:c r="H96" s="95"/>
      <x:c r="I96" s="95"/>
      <x:c r="J96" s="89"/>
      <x:c r="K96" s="89"/>
      <x:c r="L96" s="89"/>
      <x:c r="M96" s="89"/>
      <x:c r="N96" s="89"/>
      <x:c r="O96" s="89"/>
      <x:c r="P96" s="89"/>
      <x:c r="Q96" s="89"/>
      <x:c r="R96" s="89"/>
      <x:c r="S96" s="89"/>
      <x:c r="T96" s="89"/>
      <x:c r="U96" s="89"/>
      <x:c r="V96" s="89"/>
      <x:c r="W96" s="89"/>
      <x:c r="X96" s="89"/>
      <x:c r="Y96" s="89"/>
      <x:c r="Z96" s="89"/>
    </x:row>
    <x:row r="97">
      <x:c r="A97" s="114"/>
      <x:c r="B97" s="95"/>
      <x:c r="C97" s="95"/>
      <x:c r="D97" s="95"/>
      <x:c r="E97" s="95"/>
      <x:c r="F97" s="95"/>
      <x:c r="G97" s="95"/>
      <x:c r="H97" s="95"/>
      <x:c r="I97" s="95"/>
      <x:c r="J97" s="89"/>
      <x:c r="K97" s="89"/>
      <x:c r="L97" s="89"/>
      <x:c r="M97" s="89"/>
      <x:c r="N97" s="89"/>
      <x:c r="O97" s="89"/>
      <x:c r="P97" s="89"/>
      <x:c r="Q97" s="89"/>
      <x:c r="R97" s="89"/>
      <x:c r="S97" s="89"/>
      <x:c r="T97" s="89"/>
      <x:c r="U97" s="89"/>
      <x:c r="V97" s="89"/>
      <x:c r="W97" s="89"/>
      <x:c r="X97" s="89"/>
      <x:c r="Y97" s="89"/>
      <x:c r="Z97" s="89"/>
    </x:row>
    <x:row r="98">
      <x:c r="A98" s="114"/>
      <x:c r="B98" s="95"/>
      <x:c r="C98" s="95"/>
      <x:c r="D98" s="95"/>
      <x:c r="E98" s="95"/>
      <x:c r="F98" s="95"/>
      <x:c r="G98" s="95"/>
      <x:c r="H98" s="95"/>
      <x:c r="I98" s="95"/>
      <x:c r="J98" s="89"/>
      <x:c r="K98" s="89"/>
      <x:c r="L98" s="89"/>
      <x:c r="M98" s="89"/>
      <x:c r="N98" s="89"/>
      <x:c r="O98" s="89"/>
      <x:c r="P98" s="89"/>
      <x:c r="Q98" s="89"/>
      <x:c r="R98" s="89"/>
      <x:c r="S98" s="89"/>
      <x:c r="T98" s="89"/>
      <x:c r="U98" s="89"/>
      <x:c r="V98" s="89"/>
      <x:c r="W98" s="89"/>
      <x:c r="X98" s="89"/>
      <x:c r="Y98" s="89"/>
      <x:c r="Z98" s="89"/>
    </x:row>
    <x:row r="99">
      <x:c r="A99" s="114"/>
      <x:c r="B99" s="95"/>
      <x:c r="C99" s="95"/>
      <x:c r="D99" s="95"/>
      <x:c r="E99" s="95"/>
      <x:c r="F99" s="95"/>
      <x:c r="G99" s="95"/>
      <x:c r="H99" s="95"/>
      <x:c r="I99" s="95"/>
      <x:c r="J99" s="89"/>
      <x:c r="K99" s="89"/>
      <x:c r="L99" s="89"/>
      <x:c r="M99" s="89"/>
      <x:c r="N99" s="89"/>
      <x:c r="O99" s="89"/>
      <x:c r="P99" s="89"/>
      <x:c r="Q99" s="89"/>
      <x:c r="R99" s="89"/>
      <x:c r="S99" s="89"/>
      <x:c r="T99" s="89"/>
      <x:c r="U99" s="89"/>
      <x:c r="V99" s="89"/>
      <x:c r="W99" s="89"/>
      <x:c r="X99" s="89"/>
      <x:c r="Y99" s="89"/>
      <x:c r="Z99" s="89"/>
    </x:row>
    <x:row r="100">
      <x:c r="A100" s="114"/>
      <x:c r="B100" s="95"/>
      <x:c r="C100" s="95"/>
      <x:c r="D100" s="95"/>
      <x:c r="E100" s="95"/>
      <x:c r="F100" s="95"/>
      <x:c r="G100" s="95"/>
      <x:c r="H100" s="95"/>
      <x:c r="I100" s="95"/>
      <x:c r="J100" s="89"/>
      <x:c r="K100" s="89"/>
      <x:c r="L100" s="89"/>
      <x:c r="M100" s="89"/>
      <x:c r="N100" s="89"/>
      <x:c r="O100" s="89"/>
      <x:c r="P100" s="89"/>
      <x:c r="Q100" s="89"/>
      <x:c r="R100" s="89"/>
      <x:c r="S100" s="89"/>
      <x:c r="T100" s="89"/>
      <x:c r="U100" s="89"/>
      <x:c r="V100" s="89"/>
      <x:c r="W100" s="89"/>
      <x:c r="X100" s="89"/>
      <x:c r="Y100" s="89"/>
      <x:c r="Z100" s="89"/>
    </x:row>
    <x:row r="101">
      <x:c r="A101" s="114"/>
      <x:c r="B101" s="95"/>
      <x:c r="C101" s="95"/>
      <x:c r="D101" s="95"/>
      <x:c r="E101" s="95"/>
      <x:c r="F101" s="95"/>
      <x:c r="G101" s="95"/>
      <x:c r="H101" s="95"/>
      <x:c r="I101" s="95"/>
      <x:c r="J101" s="89"/>
      <x:c r="K101" s="89"/>
      <x:c r="L101" s="89"/>
      <x:c r="M101" s="89"/>
      <x:c r="N101" s="89"/>
      <x:c r="O101" s="89"/>
      <x:c r="P101" s="89"/>
      <x:c r="Q101" s="89"/>
      <x:c r="R101" s="89"/>
      <x:c r="S101" s="89"/>
      <x:c r="T101" s="89"/>
      <x:c r="U101" s="89"/>
      <x:c r="V101" s="89"/>
      <x:c r="W101" s="89"/>
      <x:c r="X101" s="89"/>
      <x:c r="Y101" s="89"/>
      <x:c r="Z101" s="89"/>
    </x:row>
    <x:row r="102">
      <x:c r="A102" s="114"/>
      <x:c r="B102" s="95"/>
      <x:c r="C102" s="95"/>
      <x:c r="D102" s="95"/>
      <x:c r="E102" s="95"/>
      <x:c r="F102" s="95"/>
      <x:c r="G102" s="95"/>
      <x:c r="H102" s="95"/>
      <x:c r="I102" s="95"/>
      <x:c r="J102" s="89"/>
      <x:c r="K102" s="89"/>
      <x:c r="L102" s="89"/>
      <x:c r="M102" s="89"/>
      <x:c r="N102" s="89"/>
      <x:c r="O102" s="89"/>
      <x:c r="P102" s="89"/>
      <x:c r="Q102" s="89"/>
      <x:c r="R102" s="89"/>
      <x:c r="S102" s="89"/>
      <x:c r="T102" s="89"/>
      <x:c r="U102" s="89"/>
      <x:c r="V102" s="89"/>
      <x:c r="W102" s="89"/>
      <x:c r="X102" s="89"/>
      <x:c r="Y102" s="89"/>
      <x:c r="Z102" s="89"/>
    </x:row>
    <x:row r="103">
      <x:c r="A103" s="114"/>
      <x:c r="B103" s="95"/>
      <x:c r="C103" s="95"/>
      <x:c r="D103" s="95"/>
      <x:c r="E103" s="95"/>
      <x:c r="F103" s="95"/>
      <x:c r="G103" s="95"/>
      <x:c r="H103" s="95"/>
      <x:c r="I103" s="95"/>
      <x:c r="J103" s="89"/>
      <x:c r="K103" s="89"/>
      <x:c r="L103" s="89"/>
      <x:c r="M103" s="89"/>
      <x:c r="N103" s="89"/>
      <x:c r="O103" s="89"/>
      <x:c r="P103" s="89"/>
      <x:c r="Q103" s="89"/>
      <x:c r="R103" s="89"/>
      <x:c r="S103" s="89"/>
      <x:c r="T103" s="89"/>
      <x:c r="U103" s="89"/>
      <x:c r="V103" s="89"/>
      <x:c r="W103" s="89"/>
      <x:c r="X103" s="89"/>
      <x:c r="Y103" s="89"/>
      <x:c r="Z103" s="89"/>
    </x:row>
    <x:row r="104">
      <x:c r="A104" s="89"/>
      <x:c r="B104" s="89"/>
      <x:c r="C104" s="89"/>
      <x:c r="D104" s="89"/>
      <x:c r="E104" s="89"/>
      <x:c r="F104" s="89"/>
      <x:c r="G104" s="89"/>
      <x:c r="H104" s="89"/>
      <x:c r="I104" s="89"/>
      <x:c r="J104" s="89"/>
      <x:c r="K104" s="89"/>
      <x:c r="L104" s="89"/>
      <x:c r="M104" s="89"/>
      <x:c r="N104" s="89"/>
      <x:c r="O104" s="89"/>
      <x:c r="P104" s="89"/>
      <x:c r="Q104" s="89"/>
      <x:c r="R104" s="89"/>
      <x:c r="S104" s="89"/>
      <x:c r="T104" s="89"/>
      <x:c r="U104" s="89"/>
      <x:c r="V104" s="89"/>
      <x:c r="W104" s="89"/>
      <x:c r="X104" s="89"/>
      <x:c r="Y104" s="89"/>
      <x:c r="Z104" s="89"/>
    </x:row>
    <x:row r="105">
      <x:c r="A105" s="89"/>
      <x:c r="B105" s="89"/>
      <x:c r="C105" s="89"/>
      <x:c r="D105" s="89"/>
      <x:c r="E105" s="89"/>
      <x:c r="F105" s="89"/>
      <x:c r="G105" s="89"/>
      <x:c r="H105" s="89"/>
      <x:c r="I105" s="89"/>
      <x:c r="J105" s="89"/>
      <x:c r="K105" s="89"/>
      <x:c r="L105" s="89"/>
      <x:c r="M105" s="89"/>
      <x:c r="N105" s="89"/>
      <x:c r="O105" s="89"/>
      <x:c r="P105" s="89"/>
      <x:c r="Q105" s="89"/>
      <x:c r="R105" s="89"/>
      <x:c r="S105" s="89"/>
      <x:c r="T105" s="89"/>
      <x:c r="U105" s="89"/>
      <x:c r="V105" s="89"/>
      <x:c r="W105" s="89"/>
      <x:c r="X105" s="89"/>
      <x:c r="Y105" s="89"/>
      <x:c r="Z105" s="89"/>
    </x:row>
    <x:row r="106">
      <x:c r="A106" s="89"/>
      <x:c r="B106" s="89"/>
      <x:c r="C106" s="89"/>
      <x:c r="D106" s="89"/>
      <x:c r="E106" s="89"/>
      <x:c r="F106" s="89"/>
      <x:c r="G106" s="89"/>
      <x:c r="H106" s="89"/>
      <x:c r="I106" s="89"/>
      <x:c r="J106" s="89"/>
      <x:c r="K106" s="89"/>
      <x:c r="L106" s="89"/>
      <x:c r="M106" s="89"/>
      <x:c r="N106" s="89"/>
      <x:c r="O106" s="89"/>
      <x:c r="P106" s="89"/>
      <x:c r="Q106" s="89"/>
      <x:c r="R106" s="89"/>
      <x:c r="S106" s="89"/>
      <x:c r="T106" s="89"/>
      <x:c r="U106" s="89"/>
      <x:c r="V106" s="89"/>
      <x:c r="W106" s="89"/>
      <x:c r="X106" s="89"/>
      <x:c r="Y106" s="89"/>
      <x:c r="Z106" s="89"/>
    </x:row>
    <x:row r="107">
      <x:c r="A107" s="89"/>
      <x:c r="B107" s="89"/>
      <x:c r="C107" s="89"/>
      <x:c r="D107" s="89"/>
      <x:c r="E107" s="89"/>
      <x:c r="F107" s="89"/>
      <x:c r="G107" s="89"/>
      <x:c r="H107" s="89"/>
      <x:c r="I107" s="89"/>
      <x:c r="J107" s="89"/>
      <x:c r="K107" s="89"/>
      <x:c r="L107" s="89"/>
      <x:c r="M107" s="89"/>
      <x:c r="N107" s="89"/>
      <x:c r="O107" s="89"/>
      <x:c r="P107" s="89"/>
      <x:c r="Q107" s="89"/>
      <x:c r="R107" s="89"/>
      <x:c r="S107" s="89"/>
      <x:c r="T107" s="89"/>
      <x:c r="U107" s="89"/>
      <x:c r="V107" s="89"/>
      <x:c r="W107" s="89"/>
      <x:c r="X107" s="89"/>
      <x:c r="Y107" s="89"/>
      <x:c r="Z107" s="89"/>
    </x:row>
    <x:row r="108">
      <x:c r="A108" s="89"/>
      <x:c r="B108" s="89"/>
      <x:c r="C108" s="89"/>
      <x:c r="D108" s="89"/>
      <x:c r="E108" s="89"/>
      <x:c r="F108" s="89"/>
      <x:c r="G108" s="89"/>
      <x:c r="H108" s="89"/>
      <x:c r="I108" s="89"/>
      <x:c r="J108" s="89"/>
      <x:c r="K108" s="89"/>
      <x:c r="L108" s="89"/>
      <x:c r="M108" s="89"/>
      <x:c r="N108" s="89"/>
      <x:c r="O108" s="89"/>
      <x:c r="P108" s="89"/>
      <x:c r="Q108" s="89"/>
      <x:c r="R108" s="89"/>
      <x:c r="S108" s="89"/>
      <x:c r="T108" s="89"/>
      <x:c r="U108" s="89"/>
      <x:c r="V108" s="89"/>
      <x:c r="W108" s="89"/>
      <x:c r="X108" s="89"/>
      <x:c r="Y108" s="89"/>
      <x:c r="Z108" s="89"/>
    </x:row>
    <x:row r="109">
      <x:c r="A109" s="89"/>
      <x:c r="B109" s="89"/>
      <x:c r="C109" s="89"/>
      <x:c r="D109" s="89"/>
      <x:c r="E109" s="89"/>
      <x:c r="F109" s="89"/>
      <x:c r="G109" s="89"/>
      <x:c r="H109" s="89"/>
      <x:c r="I109" s="89"/>
      <x:c r="J109" s="89"/>
      <x:c r="K109" s="89"/>
      <x:c r="L109" s="89"/>
      <x:c r="M109" s="89"/>
      <x:c r="N109" s="89"/>
      <x:c r="O109" s="89"/>
      <x:c r="P109" s="89"/>
      <x:c r="Q109" s="89"/>
      <x:c r="R109" s="89"/>
      <x:c r="S109" s="89"/>
      <x:c r="T109" s="89"/>
      <x:c r="U109" s="89"/>
      <x:c r="V109" s="89"/>
      <x:c r="W109" s="89"/>
      <x:c r="X109" s="89"/>
      <x:c r="Y109" s="89"/>
      <x:c r="Z109" s="89"/>
    </x:row>
    <x:row r="110">
      <x:c r="A110" s="89"/>
      <x:c r="B110" s="89"/>
      <x:c r="C110" s="89"/>
      <x:c r="D110" s="89"/>
      <x:c r="E110" s="89"/>
      <x:c r="F110" s="89"/>
      <x:c r="G110" s="89"/>
      <x:c r="H110" s="89"/>
      <x:c r="I110" s="89"/>
      <x:c r="J110" s="89"/>
      <x:c r="K110" s="89"/>
      <x:c r="L110" s="89"/>
      <x:c r="M110" s="89"/>
      <x:c r="N110" s="89"/>
      <x:c r="O110" s="89"/>
      <x:c r="P110" s="89"/>
      <x:c r="Q110" s="89"/>
      <x:c r="R110" s="89"/>
      <x:c r="S110" s="89"/>
      <x:c r="T110" s="89"/>
      <x:c r="U110" s="89"/>
      <x:c r="V110" s="89"/>
      <x:c r="W110" s="89"/>
      <x:c r="X110" s="89"/>
      <x:c r="Y110" s="89"/>
      <x:c r="Z110" s="89"/>
    </x:row>
    <x:row r="111">
      <x:c r="A111" s="89"/>
      <x:c r="B111" s="89"/>
      <x:c r="C111" s="89"/>
      <x:c r="D111" s="89"/>
      <x:c r="E111" s="89"/>
      <x:c r="F111" s="89"/>
      <x:c r="G111" s="89"/>
      <x:c r="H111" s="89"/>
      <x:c r="I111" s="89"/>
      <x:c r="J111" s="89"/>
      <x:c r="K111" s="89"/>
      <x:c r="L111" s="89"/>
      <x:c r="M111" s="89"/>
      <x:c r="N111" s="89"/>
      <x:c r="O111" s="89"/>
      <x:c r="P111" s="89"/>
      <x:c r="Q111" s="89"/>
      <x:c r="R111" s="89"/>
      <x:c r="S111" s="89"/>
      <x:c r="T111" s="89"/>
      <x:c r="U111" s="89"/>
      <x:c r="V111" s="89"/>
      <x:c r="W111" s="89"/>
      <x:c r="X111" s="89"/>
      <x:c r="Y111" s="89"/>
      <x:c r="Z111" s="89"/>
    </x:row>
    <x:row r="112">
      <x:c r="A112" s="89"/>
      <x:c r="B112" s="89"/>
      <x:c r="C112" s="89"/>
      <x:c r="D112" s="89"/>
      <x:c r="E112" s="89"/>
      <x:c r="F112" s="89"/>
      <x:c r="G112" s="89"/>
      <x:c r="H112" s="89"/>
      <x:c r="I112" s="89"/>
      <x:c r="J112" s="89"/>
      <x:c r="K112" s="89"/>
      <x:c r="L112" s="89"/>
      <x:c r="M112" s="89"/>
      <x:c r="N112" s="89"/>
      <x:c r="O112" s="89"/>
      <x:c r="P112" s="89"/>
      <x:c r="Q112" s="89"/>
      <x:c r="R112" s="89"/>
      <x:c r="S112" s="89"/>
      <x:c r="T112" s="89"/>
      <x:c r="U112" s="89"/>
      <x:c r="V112" s="89"/>
      <x:c r="W112" s="89"/>
      <x:c r="X112" s="89"/>
      <x:c r="Y112" s="89"/>
      <x:c r="Z112" s="89"/>
    </x:row>
    <x:row r="113">
      <x:c r="A113" s="89"/>
      <x:c r="B113" s="89"/>
      <x:c r="C113" s="89"/>
      <x:c r="D113" s="89"/>
      <x:c r="E113" s="89"/>
      <x:c r="F113" s="89"/>
      <x:c r="G113" s="89"/>
      <x:c r="H113" s="89"/>
      <x:c r="I113" s="89"/>
      <x:c r="J113" s="89"/>
      <x:c r="K113" s="89"/>
      <x:c r="L113" s="89"/>
      <x:c r="M113" s="89"/>
      <x:c r="N113" s="89"/>
      <x:c r="O113" s="89"/>
      <x:c r="P113" s="89"/>
      <x:c r="Q113" s="89"/>
      <x:c r="R113" s="89"/>
      <x:c r="S113" s="89"/>
      <x:c r="T113" s="89"/>
      <x:c r="U113" s="89"/>
      <x:c r="V113" s="89"/>
      <x:c r="W113" s="89"/>
      <x:c r="X113" s="89"/>
      <x:c r="Y113" s="89"/>
      <x:c r="Z113" s="89"/>
    </x:row>
    <x:row r="114">
      <x:c r="A114" s="89"/>
      <x:c r="B114" s="89"/>
      <x:c r="C114" s="89"/>
      <x:c r="D114" s="89"/>
      <x:c r="E114" s="89"/>
      <x:c r="F114" s="89"/>
      <x:c r="G114" s="89"/>
      <x:c r="H114" s="89"/>
      <x:c r="I114" s="89"/>
      <x:c r="J114" s="89"/>
      <x:c r="K114" s="89"/>
      <x:c r="L114" s="89"/>
      <x:c r="M114" s="89"/>
      <x:c r="N114" s="89"/>
      <x:c r="O114" s="89"/>
      <x:c r="P114" s="89"/>
      <x:c r="Q114" s="89"/>
      <x:c r="R114" s="89"/>
      <x:c r="S114" s="89"/>
      <x:c r="T114" s="89"/>
      <x:c r="U114" s="89"/>
      <x:c r="V114" s="89"/>
      <x:c r="W114" s="89"/>
      <x:c r="X114" s="89"/>
      <x:c r="Y114" s="89"/>
      <x:c r="Z114" s="89"/>
    </x:row>
    <x:row r="115">
      <x:c r="A115" s="89"/>
      <x:c r="B115" s="89"/>
      <x:c r="C115" s="89"/>
      <x:c r="D115" s="89"/>
      <x:c r="E115" s="89"/>
      <x:c r="F115" s="89"/>
      <x:c r="G115" s="89"/>
      <x:c r="H115" s="89"/>
      <x:c r="I115" s="89"/>
      <x:c r="J115" s="89"/>
      <x:c r="K115" s="89"/>
      <x:c r="L115" s="89"/>
      <x:c r="M115" s="89"/>
      <x:c r="N115" s="89"/>
      <x:c r="O115" s="89"/>
      <x:c r="P115" s="89"/>
      <x:c r="Q115" s="89"/>
      <x:c r="R115" s="89"/>
      <x:c r="S115" s="89"/>
      <x:c r="T115" s="89"/>
      <x:c r="U115" s="89"/>
      <x:c r="V115" s="89"/>
      <x:c r="W115" s="89"/>
      <x:c r="X115" s="89"/>
      <x:c r="Y115" s="89"/>
      <x:c r="Z115" s="89"/>
    </x:row>
    <x:row r="116">
      <x:c r="A116" s="89"/>
      <x:c r="B116" s="89"/>
      <x:c r="C116" s="89"/>
      <x:c r="D116" s="89"/>
      <x:c r="E116" s="89"/>
      <x:c r="F116" s="89"/>
      <x:c r="G116" s="89"/>
      <x:c r="H116" s="89"/>
      <x:c r="I116" s="89"/>
      <x:c r="J116" s="89"/>
      <x:c r="K116" s="89"/>
      <x:c r="L116" s="89"/>
      <x:c r="M116" s="89"/>
      <x:c r="N116" s="89"/>
      <x:c r="O116" s="89"/>
      <x:c r="P116" s="89"/>
      <x:c r="Q116" s="89"/>
      <x:c r="R116" s="89"/>
      <x:c r="S116" s="89"/>
      <x:c r="T116" s="89"/>
      <x:c r="U116" s="89"/>
      <x:c r="V116" s="89"/>
      <x:c r="W116" s="89"/>
      <x:c r="X116" s="89"/>
      <x:c r="Y116" s="89"/>
      <x:c r="Z116" s="89"/>
    </x:row>
    <x:row r="117">
      <x:c r="A117" s="89"/>
      <x:c r="B117" s="89"/>
      <x:c r="C117" s="89"/>
      <x:c r="D117" s="89"/>
      <x:c r="E117" s="89"/>
      <x:c r="F117" s="89"/>
      <x:c r="G117" s="89"/>
      <x:c r="H117" s="89"/>
      <x:c r="I117" s="89"/>
      <x:c r="J117" s="89"/>
      <x:c r="K117" s="89"/>
      <x:c r="L117" s="89"/>
      <x:c r="M117" s="89"/>
      <x:c r="N117" s="89"/>
      <x:c r="O117" s="89"/>
      <x:c r="P117" s="89"/>
      <x:c r="Q117" s="89"/>
      <x:c r="R117" s="89"/>
      <x:c r="S117" s="89"/>
      <x:c r="T117" s="89"/>
      <x:c r="U117" s="89"/>
      <x:c r="V117" s="89"/>
      <x:c r="W117" s="89"/>
      <x:c r="X117" s="89"/>
      <x:c r="Y117" s="89"/>
      <x:c r="Z117" s="89"/>
    </x:row>
    <x:row r="118">
      <x:c r="A118" s="89"/>
      <x:c r="B118" s="89"/>
      <x:c r="C118" s="89"/>
      <x:c r="D118" s="89"/>
      <x:c r="E118" s="89"/>
      <x:c r="F118" s="89"/>
      <x:c r="G118" s="89"/>
      <x:c r="H118" s="89"/>
      <x:c r="I118" s="89"/>
      <x:c r="J118" s="89"/>
      <x:c r="K118" s="89"/>
      <x:c r="L118" s="89"/>
      <x:c r="M118" s="89"/>
      <x:c r="N118" s="89"/>
      <x:c r="O118" s="89"/>
      <x:c r="P118" s="89"/>
      <x:c r="Q118" s="89"/>
      <x:c r="R118" s="89"/>
      <x:c r="S118" s="89"/>
      <x:c r="T118" s="89"/>
      <x:c r="U118" s="89"/>
      <x:c r="V118" s="89"/>
      <x:c r="W118" s="89"/>
      <x:c r="X118" s="89"/>
      <x:c r="Y118" s="89"/>
      <x:c r="Z118" s="89"/>
    </x:row>
    <x:row r="119">
      <x:c r="A119" s="89"/>
      <x:c r="B119" s="89"/>
      <x:c r="C119" s="89"/>
      <x:c r="D119" s="89"/>
      <x:c r="E119" s="89"/>
      <x:c r="F119" s="89"/>
      <x:c r="G119" s="89"/>
      <x:c r="H119" s="89"/>
      <x:c r="I119" s="89"/>
      <x:c r="J119" s="89"/>
      <x:c r="K119" s="89"/>
      <x:c r="L119" s="89"/>
      <x:c r="M119" s="89"/>
      <x:c r="N119" s="89"/>
      <x:c r="O119" s="89"/>
      <x:c r="P119" s="89"/>
      <x:c r="Q119" s="89"/>
      <x:c r="R119" s="89"/>
      <x:c r="S119" s="89"/>
      <x:c r="T119" s="89"/>
      <x:c r="U119" s="89"/>
      <x:c r="V119" s="89"/>
      <x:c r="W119" s="89"/>
      <x:c r="X119" s="89"/>
      <x:c r="Y119" s="89"/>
      <x:c r="Z119" s="89"/>
    </x:row>
    <x:row r="120">
      <x:c r="A120" s="89"/>
      <x:c r="B120" s="89"/>
      <x:c r="C120" s="89"/>
      <x:c r="D120" s="89"/>
      <x:c r="E120" s="89"/>
      <x:c r="F120" s="89"/>
      <x:c r="G120" s="89"/>
      <x:c r="H120" s="89"/>
      <x:c r="I120" s="89"/>
      <x:c r="J120" s="89"/>
      <x:c r="K120" s="89"/>
      <x:c r="L120" s="89"/>
      <x:c r="M120" s="89"/>
      <x:c r="N120" s="89"/>
      <x:c r="O120" s="89"/>
      <x:c r="P120" s="89"/>
      <x:c r="Q120" s="89"/>
      <x:c r="R120" s="89"/>
      <x:c r="S120" s="89"/>
      <x:c r="T120" s="89"/>
      <x:c r="U120" s="89"/>
      <x:c r="V120" s="89"/>
      <x:c r="W120" s="89"/>
      <x:c r="X120" s="89"/>
      <x:c r="Y120" s="89"/>
      <x:c r="Z120" s="89"/>
    </x:row>
    <x:row r="121">
      <x:c r="A121" s="89"/>
      <x:c r="B121" s="89"/>
      <x:c r="C121" s="89"/>
      <x:c r="D121" s="89"/>
      <x:c r="E121" s="89"/>
      <x:c r="F121" s="89"/>
      <x:c r="G121" s="89"/>
      <x:c r="H121" s="89"/>
      <x:c r="I121" s="89"/>
      <x:c r="J121" s="89"/>
      <x:c r="K121" s="89"/>
      <x:c r="L121" s="89"/>
      <x:c r="M121" s="89"/>
      <x:c r="N121" s="89"/>
      <x:c r="O121" s="89"/>
      <x:c r="P121" s="89"/>
      <x:c r="Q121" s="89"/>
      <x:c r="R121" s="89"/>
      <x:c r="S121" s="89"/>
      <x:c r="T121" s="89"/>
      <x:c r="U121" s="89"/>
      <x:c r="V121" s="89"/>
      <x:c r="W121" s="89"/>
      <x:c r="X121" s="89"/>
      <x:c r="Y121" s="89"/>
      <x:c r="Z121" s="89"/>
    </x:row>
    <x:row r="122">
      <x:c r="A122" s="89"/>
      <x:c r="B122" s="89"/>
      <x:c r="C122" s="89"/>
      <x:c r="D122" s="89"/>
      <x:c r="E122" s="89"/>
      <x:c r="F122" s="89"/>
      <x:c r="G122" s="89"/>
      <x:c r="H122" s="89"/>
      <x:c r="I122" s="89"/>
      <x:c r="J122" s="89"/>
      <x:c r="K122" s="89"/>
      <x:c r="L122" s="89"/>
      <x:c r="M122" s="89"/>
      <x:c r="N122" s="89"/>
      <x:c r="O122" s="89"/>
      <x:c r="P122" s="89"/>
      <x:c r="Q122" s="89"/>
      <x:c r="R122" s="89"/>
      <x:c r="S122" s="89"/>
      <x:c r="T122" s="89"/>
      <x:c r="U122" s="89"/>
      <x:c r="V122" s="89"/>
      <x:c r="W122" s="89"/>
      <x:c r="X122" s="89"/>
      <x:c r="Y122" s="89"/>
      <x:c r="Z122" s="89"/>
    </x:row>
    <x:row r="123">
      <x:c r="A123" s="89"/>
      <x:c r="B123" s="89"/>
      <x:c r="C123" s="89"/>
      <x:c r="D123" s="89"/>
      <x:c r="E123" s="89"/>
      <x:c r="F123" s="89"/>
      <x:c r="G123" s="89"/>
      <x:c r="H123" s="89"/>
      <x:c r="I123" s="89"/>
      <x:c r="J123" s="89"/>
      <x:c r="K123" s="89"/>
      <x:c r="L123" s="89"/>
      <x:c r="M123" s="89"/>
      <x:c r="N123" s="89"/>
      <x:c r="O123" s="89"/>
      <x:c r="P123" s="89"/>
      <x:c r="Q123" s="89"/>
      <x:c r="R123" s="89"/>
      <x:c r="S123" s="89"/>
      <x:c r="T123" s="89"/>
      <x:c r="U123" s="89"/>
      <x:c r="V123" s="89"/>
      <x:c r="W123" s="89"/>
      <x:c r="X123" s="89"/>
      <x:c r="Y123" s="89"/>
      <x:c r="Z123" s="89"/>
    </x:row>
    <x:row r="124">
      <x:c r="A124" s="89"/>
      <x:c r="B124" s="89"/>
      <x:c r="C124" s="89"/>
      <x:c r="D124" s="89"/>
      <x:c r="E124" s="89"/>
      <x:c r="F124" s="89"/>
      <x:c r="G124" s="89"/>
      <x:c r="H124" s="89"/>
      <x:c r="I124" s="89"/>
      <x:c r="J124" s="89"/>
      <x:c r="K124" s="89"/>
      <x:c r="L124" s="89"/>
      <x:c r="M124" s="89"/>
      <x:c r="N124" s="89"/>
      <x:c r="O124" s="89"/>
      <x:c r="P124" s="89"/>
      <x:c r="Q124" s="89"/>
      <x:c r="R124" s="89"/>
      <x:c r="S124" s="89"/>
      <x:c r="T124" s="89"/>
      <x:c r="U124" s="89"/>
      <x:c r="V124" s="89"/>
      <x:c r="W124" s="89"/>
      <x:c r="X124" s="89"/>
      <x:c r="Y124" s="89"/>
      <x:c r="Z124" s="89"/>
    </x:row>
    <x:row r="125">
      <x:c r="A125" s="89"/>
      <x:c r="B125" s="89"/>
      <x:c r="C125" s="89"/>
      <x:c r="D125" s="89"/>
      <x:c r="E125" s="89"/>
      <x:c r="F125" s="89"/>
      <x:c r="G125" s="89"/>
      <x:c r="H125" s="89"/>
      <x:c r="I125" s="89"/>
      <x:c r="J125" s="89"/>
      <x:c r="K125" s="89"/>
      <x:c r="L125" s="89"/>
      <x:c r="M125" s="89"/>
      <x:c r="N125" s="89"/>
      <x:c r="O125" s="89"/>
      <x:c r="P125" s="89"/>
      <x:c r="Q125" s="89"/>
      <x:c r="R125" s="89"/>
      <x:c r="S125" s="89"/>
      <x:c r="T125" s="89"/>
      <x:c r="U125" s="89"/>
      <x:c r="V125" s="89"/>
      <x:c r="W125" s="89"/>
      <x:c r="X125" s="89"/>
      <x:c r="Y125" s="89"/>
      <x:c r="Z125" s="89"/>
    </x:row>
    <x:row r="126">
      <x:c r="A126" s="89"/>
      <x:c r="B126" s="89"/>
      <x:c r="C126" s="89"/>
      <x:c r="D126" s="89"/>
      <x:c r="E126" s="89"/>
      <x:c r="F126" s="89"/>
      <x:c r="G126" s="89"/>
      <x:c r="H126" s="89"/>
      <x:c r="I126" s="89"/>
      <x:c r="J126" s="89"/>
      <x:c r="K126" s="89"/>
      <x:c r="L126" s="89"/>
      <x:c r="M126" s="89"/>
      <x:c r="N126" s="89"/>
      <x:c r="O126" s="89"/>
      <x:c r="P126" s="89"/>
      <x:c r="Q126" s="89"/>
      <x:c r="R126" s="89"/>
      <x:c r="S126" s="89"/>
      <x:c r="T126" s="89"/>
      <x:c r="U126" s="89"/>
      <x:c r="V126" s="89"/>
      <x:c r="W126" s="89"/>
      <x:c r="X126" s="89"/>
      <x:c r="Y126" s="89"/>
      <x:c r="Z126" s="89"/>
    </x:row>
    <x:row r="127">
      <x:c r="A127" s="89"/>
      <x:c r="B127" s="89"/>
      <x:c r="C127" s="89"/>
      <x:c r="D127" s="89"/>
      <x:c r="E127" s="89"/>
      <x:c r="F127" s="89"/>
      <x:c r="G127" s="89"/>
      <x:c r="H127" s="89"/>
      <x:c r="I127" s="89"/>
      <x:c r="J127" s="89"/>
      <x:c r="K127" s="89"/>
      <x:c r="L127" s="89"/>
      <x:c r="M127" s="89"/>
      <x:c r="N127" s="89"/>
      <x:c r="O127" s="89"/>
      <x:c r="P127" s="89"/>
      <x:c r="Q127" s="89"/>
      <x:c r="R127" s="89"/>
      <x:c r="S127" s="89"/>
      <x:c r="T127" s="89"/>
      <x:c r="U127" s="89"/>
      <x:c r="V127" s="89"/>
      <x:c r="W127" s="89"/>
      <x:c r="X127" s="89"/>
      <x:c r="Y127" s="89"/>
      <x:c r="Z127" s="89"/>
    </x:row>
    <x:row r="128">
      <x:c r="A128" s="89"/>
      <x:c r="B128" s="89"/>
      <x:c r="C128" s="89"/>
      <x:c r="D128" s="89"/>
      <x:c r="E128" s="89"/>
      <x:c r="F128" s="89"/>
      <x:c r="G128" s="89"/>
      <x:c r="H128" s="89"/>
      <x:c r="I128" s="89"/>
      <x:c r="J128" s="89"/>
      <x:c r="K128" s="89"/>
      <x:c r="L128" s="89"/>
      <x:c r="M128" s="89"/>
      <x:c r="N128" s="89"/>
      <x:c r="O128" s="89"/>
      <x:c r="P128" s="89"/>
      <x:c r="Q128" s="89"/>
      <x:c r="R128" s="89"/>
      <x:c r="S128" s="89"/>
      <x:c r="T128" s="89"/>
      <x:c r="U128" s="89"/>
      <x:c r="V128" s="89"/>
      <x:c r="W128" s="89"/>
      <x:c r="X128" s="89"/>
      <x:c r="Y128" s="89"/>
      <x:c r="Z128" s="89"/>
    </x:row>
    <x:row r="129">
      <x:c r="A129" s="89"/>
      <x:c r="B129" s="89"/>
      <x:c r="C129" s="89"/>
      <x:c r="D129" s="89"/>
      <x:c r="E129" s="89"/>
      <x:c r="F129" s="89"/>
      <x:c r="G129" s="89"/>
      <x:c r="H129" s="89"/>
      <x:c r="I129" s="89"/>
      <x:c r="J129" s="89"/>
      <x:c r="K129" s="89"/>
      <x:c r="L129" s="89"/>
      <x:c r="M129" s="89"/>
      <x:c r="N129" s="89"/>
      <x:c r="O129" s="89"/>
      <x:c r="P129" s="89"/>
      <x:c r="Q129" s="89"/>
      <x:c r="R129" s="89"/>
      <x:c r="S129" s="89"/>
      <x:c r="T129" s="89"/>
      <x:c r="U129" s="89"/>
      <x:c r="V129" s="89"/>
      <x:c r="W129" s="89"/>
      <x:c r="X129" s="89"/>
      <x:c r="Y129" s="89"/>
      <x:c r="Z129" s="89"/>
    </x:row>
    <x:row r="130">
      <x:c r="A130" s="89"/>
      <x:c r="B130" s="89"/>
      <x:c r="C130" s="89"/>
      <x:c r="D130" s="89"/>
      <x:c r="E130" s="89"/>
      <x:c r="F130" s="89"/>
      <x:c r="G130" s="89"/>
      <x:c r="H130" s="89"/>
      <x:c r="I130" s="89"/>
      <x:c r="J130" s="89"/>
      <x:c r="K130" s="89"/>
      <x:c r="L130" s="89"/>
      <x:c r="M130" s="89"/>
      <x:c r="N130" s="89"/>
      <x:c r="O130" s="89"/>
      <x:c r="P130" s="89"/>
      <x:c r="Q130" s="89"/>
      <x:c r="R130" s="89"/>
      <x:c r="S130" s="89"/>
      <x:c r="T130" s="89"/>
      <x:c r="U130" s="89"/>
      <x:c r="V130" s="89"/>
      <x:c r="W130" s="89"/>
      <x:c r="X130" s="89"/>
      <x:c r="Y130" s="89"/>
      <x:c r="Z130" s="89"/>
    </x:row>
    <x:row r="131">
      <x:c r="A131" s="89"/>
      <x:c r="B131" s="89"/>
      <x:c r="C131" s="89"/>
      <x:c r="D131" s="89"/>
      <x:c r="E131" s="89"/>
      <x:c r="F131" s="89"/>
      <x:c r="G131" s="89"/>
      <x:c r="H131" s="89"/>
      <x:c r="I131" s="89"/>
      <x:c r="J131" s="89"/>
      <x:c r="K131" s="89"/>
      <x:c r="L131" s="89"/>
      <x:c r="M131" s="89"/>
      <x:c r="N131" s="89"/>
      <x:c r="O131" s="89"/>
      <x:c r="P131" s="89"/>
      <x:c r="Q131" s="89"/>
      <x:c r="R131" s="89"/>
      <x:c r="S131" s="89"/>
      <x:c r="T131" s="89"/>
      <x:c r="U131" s="89"/>
      <x:c r="V131" s="89"/>
      <x:c r="W131" s="89"/>
      <x:c r="X131" s="89"/>
      <x:c r="Y131" s="89"/>
      <x:c r="Z131" s="89"/>
    </x:row>
    <x:row r="132">
      <x:c r="A132" s="89"/>
      <x:c r="B132" s="89"/>
      <x:c r="C132" s="89"/>
      <x:c r="D132" s="89"/>
      <x:c r="E132" s="89"/>
      <x:c r="F132" s="89"/>
      <x:c r="G132" s="89"/>
      <x:c r="H132" s="89"/>
      <x:c r="I132" s="89"/>
      <x:c r="J132" s="89"/>
      <x:c r="K132" s="89"/>
      <x:c r="L132" s="89"/>
      <x:c r="M132" s="89"/>
      <x:c r="N132" s="89"/>
      <x:c r="O132" s="89"/>
      <x:c r="P132" s="89"/>
      <x:c r="Q132" s="89"/>
      <x:c r="R132" s="89"/>
      <x:c r="S132" s="89"/>
      <x:c r="T132" s="89"/>
      <x:c r="U132" s="89"/>
      <x:c r="V132" s="89"/>
      <x:c r="W132" s="89"/>
      <x:c r="X132" s="89"/>
      <x:c r="Y132" s="89"/>
      <x:c r="Z132" s="89"/>
    </x:row>
    <x:row r="133">
      <x:c r="A133" s="89"/>
      <x:c r="B133" s="89"/>
      <x:c r="C133" s="89"/>
      <x:c r="D133" s="89"/>
      <x:c r="E133" s="89"/>
      <x:c r="F133" s="89"/>
      <x:c r="G133" s="89"/>
      <x:c r="H133" s="89"/>
      <x:c r="I133" s="89"/>
      <x:c r="J133" s="89"/>
      <x:c r="K133" s="89"/>
      <x:c r="L133" s="89"/>
      <x:c r="M133" s="89"/>
      <x:c r="N133" s="89"/>
      <x:c r="O133" s="89"/>
      <x:c r="P133" s="89"/>
      <x:c r="Q133" s="89"/>
      <x:c r="R133" s="89"/>
      <x:c r="S133" s="89"/>
      <x:c r="T133" s="89"/>
      <x:c r="U133" s="89"/>
      <x:c r="V133" s="89"/>
      <x:c r="W133" s="89"/>
      <x:c r="X133" s="89"/>
      <x:c r="Y133" s="89"/>
      <x:c r="Z133" s="89"/>
    </x:row>
    <x:row r="134">
      <x:c r="A134" s="89"/>
      <x:c r="B134" s="89"/>
      <x:c r="C134" s="89"/>
      <x:c r="D134" s="89"/>
      <x:c r="E134" s="89"/>
      <x:c r="F134" s="89"/>
      <x:c r="G134" s="89"/>
      <x:c r="H134" s="89"/>
      <x:c r="I134" s="89"/>
      <x:c r="J134" s="89"/>
      <x:c r="K134" s="89"/>
      <x:c r="L134" s="89"/>
      <x:c r="M134" s="89"/>
      <x:c r="N134" s="89"/>
      <x:c r="O134" s="89"/>
      <x:c r="P134" s="89"/>
      <x:c r="Q134" s="89"/>
      <x:c r="R134" s="89"/>
      <x:c r="S134" s="89"/>
      <x:c r="T134" s="89"/>
      <x:c r="U134" s="89"/>
      <x:c r="V134" s="89"/>
      <x:c r="W134" s="89"/>
      <x:c r="X134" s="89"/>
      <x:c r="Y134" s="89"/>
      <x:c r="Z134" s="89"/>
    </x:row>
    <x:row r="135">
      <x:c r="A135" s="89"/>
      <x:c r="B135" s="89"/>
      <x:c r="C135" s="89"/>
      <x:c r="D135" s="89"/>
      <x:c r="E135" s="89"/>
      <x:c r="F135" s="89"/>
      <x:c r="G135" s="89"/>
      <x:c r="H135" s="89"/>
      <x:c r="I135" s="89"/>
      <x:c r="J135" s="89"/>
      <x:c r="K135" s="89"/>
      <x:c r="L135" s="89"/>
      <x:c r="M135" s="89"/>
      <x:c r="N135" s="89"/>
      <x:c r="O135" s="89"/>
      <x:c r="P135" s="89"/>
      <x:c r="Q135" s="89"/>
      <x:c r="R135" s="89"/>
      <x:c r="S135" s="89"/>
      <x:c r="T135" s="89"/>
      <x:c r="U135" s="89"/>
      <x:c r="V135" s="89"/>
      <x:c r="W135" s="89"/>
      <x:c r="X135" s="89"/>
      <x:c r="Y135" s="89"/>
      <x:c r="Z135" s="89"/>
    </x:row>
    <x:row r="136">
      <x:c r="A136" s="89"/>
      <x:c r="B136" s="89"/>
      <x:c r="C136" s="89"/>
      <x:c r="D136" s="89"/>
      <x:c r="E136" s="89"/>
      <x:c r="F136" s="89"/>
      <x:c r="G136" s="89"/>
      <x:c r="H136" s="89"/>
      <x:c r="I136" s="89"/>
      <x:c r="J136" s="89"/>
      <x:c r="K136" s="89"/>
      <x:c r="L136" s="89"/>
      <x:c r="M136" s="89"/>
      <x:c r="N136" s="89"/>
      <x:c r="O136" s="89"/>
      <x:c r="P136" s="89"/>
      <x:c r="Q136" s="89"/>
      <x:c r="R136" s="89"/>
      <x:c r="S136" s="89"/>
      <x:c r="T136" s="89"/>
      <x:c r="U136" s="89"/>
      <x:c r="V136" s="89"/>
      <x:c r="W136" s="89"/>
      <x:c r="X136" s="89"/>
      <x:c r="Y136" s="89"/>
      <x:c r="Z136" s="89"/>
    </x:row>
    <x:row r="137">
      <x:c r="A137" s="89"/>
      <x:c r="B137" s="89"/>
      <x:c r="C137" s="89"/>
      <x:c r="D137" s="89"/>
      <x:c r="E137" s="89"/>
      <x:c r="F137" s="89"/>
      <x:c r="G137" s="89"/>
      <x:c r="H137" s="89"/>
      <x:c r="I137" s="89"/>
      <x:c r="J137" s="89"/>
      <x:c r="K137" s="89"/>
      <x:c r="L137" s="89"/>
      <x:c r="M137" s="89"/>
      <x:c r="N137" s="89"/>
      <x:c r="O137" s="89"/>
      <x:c r="P137" s="89"/>
      <x:c r="Q137" s="89"/>
      <x:c r="R137" s="89"/>
      <x:c r="S137" s="89"/>
      <x:c r="T137" s="89"/>
      <x:c r="U137" s="89"/>
      <x:c r="V137" s="89"/>
      <x:c r="W137" s="89"/>
      <x:c r="X137" s="89"/>
      <x:c r="Y137" s="89"/>
      <x:c r="Z137" s="89"/>
    </x:row>
    <x:row r="138">
      <x:c r="A138" s="89"/>
      <x:c r="B138" s="89"/>
      <x:c r="C138" s="89"/>
      <x:c r="D138" s="89"/>
      <x:c r="E138" s="89"/>
      <x:c r="F138" s="89"/>
      <x:c r="G138" s="89"/>
      <x:c r="H138" s="89"/>
      <x:c r="I138" s="89"/>
      <x:c r="J138" s="89"/>
      <x:c r="K138" s="89"/>
      <x:c r="L138" s="89"/>
      <x:c r="M138" s="89"/>
      <x:c r="N138" s="89"/>
      <x:c r="O138" s="89"/>
      <x:c r="P138" s="89"/>
      <x:c r="Q138" s="89"/>
      <x:c r="R138" s="89"/>
      <x:c r="S138" s="89"/>
      <x:c r="T138" s="89"/>
      <x:c r="U138" s="89"/>
      <x:c r="V138" s="89"/>
      <x:c r="W138" s="89"/>
      <x:c r="X138" s="89"/>
      <x:c r="Y138" s="89"/>
      <x:c r="Z138" s="89"/>
    </x:row>
    <x:row r="139">
      <x:c r="A139" s="89"/>
      <x:c r="B139" s="89"/>
      <x:c r="C139" s="89"/>
      <x:c r="D139" s="89"/>
      <x:c r="E139" s="89"/>
      <x:c r="F139" s="89"/>
      <x:c r="G139" s="89"/>
      <x:c r="H139" s="89"/>
      <x:c r="I139" s="89"/>
      <x:c r="J139" s="89"/>
      <x:c r="K139" s="89"/>
      <x:c r="L139" s="89"/>
      <x:c r="M139" s="89"/>
      <x:c r="N139" s="89"/>
      <x:c r="O139" s="89"/>
      <x:c r="P139" s="89"/>
      <x:c r="Q139" s="89"/>
      <x:c r="R139" s="89"/>
      <x:c r="S139" s="89"/>
      <x:c r="T139" s="89"/>
      <x:c r="U139" s="89"/>
      <x:c r="V139" s="89"/>
      <x:c r="W139" s="89"/>
      <x:c r="X139" s="89"/>
      <x:c r="Y139" s="89"/>
      <x:c r="Z139" s="89"/>
    </x:row>
    <x:row r="140">
      <x:c r="A140" s="89"/>
      <x:c r="B140" s="89"/>
      <x:c r="C140" s="89"/>
      <x:c r="D140" s="89"/>
      <x:c r="E140" s="89"/>
      <x:c r="F140" s="89"/>
      <x:c r="G140" s="89"/>
      <x:c r="H140" s="89"/>
      <x:c r="I140" s="89"/>
      <x:c r="J140" s="89"/>
      <x:c r="K140" s="89"/>
      <x:c r="L140" s="89"/>
      <x:c r="M140" s="89"/>
      <x:c r="N140" s="89"/>
      <x:c r="O140" s="89"/>
      <x:c r="P140" s="89"/>
      <x:c r="Q140" s="89"/>
      <x:c r="R140" s="89"/>
      <x:c r="S140" s="89"/>
      <x:c r="T140" s="89"/>
      <x:c r="U140" s="89"/>
      <x:c r="V140" s="89"/>
      <x:c r="W140" s="89"/>
      <x:c r="X140" s="89"/>
      <x:c r="Y140" s="89"/>
      <x:c r="Z140" s="89"/>
    </x:row>
    <x:row r="141">
      <x:c r="A141" s="89"/>
      <x:c r="B141" s="89"/>
      <x:c r="C141" s="89"/>
      <x:c r="D141" s="89"/>
      <x:c r="E141" s="89"/>
      <x:c r="F141" s="89"/>
      <x:c r="G141" s="89"/>
      <x:c r="H141" s="89"/>
      <x:c r="I141" s="89"/>
      <x:c r="J141" s="89"/>
      <x:c r="K141" s="89"/>
      <x:c r="L141" s="89"/>
      <x:c r="M141" s="89"/>
      <x:c r="N141" s="89"/>
      <x:c r="O141" s="89"/>
      <x:c r="P141" s="89"/>
      <x:c r="Q141" s="89"/>
      <x:c r="R141" s="89"/>
      <x:c r="S141" s="89"/>
      <x:c r="T141" s="89"/>
      <x:c r="U141" s="89"/>
      <x:c r="V141" s="89"/>
      <x:c r="W141" s="89"/>
      <x:c r="X141" s="89"/>
      <x:c r="Y141" s="89"/>
      <x:c r="Z141" s="89"/>
    </x:row>
    <x:row r="142">
      <x:c r="A142" s="89"/>
      <x:c r="B142" s="89"/>
      <x:c r="C142" s="89"/>
      <x:c r="D142" s="89"/>
      <x:c r="E142" s="89"/>
      <x:c r="F142" s="89"/>
      <x:c r="G142" s="89"/>
      <x:c r="H142" s="89"/>
      <x:c r="I142" s="89"/>
      <x:c r="J142" s="89"/>
      <x:c r="K142" s="89"/>
      <x:c r="L142" s="89"/>
      <x:c r="M142" s="89"/>
      <x:c r="N142" s="89"/>
      <x:c r="O142" s="89"/>
      <x:c r="P142" s="89"/>
      <x:c r="Q142" s="89"/>
      <x:c r="R142" s="89"/>
      <x:c r="S142" s="89"/>
      <x:c r="T142" s="89"/>
      <x:c r="U142" s="89"/>
      <x:c r="V142" s="89"/>
      <x:c r="W142" s="89"/>
      <x:c r="X142" s="89"/>
      <x:c r="Y142" s="89"/>
      <x:c r="Z142" s="89"/>
    </x:row>
    <x:row r="143">
      <x:c r="A143" s="89"/>
      <x:c r="B143" s="89"/>
      <x:c r="C143" s="89"/>
      <x:c r="D143" s="89"/>
      <x:c r="E143" s="89"/>
      <x:c r="F143" s="89"/>
      <x:c r="G143" s="89"/>
      <x:c r="H143" s="89"/>
      <x:c r="I143" s="89"/>
      <x:c r="J143" s="89"/>
      <x:c r="K143" s="89"/>
      <x:c r="L143" s="89"/>
      <x:c r="M143" s="89"/>
      <x:c r="N143" s="89"/>
      <x:c r="O143" s="89"/>
      <x:c r="P143" s="89"/>
      <x:c r="Q143" s="89"/>
      <x:c r="R143" s="89"/>
      <x:c r="S143" s="89"/>
      <x:c r="T143" s="89"/>
      <x:c r="U143" s="89"/>
      <x:c r="V143" s="89"/>
      <x:c r="W143" s="89"/>
      <x:c r="X143" s="89"/>
      <x:c r="Y143" s="89"/>
      <x:c r="Z143" s="89"/>
    </x:row>
    <x:row r="144">
      <x:c r="A144" s="89"/>
      <x:c r="B144" s="89"/>
      <x:c r="C144" s="89"/>
      <x:c r="D144" s="89"/>
      <x:c r="E144" s="89"/>
      <x:c r="F144" s="89"/>
      <x:c r="G144" s="89"/>
      <x:c r="H144" s="89"/>
      <x:c r="I144" s="89"/>
      <x:c r="J144" s="89"/>
      <x:c r="K144" s="89"/>
      <x:c r="L144" s="89"/>
      <x:c r="M144" s="89"/>
      <x:c r="N144" s="89"/>
      <x:c r="O144" s="89"/>
      <x:c r="P144" s="89"/>
      <x:c r="Q144" s="89"/>
      <x:c r="R144" s="89"/>
      <x:c r="S144" s="89"/>
      <x:c r="T144" s="89"/>
      <x:c r="U144" s="89"/>
      <x:c r="V144" s="89"/>
      <x:c r="W144" s="89"/>
      <x:c r="X144" s="89"/>
      <x:c r="Y144" s="89"/>
      <x:c r="Z144" s="89"/>
    </x:row>
    <x:row r="145">
      <x:c r="A145" s="89"/>
      <x:c r="B145" s="89"/>
      <x:c r="C145" s="89"/>
      <x:c r="D145" s="89"/>
      <x:c r="E145" s="89"/>
      <x:c r="F145" s="89"/>
      <x:c r="G145" s="89"/>
      <x:c r="H145" s="89"/>
      <x:c r="I145" s="89"/>
      <x:c r="J145" s="89"/>
      <x:c r="K145" s="89"/>
      <x:c r="L145" s="89"/>
      <x:c r="M145" s="89"/>
      <x:c r="N145" s="89"/>
      <x:c r="O145" s="89"/>
      <x:c r="P145" s="89"/>
      <x:c r="Q145" s="89"/>
      <x:c r="R145" s="89"/>
      <x:c r="S145" s="89"/>
      <x:c r="T145" s="89"/>
      <x:c r="U145" s="89"/>
      <x:c r="V145" s="89"/>
      <x:c r="W145" s="89"/>
      <x:c r="X145" s="89"/>
      <x:c r="Y145" s="89"/>
      <x:c r="Z145" s="89"/>
    </x:row>
    <x:row r="146">
      <x:c r="A146" s="89"/>
      <x:c r="B146" s="89"/>
      <x:c r="C146" s="89"/>
      <x:c r="D146" s="89"/>
      <x:c r="E146" s="89"/>
      <x:c r="F146" s="89"/>
      <x:c r="G146" s="89"/>
      <x:c r="H146" s="89"/>
      <x:c r="I146" s="89"/>
      <x:c r="J146" s="89"/>
      <x:c r="K146" s="89"/>
      <x:c r="L146" s="89"/>
      <x:c r="M146" s="89"/>
      <x:c r="N146" s="89"/>
      <x:c r="O146" s="89"/>
      <x:c r="P146" s="89"/>
      <x:c r="Q146" s="89"/>
      <x:c r="R146" s="89"/>
      <x:c r="S146" s="89"/>
      <x:c r="T146" s="89"/>
      <x:c r="U146" s="89"/>
      <x:c r="V146" s="89"/>
      <x:c r="W146" s="89"/>
      <x:c r="X146" s="89"/>
      <x:c r="Y146" s="89"/>
      <x:c r="Z146" s="89"/>
    </x:row>
    <x:row r="147">
      <x:c r="A147" s="89"/>
      <x:c r="B147" s="89"/>
      <x:c r="C147" s="89"/>
      <x:c r="D147" s="89"/>
      <x:c r="E147" s="89"/>
      <x:c r="F147" s="89"/>
      <x:c r="G147" s="89"/>
      <x:c r="H147" s="89"/>
      <x:c r="I147" s="89"/>
      <x:c r="J147" s="89"/>
      <x:c r="K147" s="89"/>
      <x:c r="L147" s="89"/>
      <x:c r="M147" s="89"/>
      <x:c r="N147" s="89"/>
      <x:c r="O147" s="89"/>
      <x:c r="P147" s="89"/>
      <x:c r="Q147" s="89"/>
      <x:c r="R147" s="89"/>
      <x:c r="S147" s="89"/>
      <x:c r="T147" s="89"/>
      <x:c r="U147" s="89"/>
      <x:c r="V147" s="89"/>
      <x:c r="W147" s="89"/>
      <x:c r="X147" s="89"/>
      <x:c r="Y147" s="89"/>
      <x:c r="Z147" s="89"/>
    </x:row>
    <x:row r="148">
      <x:c r="A148" s="89"/>
      <x:c r="B148" s="89"/>
      <x:c r="C148" s="89"/>
      <x:c r="D148" s="89"/>
      <x:c r="E148" s="89"/>
      <x:c r="F148" s="89"/>
      <x:c r="G148" s="89"/>
      <x:c r="H148" s="89"/>
      <x:c r="I148" s="89"/>
      <x:c r="J148" s="89"/>
      <x:c r="K148" s="89"/>
      <x:c r="L148" s="89"/>
      <x:c r="M148" s="89"/>
      <x:c r="N148" s="89"/>
      <x:c r="O148" s="89"/>
      <x:c r="P148" s="89"/>
      <x:c r="Q148" s="89"/>
      <x:c r="R148" s="89"/>
      <x:c r="S148" s="89"/>
      <x:c r="T148" s="89"/>
      <x:c r="U148" s="89"/>
      <x:c r="V148" s="89"/>
      <x:c r="W148" s="89"/>
      <x:c r="X148" s="89"/>
      <x:c r="Y148" s="89"/>
      <x:c r="Z148" s="89"/>
    </x:row>
    <x:row r="149">
      <x:c r="A149" s="89"/>
      <x:c r="B149" s="89"/>
      <x:c r="C149" s="89"/>
      <x:c r="D149" s="89"/>
      <x:c r="E149" s="89"/>
      <x:c r="F149" s="89"/>
      <x:c r="G149" s="89"/>
      <x:c r="H149" s="89"/>
      <x:c r="I149" s="89"/>
      <x:c r="J149" s="89"/>
      <x:c r="K149" s="89"/>
      <x:c r="L149" s="89"/>
      <x:c r="M149" s="89"/>
      <x:c r="N149" s="89"/>
      <x:c r="O149" s="89"/>
      <x:c r="P149" s="89"/>
      <x:c r="Q149" s="89"/>
      <x:c r="R149" s="89"/>
      <x:c r="S149" s="89"/>
      <x:c r="T149" s="89"/>
      <x:c r="U149" s="89"/>
      <x:c r="V149" s="89"/>
      <x:c r="W149" s="89"/>
      <x:c r="X149" s="89"/>
      <x:c r="Y149" s="89"/>
      <x:c r="Z149" s="89"/>
    </x:row>
    <x:row r="150">
      <x:c r="A150" s="89"/>
      <x:c r="B150" s="89"/>
      <x:c r="C150" s="89"/>
      <x:c r="D150" s="89"/>
      <x:c r="E150" s="89"/>
      <x:c r="F150" s="89"/>
      <x:c r="G150" s="89"/>
      <x:c r="H150" s="89"/>
      <x:c r="I150" s="89"/>
      <x:c r="J150" s="89"/>
      <x:c r="K150" s="89"/>
      <x:c r="L150" s="89"/>
      <x:c r="M150" s="89"/>
      <x:c r="N150" s="89"/>
      <x:c r="O150" s="89"/>
      <x:c r="P150" s="89"/>
      <x:c r="Q150" s="89"/>
      <x:c r="R150" s="89"/>
      <x:c r="S150" s="89"/>
      <x:c r="T150" s="89"/>
      <x:c r="U150" s="89"/>
      <x:c r="V150" s="89"/>
      <x:c r="W150" s="89"/>
      <x:c r="X150" s="89"/>
      <x:c r="Y150" s="89"/>
      <x:c r="Z150" s="89"/>
    </x:row>
    <x:row r="151">
      <x:c r="A151" s="89"/>
      <x:c r="B151" s="89"/>
      <x:c r="C151" s="89"/>
      <x:c r="D151" s="89"/>
      <x:c r="E151" s="89"/>
      <x:c r="F151" s="89"/>
      <x:c r="G151" s="89"/>
      <x:c r="H151" s="89"/>
      <x:c r="I151" s="89"/>
      <x:c r="J151" s="89"/>
      <x:c r="K151" s="89"/>
      <x:c r="L151" s="89"/>
      <x:c r="M151" s="89"/>
      <x:c r="N151" s="89"/>
      <x:c r="O151" s="89"/>
      <x:c r="P151" s="89"/>
      <x:c r="Q151" s="89"/>
      <x:c r="R151" s="89"/>
      <x:c r="S151" s="89"/>
      <x:c r="T151" s="89"/>
      <x:c r="U151" s="89"/>
      <x:c r="V151" s="89"/>
      <x:c r="W151" s="89"/>
      <x:c r="X151" s="89"/>
      <x:c r="Y151" s="89"/>
      <x:c r="Z151" s="89"/>
    </x:row>
    <x:row r="152">
      <x:c r="A152" s="89"/>
      <x:c r="B152" s="89"/>
      <x:c r="C152" s="89"/>
      <x:c r="D152" s="89"/>
      <x:c r="E152" s="89"/>
      <x:c r="F152" s="89"/>
      <x:c r="G152" s="89"/>
      <x:c r="H152" s="89"/>
      <x:c r="I152" s="89"/>
      <x:c r="J152" s="89"/>
      <x:c r="K152" s="89"/>
      <x:c r="L152" s="89"/>
      <x:c r="M152" s="89"/>
      <x:c r="N152" s="89"/>
      <x:c r="O152" s="89"/>
      <x:c r="P152" s="89"/>
      <x:c r="Q152" s="89"/>
      <x:c r="R152" s="89"/>
      <x:c r="S152" s="89"/>
      <x:c r="T152" s="89"/>
      <x:c r="U152" s="89"/>
      <x:c r="V152" s="89"/>
      <x:c r="W152" s="89"/>
      <x:c r="X152" s="89"/>
      <x:c r="Y152" s="89"/>
      <x:c r="Z152" s="89"/>
    </x:row>
    <x:row r="153">
      <x:c r="A153" s="89"/>
      <x:c r="B153" s="89"/>
      <x:c r="C153" s="89"/>
      <x:c r="D153" s="89"/>
      <x:c r="E153" s="89"/>
      <x:c r="F153" s="89"/>
      <x:c r="G153" s="89"/>
      <x:c r="H153" s="89"/>
      <x:c r="I153" s="89"/>
      <x:c r="J153" s="89"/>
      <x:c r="K153" s="89"/>
      <x:c r="L153" s="89"/>
      <x:c r="M153" s="89"/>
      <x:c r="N153" s="89"/>
      <x:c r="O153" s="89"/>
      <x:c r="P153" s="89"/>
      <x:c r="Q153" s="89"/>
      <x:c r="R153" s="89"/>
      <x:c r="S153" s="89"/>
      <x:c r="T153" s="89"/>
      <x:c r="U153" s="89"/>
      <x:c r="V153" s="89"/>
      <x:c r="W153" s="89"/>
      <x:c r="X153" s="89"/>
      <x:c r="Y153" s="89"/>
      <x:c r="Z153" s="89"/>
    </x:row>
    <x:row r="154">
      <x:c r="A154" s="89"/>
      <x:c r="B154" s="89"/>
      <x:c r="C154" s="89"/>
      <x:c r="D154" s="89"/>
      <x:c r="E154" s="89"/>
      <x:c r="F154" s="89"/>
      <x:c r="G154" s="89"/>
      <x:c r="H154" s="89"/>
      <x:c r="I154" s="89"/>
      <x:c r="J154" s="89"/>
      <x:c r="K154" s="89"/>
      <x:c r="L154" s="89"/>
      <x:c r="M154" s="89"/>
      <x:c r="N154" s="89"/>
      <x:c r="O154" s="89"/>
      <x:c r="P154" s="89"/>
      <x:c r="Q154" s="89"/>
      <x:c r="R154" s="89"/>
      <x:c r="S154" s="89"/>
      <x:c r="T154" s="89"/>
      <x:c r="U154" s="89"/>
      <x:c r="V154" s="89"/>
      <x:c r="W154" s="89"/>
      <x:c r="X154" s="89"/>
      <x:c r="Y154" s="89"/>
      <x:c r="Z154" s="89"/>
    </x:row>
    <x:row r="155">
      <x:c r="A155" s="89"/>
      <x:c r="B155" s="89"/>
      <x:c r="C155" s="89"/>
      <x:c r="D155" s="89"/>
      <x:c r="E155" s="89"/>
      <x:c r="F155" s="89"/>
      <x:c r="G155" s="89"/>
      <x:c r="H155" s="89"/>
      <x:c r="I155" s="89"/>
      <x:c r="J155" s="89"/>
      <x:c r="K155" s="89"/>
      <x:c r="L155" s="89"/>
      <x:c r="M155" s="89"/>
      <x:c r="N155" s="89"/>
      <x:c r="O155" s="89"/>
      <x:c r="P155" s="89"/>
      <x:c r="Q155" s="89"/>
      <x:c r="R155" s="89"/>
      <x:c r="S155" s="89"/>
      <x:c r="T155" s="89"/>
      <x:c r="U155" s="89"/>
      <x:c r="V155" s="89"/>
      <x:c r="W155" s="89"/>
      <x:c r="X155" s="89"/>
      <x:c r="Y155" s="89"/>
      <x:c r="Z155" s="89"/>
    </x:row>
    <x:row r="156">
      <x:c r="A156" s="89"/>
      <x:c r="B156" s="89"/>
      <x:c r="C156" s="89"/>
      <x:c r="D156" s="89"/>
      <x:c r="E156" s="89"/>
      <x:c r="F156" s="89"/>
      <x:c r="G156" s="89"/>
      <x:c r="H156" s="89"/>
      <x:c r="I156" s="89"/>
      <x:c r="J156" s="89"/>
      <x:c r="K156" s="89"/>
      <x:c r="L156" s="89"/>
      <x:c r="M156" s="89"/>
      <x:c r="N156" s="89"/>
      <x:c r="O156" s="89"/>
      <x:c r="P156" s="89"/>
      <x:c r="Q156" s="89"/>
      <x:c r="R156" s="89"/>
      <x:c r="S156" s="89"/>
      <x:c r="T156" s="89"/>
      <x:c r="U156" s="89"/>
      <x:c r="V156" s="89"/>
      <x:c r="W156" s="89"/>
      <x:c r="X156" s="89"/>
      <x:c r="Y156" s="89"/>
      <x:c r="Z156" s="89"/>
    </x:row>
    <x:row r="157">
      <x:c r="A157" s="89"/>
      <x:c r="B157" s="89"/>
      <x:c r="C157" s="89"/>
      <x:c r="D157" s="89"/>
      <x:c r="E157" s="89"/>
      <x:c r="F157" s="89"/>
      <x:c r="G157" s="89"/>
      <x:c r="H157" s="89"/>
      <x:c r="I157" s="89"/>
      <x:c r="J157" s="89"/>
      <x:c r="K157" s="89"/>
      <x:c r="L157" s="89"/>
      <x:c r="M157" s="89"/>
      <x:c r="N157" s="89"/>
      <x:c r="O157" s="89"/>
      <x:c r="P157" s="89"/>
      <x:c r="Q157" s="89"/>
      <x:c r="R157" s="89"/>
      <x:c r="S157" s="89"/>
      <x:c r="T157" s="89"/>
      <x:c r="U157" s="89"/>
      <x:c r="V157" s="89"/>
      <x:c r="W157" s="89"/>
      <x:c r="X157" s="89"/>
      <x:c r="Y157" s="89"/>
      <x:c r="Z157" s="89"/>
    </x:row>
    <x:row r="158">
      <x:c r="A158" s="89"/>
      <x:c r="B158" s="89"/>
      <x:c r="C158" s="89"/>
      <x:c r="D158" s="89"/>
      <x:c r="E158" s="89"/>
      <x:c r="F158" s="89"/>
      <x:c r="G158" s="89"/>
      <x:c r="H158" s="89"/>
      <x:c r="I158" s="89"/>
      <x:c r="J158" s="89"/>
      <x:c r="K158" s="89"/>
      <x:c r="L158" s="89"/>
      <x:c r="M158" s="89"/>
      <x:c r="N158" s="89"/>
      <x:c r="O158" s="89"/>
      <x:c r="P158" s="89"/>
      <x:c r="Q158" s="89"/>
      <x:c r="R158" s="89"/>
      <x:c r="S158" s="89"/>
      <x:c r="T158" s="89"/>
      <x:c r="U158" s="89"/>
      <x:c r="V158" s="89"/>
      <x:c r="W158" s="89"/>
      <x:c r="X158" s="89"/>
      <x:c r="Y158" s="89"/>
      <x:c r="Z158" s="89"/>
    </x:row>
    <x:row r="159">
      <x:c r="A159" s="89"/>
      <x:c r="B159" s="89"/>
      <x:c r="C159" s="89"/>
      <x:c r="D159" s="89"/>
      <x:c r="E159" s="89"/>
      <x:c r="F159" s="89"/>
      <x:c r="G159" s="89"/>
      <x:c r="H159" s="89"/>
      <x:c r="I159" s="89"/>
      <x:c r="J159" s="89"/>
      <x:c r="K159" s="89"/>
      <x:c r="L159" s="89"/>
      <x:c r="M159" s="89"/>
      <x:c r="N159" s="89"/>
      <x:c r="O159" s="89"/>
      <x:c r="P159" s="89"/>
      <x:c r="Q159" s="89"/>
      <x:c r="R159" s="89"/>
      <x:c r="S159" s="89"/>
      <x:c r="T159" s="89"/>
      <x:c r="U159" s="89"/>
      <x:c r="V159" s="89"/>
      <x:c r="W159" s="89"/>
      <x:c r="X159" s="89"/>
      <x:c r="Y159" s="89"/>
      <x:c r="Z159" s="89"/>
    </x:row>
    <x:row r="160">
      <x:c r="A160" s="89"/>
      <x:c r="B160" s="89"/>
      <x:c r="C160" s="89"/>
      <x:c r="D160" s="89"/>
      <x:c r="E160" s="89"/>
      <x:c r="F160" s="89"/>
      <x:c r="G160" s="89"/>
      <x:c r="H160" s="89"/>
      <x:c r="I160" s="89"/>
      <x:c r="J160" s="89"/>
      <x:c r="K160" s="89"/>
      <x:c r="L160" s="89"/>
      <x:c r="M160" s="89"/>
      <x:c r="N160" s="89"/>
      <x:c r="O160" s="89"/>
      <x:c r="P160" s="89"/>
      <x:c r="Q160" s="89"/>
      <x:c r="R160" s="89"/>
      <x:c r="S160" s="89"/>
      <x:c r="T160" s="89"/>
      <x:c r="U160" s="89"/>
      <x:c r="V160" s="89"/>
      <x:c r="W160" s="89"/>
      <x:c r="X160" s="89"/>
      <x:c r="Y160" s="89"/>
      <x:c r="Z160" s="89"/>
    </x:row>
    <x:row r="161">
      <x:c r="A161" s="89"/>
      <x:c r="B161" s="89"/>
      <x:c r="C161" s="89"/>
      <x:c r="D161" s="89"/>
      <x:c r="E161" s="89"/>
      <x:c r="F161" s="89"/>
      <x:c r="G161" s="89"/>
      <x:c r="H161" s="89"/>
      <x:c r="I161" s="89"/>
      <x:c r="J161" s="89"/>
      <x:c r="K161" s="89"/>
      <x:c r="L161" s="89"/>
      <x:c r="M161" s="89"/>
      <x:c r="N161" s="89"/>
      <x:c r="O161" s="89"/>
      <x:c r="P161" s="89"/>
      <x:c r="Q161" s="89"/>
      <x:c r="R161" s="89"/>
      <x:c r="S161" s="89"/>
      <x:c r="T161" s="89"/>
      <x:c r="U161" s="89"/>
      <x:c r="V161" s="89"/>
      <x:c r="W161" s="89"/>
      <x:c r="X161" s="89"/>
      <x:c r="Y161" s="89"/>
      <x:c r="Z161" s="89"/>
    </x:row>
    <x:row r="162">
      <x:c r="A162" s="89"/>
      <x:c r="B162" s="89"/>
      <x:c r="C162" s="89"/>
      <x:c r="D162" s="89"/>
      <x:c r="E162" s="89"/>
      <x:c r="F162" s="89"/>
      <x:c r="G162" s="89"/>
      <x:c r="H162" s="89"/>
      <x:c r="I162" s="89"/>
      <x:c r="J162" s="89"/>
      <x:c r="K162" s="89"/>
      <x:c r="L162" s="89"/>
      <x:c r="M162" s="89"/>
      <x:c r="N162" s="89"/>
      <x:c r="O162" s="89"/>
      <x:c r="P162" s="89"/>
      <x:c r="Q162" s="89"/>
      <x:c r="R162" s="89"/>
      <x:c r="S162" s="89"/>
      <x:c r="T162" s="89"/>
      <x:c r="U162" s="89"/>
      <x:c r="V162" s="89"/>
      <x:c r="W162" s="89"/>
      <x:c r="X162" s="89"/>
      <x:c r="Y162" s="89"/>
      <x:c r="Z162" s="89"/>
    </x:row>
    <x:row r="163">
      <x:c r="A163" s="89"/>
      <x:c r="B163" s="89"/>
      <x:c r="C163" s="89"/>
      <x:c r="D163" s="89"/>
      <x:c r="E163" s="89"/>
      <x:c r="F163" s="89"/>
      <x:c r="G163" s="89"/>
      <x:c r="H163" s="89"/>
      <x:c r="I163" s="89"/>
      <x:c r="J163" s="89"/>
      <x:c r="K163" s="89"/>
      <x:c r="L163" s="89"/>
      <x:c r="M163" s="89"/>
      <x:c r="N163" s="89"/>
      <x:c r="O163" s="89"/>
      <x:c r="P163" s="89"/>
      <x:c r="Q163" s="89"/>
      <x:c r="R163" s="89"/>
      <x:c r="S163" s="89"/>
      <x:c r="T163" s="89"/>
      <x:c r="U163" s="89"/>
      <x:c r="V163" s="89"/>
      <x:c r="W163" s="89"/>
      <x:c r="X163" s="89"/>
      <x:c r="Y163" s="89"/>
      <x:c r="Z163" s="89"/>
    </x:row>
    <x:row r="164">
      <x:c r="A164" s="89"/>
      <x:c r="B164" s="89"/>
      <x:c r="C164" s="89"/>
      <x:c r="D164" s="89"/>
      <x:c r="E164" s="89"/>
      <x:c r="F164" s="89"/>
      <x:c r="G164" s="89"/>
      <x:c r="H164" s="89"/>
      <x:c r="I164" s="89"/>
      <x:c r="J164" s="89"/>
      <x:c r="K164" s="89"/>
      <x:c r="L164" s="89"/>
      <x:c r="M164" s="89"/>
      <x:c r="N164" s="89"/>
      <x:c r="O164" s="89"/>
      <x:c r="P164" s="89"/>
      <x:c r="Q164" s="89"/>
      <x:c r="R164" s="89"/>
      <x:c r="S164" s="89"/>
      <x:c r="T164" s="89"/>
      <x:c r="U164" s="89"/>
      <x:c r="V164" s="89"/>
      <x:c r="W164" s="89"/>
      <x:c r="X164" s="89"/>
      <x:c r="Y164" s="89"/>
      <x:c r="Z164" s="89"/>
    </x:row>
    <x:row r="165">
      <x:c r="A165" s="89"/>
      <x:c r="B165" s="89"/>
      <x:c r="C165" s="89"/>
      <x:c r="D165" s="89"/>
      <x:c r="E165" s="89"/>
      <x:c r="F165" s="89"/>
      <x:c r="G165" s="89"/>
      <x:c r="H165" s="89"/>
      <x:c r="I165" s="89"/>
      <x:c r="J165" s="89"/>
      <x:c r="K165" s="89"/>
      <x:c r="L165" s="89"/>
      <x:c r="M165" s="89"/>
      <x:c r="N165" s="89"/>
      <x:c r="O165" s="89"/>
      <x:c r="P165" s="89"/>
      <x:c r="Q165" s="89"/>
      <x:c r="R165" s="89"/>
      <x:c r="S165" s="89"/>
      <x:c r="T165" s="89"/>
      <x:c r="U165" s="89"/>
      <x:c r="V165" s="89"/>
      <x:c r="W165" s="89"/>
      <x:c r="X165" s="89"/>
      <x:c r="Y165" s="89"/>
      <x:c r="Z165" s="89"/>
    </x:row>
    <x:row r="166">
      <x:c r="A166" s="89"/>
      <x:c r="B166" s="89"/>
      <x:c r="C166" s="89"/>
      <x:c r="D166" s="89"/>
      <x:c r="E166" s="89"/>
      <x:c r="F166" s="89"/>
      <x:c r="G166" s="89"/>
      <x:c r="H166" s="89"/>
      <x:c r="I166" s="89"/>
      <x:c r="J166" s="89"/>
      <x:c r="K166" s="89"/>
      <x:c r="L166" s="89"/>
      <x:c r="M166" s="89"/>
      <x:c r="N166" s="89"/>
      <x:c r="O166" s="89"/>
      <x:c r="P166" s="89"/>
      <x:c r="Q166" s="89"/>
      <x:c r="R166" s="89"/>
      <x:c r="S166" s="89"/>
      <x:c r="T166" s="89"/>
      <x:c r="U166" s="89"/>
      <x:c r="V166" s="89"/>
      <x:c r="W166" s="89"/>
      <x:c r="X166" s="89"/>
      <x:c r="Y166" s="89"/>
      <x:c r="Z166" s="89"/>
    </x:row>
    <x:row r="167">
      <x:c r="A167" s="89"/>
      <x:c r="B167" s="89"/>
      <x:c r="C167" s="89"/>
      <x:c r="D167" s="89"/>
      <x:c r="E167" s="89"/>
      <x:c r="F167" s="89"/>
      <x:c r="G167" s="89"/>
      <x:c r="H167" s="89"/>
      <x:c r="I167" s="89"/>
      <x:c r="J167" s="89"/>
      <x:c r="K167" s="89"/>
      <x:c r="L167" s="89"/>
      <x:c r="M167" s="89"/>
      <x:c r="N167" s="89"/>
      <x:c r="O167" s="89"/>
      <x:c r="P167" s="89"/>
      <x:c r="Q167" s="89"/>
      <x:c r="R167" s="89"/>
      <x:c r="S167" s="89"/>
      <x:c r="T167" s="89"/>
      <x:c r="U167" s="89"/>
      <x:c r="V167" s="89"/>
      <x:c r="W167" s="89"/>
      <x:c r="X167" s="89"/>
      <x:c r="Y167" s="89"/>
      <x:c r="Z167" s="89"/>
    </x:row>
    <x:row r="168">
      <x:c r="A168" s="89"/>
      <x:c r="B168" s="89"/>
      <x:c r="C168" s="89"/>
      <x:c r="D168" s="89"/>
      <x:c r="E168" s="89"/>
      <x:c r="F168" s="89"/>
      <x:c r="G168" s="89"/>
      <x:c r="H168" s="89"/>
      <x:c r="I168" s="89"/>
      <x:c r="J168" s="89"/>
      <x:c r="K168" s="89"/>
      <x:c r="L168" s="89"/>
      <x:c r="M168" s="89"/>
      <x:c r="N168" s="89"/>
      <x:c r="O168" s="89"/>
      <x:c r="P168" s="89"/>
      <x:c r="Q168" s="89"/>
      <x:c r="R168" s="89"/>
      <x:c r="S168" s="89"/>
      <x:c r="T168" s="89"/>
      <x:c r="U168" s="89"/>
      <x:c r="V168" s="89"/>
      <x:c r="W168" s="89"/>
      <x:c r="X168" s="89"/>
      <x:c r="Y168" s="89"/>
      <x:c r="Z168" s="89"/>
    </x:row>
    <x:row r="169">
      <x:c r="A169" s="89"/>
      <x:c r="B169" s="89"/>
      <x:c r="C169" s="89"/>
      <x:c r="D169" s="89"/>
      <x:c r="E169" s="89"/>
      <x:c r="F169" s="89"/>
      <x:c r="G169" s="89"/>
      <x:c r="H169" s="89"/>
      <x:c r="I169" s="89"/>
      <x:c r="J169" s="89"/>
      <x:c r="K169" s="89"/>
      <x:c r="L169" s="89"/>
      <x:c r="M169" s="89"/>
      <x:c r="N169" s="89"/>
      <x:c r="O169" s="89"/>
      <x:c r="P169" s="89"/>
      <x:c r="Q169" s="89"/>
      <x:c r="R169" s="89"/>
      <x:c r="S169" s="89"/>
      <x:c r="T169" s="89"/>
      <x:c r="U169" s="89"/>
      <x:c r="V169" s="89"/>
      <x:c r="W169" s="89"/>
      <x:c r="X169" s="89"/>
      <x:c r="Y169" s="89"/>
      <x:c r="Z169" s="89"/>
    </x:row>
    <x:row r="170">
      <x:c r="A170" s="89"/>
      <x:c r="B170" s="89"/>
      <x:c r="C170" s="89"/>
      <x:c r="D170" s="89"/>
      <x:c r="E170" s="89"/>
      <x:c r="F170" s="89"/>
      <x:c r="G170" s="89"/>
      <x:c r="H170" s="89"/>
      <x:c r="I170" s="89"/>
      <x:c r="J170" s="89"/>
      <x:c r="K170" s="89"/>
      <x:c r="L170" s="89"/>
      <x:c r="M170" s="89"/>
      <x:c r="N170" s="89"/>
      <x:c r="O170" s="89"/>
      <x:c r="P170" s="89"/>
      <x:c r="Q170" s="89"/>
      <x:c r="R170" s="89"/>
      <x:c r="S170" s="89"/>
      <x:c r="T170" s="89"/>
      <x:c r="U170" s="89"/>
      <x:c r="V170" s="89"/>
      <x:c r="W170" s="89"/>
      <x:c r="X170" s="89"/>
      <x:c r="Y170" s="89"/>
      <x:c r="Z170" s="89"/>
    </x:row>
    <x:row r="171">
      <x:c r="A171" s="89"/>
      <x:c r="B171" s="89"/>
      <x:c r="C171" s="89"/>
      <x:c r="D171" s="89"/>
      <x:c r="E171" s="89"/>
      <x:c r="F171" s="89"/>
      <x:c r="G171" s="89"/>
      <x:c r="H171" s="89"/>
      <x:c r="I171" s="89"/>
      <x:c r="J171" s="89"/>
      <x:c r="K171" s="89"/>
      <x:c r="L171" s="89"/>
      <x:c r="M171" s="89"/>
      <x:c r="N171" s="89"/>
      <x:c r="O171" s="89"/>
      <x:c r="P171" s="89"/>
      <x:c r="Q171" s="89"/>
      <x:c r="R171" s="89"/>
      <x:c r="S171" s="89"/>
      <x:c r="T171" s="89"/>
      <x:c r="U171" s="89"/>
      <x:c r="V171" s="89"/>
      <x:c r="W171" s="89"/>
      <x:c r="X171" s="89"/>
      <x:c r="Y171" s="89"/>
      <x:c r="Z171" s="89"/>
    </x:row>
    <x:row r="172">
      <x:c r="A172" s="89"/>
      <x:c r="B172" s="89"/>
      <x:c r="C172" s="89"/>
      <x:c r="D172" s="89"/>
      <x:c r="E172" s="89"/>
      <x:c r="F172" s="89"/>
      <x:c r="G172" s="89"/>
      <x:c r="H172" s="89"/>
      <x:c r="I172" s="89"/>
      <x:c r="J172" s="89"/>
      <x:c r="K172" s="89"/>
      <x:c r="L172" s="89"/>
      <x:c r="M172" s="89"/>
      <x:c r="N172" s="89"/>
      <x:c r="O172" s="89"/>
      <x:c r="P172" s="89"/>
      <x:c r="Q172" s="89"/>
      <x:c r="R172" s="89"/>
      <x:c r="S172" s="89"/>
      <x:c r="T172" s="89"/>
      <x:c r="U172" s="89"/>
      <x:c r="V172" s="89"/>
      <x:c r="W172" s="89"/>
      <x:c r="X172" s="89"/>
      <x:c r="Y172" s="89"/>
      <x:c r="Z172" s="89"/>
    </x:row>
    <x:row r="173">
      <x:c r="A173" s="89"/>
      <x:c r="B173" s="89"/>
      <x:c r="C173" s="89"/>
      <x:c r="D173" s="89"/>
      <x:c r="E173" s="89"/>
      <x:c r="F173" s="89"/>
      <x:c r="G173" s="89"/>
      <x:c r="H173" s="89"/>
      <x:c r="I173" s="89"/>
      <x:c r="J173" s="89"/>
      <x:c r="K173" s="89"/>
      <x:c r="L173" s="89"/>
      <x:c r="M173" s="89"/>
      <x:c r="N173" s="89"/>
      <x:c r="O173" s="89"/>
      <x:c r="P173" s="89"/>
      <x:c r="Q173" s="89"/>
      <x:c r="R173" s="89"/>
      <x:c r="S173" s="89"/>
      <x:c r="T173" s="89"/>
      <x:c r="U173" s="89"/>
      <x:c r="V173" s="89"/>
      <x:c r="W173" s="89"/>
      <x:c r="X173" s="89"/>
      <x:c r="Y173" s="89"/>
      <x:c r="Z173" s="89"/>
    </x:row>
    <x:row r="174">
      <x:c r="A174" s="89"/>
      <x:c r="B174" s="89"/>
      <x:c r="C174" s="89"/>
      <x:c r="D174" s="89"/>
      <x:c r="E174" s="89"/>
      <x:c r="F174" s="89"/>
      <x:c r="G174" s="89"/>
      <x:c r="H174" s="89"/>
      <x:c r="I174" s="89"/>
      <x:c r="J174" s="89"/>
      <x:c r="K174" s="89"/>
      <x:c r="L174" s="89"/>
      <x:c r="M174" s="89"/>
      <x:c r="N174" s="89"/>
      <x:c r="O174" s="89"/>
      <x:c r="P174" s="89"/>
      <x:c r="Q174" s="89"/>
      <x:c r="R174" s="89"/>
      <x:c r="S174" s="89"/>
      <x:c r="T174" s="89"/>
      <x:c r="U174" s="89"/>
      <x:c r="V174" s="89"/>
      <x:c r="W174" s="89"/>
      <x:c r="X174" s="89"/>
      <x:c r="Y174" s="89"/>
      <x:c r="Z174" s="89"/>
    </x:row>
    <x:row r="175">
      <x:c r="A175" s="89"/>
      <x:c r="B175" s="89"/>
      <x:c r="C175" s="89"/>
      <x:c r="D175" s="89"/>
      <x:c r="E175" s="89"/>
      <x:c r="F175" s="89"/>
      <x:c r="G175" s="89"/>
      <x:c r="H175" s="89"/>
      <x:c r="I175" s="89"/>
      <x:c r="J175" s="89"/>
      <x:c r="K175" s="89"/>
      <x:c r="L175" s="89"/>
      <x:c r="M175" s="89"/>
      <x:c r="N175" s="89"/>
      <x:c r="O175" s="89"/>
      <x:c r="P175" s="89"/>
      <x:c r="Q175" s="89"/>
      <x:c r="R175" s="89"/>
      <x:c r="S175" s="89"/>
      <x:c r="T175" s="89"/>
      <x:c r="U175" s="89"/>
      <x:c r="V175" s="89"/>
      <x:c r="W175" s="89"/>
      <x:c r="X175" s="89"/>
      <x:c r="Y175" s="89"/>
      <x:c r="Z175" s="89"/>
    </x:row>
    <x:row r="176">
      <x:c r="A176" s="89"/>
      <x:c r="B176" s="89"/>
      <x:c r="C176" s="89"/>
      <x:c r="D176" s="89"/>
      <x:c r="E176" s="89"/>
      <x:c r="F176" s="89"/>
      <x:c r="G176" s="89"/>
      <x:c r="H176" s="89"/>
      <x:c r="I176" s="89"/>
      <x:c r="J176" s="89"/>
      <x:c r="K176" s="89"/>
      <x:c r="L176" s="89"/>
      <x:c r="M176" s="89"/>
      <x:c r="N176" s="89"/>
      <x:c r="O176" s="89"/>
      <x:c r="P176" s="89"/>
      <x:c r="Q176" s="89"/>
      <x:c r="R176" s="89"/>
      <x:c r="S176" s="89"/>
      <x:c r="T176" s="89"/>
      <x:c r="U176" s="89"/>
      <x:c r="V176" s="89"/>
      <x:c r="W176" s="89"/>
      <x:c r="X176" s="89"/>
      <x:c r="Y176" s="89"/>
      <x:c r="Z176" s="89"/>
    </x:row>
    <x:row r="177">
      <x:c r="A177" s="89"/>
      <x:c r="B177" s="89"/>
      <x:c r="C177" s="89"/>
      <x:c r="D177" s="89"/>
      <x:c r="E177" s="89"/>
      <x:c r="F177" s="89"/>
      <x:c r="G177" s="89"/>
      <x:c r="H177" s="89"/>
      <x:c r="I177" s="89"/>
      <x:c r="J177" s="89"/>
      <x:c r="K177" s="89"/>
      <x:c r="L177" s="89"/>
      <x:c r="M177" s="89"/>
      <x:c r="N177" s="89"/>
      <x:c r="O177" s="89"/>
      <x:c r="P177" s="89"/>
      <x:c r="Q177" s="89"/>
      <x:c r="R177" s="89"/>
      <x:c r="S177" s="89"/>
      <x:c r="T177" s="89"/>
      <x:c r="U177" s="89"/>
      <x:c r="V177" s="89"/>
      <x:c r="W177" s="89"/>
      <x:c r="X177" s="89"/>
      <x:c r="Y177" s="89"/>
      <x:c r="Z177" s="89"/>
    </x:row>
    <x:row r="178">
      <x:c r="A178" s="89"/>
      <x:c r="B178" s="89"/>
      <x:c r="C178" s="89"/>
      <x:c r="D178" s="89"/>
      <x:c r="E178" s="89"/>
      <x:c r="F178" s="89"/>
      <x:c r="G178" s="89"/>
      <x:c r="H178" s="89"/>
      <x:c r="I178" s="89"/>
      <x:c r="J178" s="89"/>
      <x:c r="K178" s="89"/>
      <x:c r="L178" s="89"/>
      <x:c r="M178" s="89"/>
      <x:c r="N178" s="89"/>
      <x:c r="O178" s="89"/>
      <x:c r="P178" s="89"/>
      <x:c r="Q178" s="89"/>
      <x:c r="R178" s="89"/>
      <x:c r="S178" s="89"/>
      <x:c r="T178" s="89"/>
      <x:c r="U178" s="89"/>
      <x:c r="V178" s="89"/>
      <x:c r="W178" s="89"/>
      <x:c r="X178" s="89"/>
      <x:c r="Y178" s="89"/>
      <x:c r="Z178" s="89"/>
    </x:row>
    <x:row r="179">
      <x:c r="A179" s="89"/>
      <x:c r="B179" s="89"/>
      <x:c r="C179" s="89"/>
      <x:c r="D179" s="89"/>
      <x:c r="E179" s="89"/>
      <x:c r="F179" s="89"/>
      <x:c r="G179" s="89"/>
      <x:c r="H179" s="89"/>
      <x:c r="I179" s="89"/>
      <x:c r="J179" s="89"/>
      <x:c r="K179" s="89"/>
      <x:c r="L179" s="89"/>
      <x:c r="M179" s="89"/>
      <x:c r="N179" s="89"/>
      <x:c r="O179" s="89"/>
      <x:c r="P179" s="89"/>
      <x:c r="Q179" s="89"/>
      <x:c r="R179" s="89"/>
      <x:c r="S179" s="89"/>
      <x:c r="T179" s="89"/>
      <x:c r="U179" s="89"/>
      <x:c r="V179" s="89"/>
      <x:c r="W179" s="89"/>
      <x:c r="X179" s="89"/>
      <x:c r="Y179" s="89"/>
      <x:c r="Z179" s="89"/>
    </x:row>
    <x:row r="180">
      <x:c r="A180" s="89"/>
      <x:c r="B180" s="89"/>
      <x:c r="C180" s="89"/>
      <x:c r="D180" s="89"/>
      <x:c r="E180" s="89"/>
      <x:c r="F180" s="89"/>
      <x:c r="G180" s="89"/>
      <x:c r="H180" s="89"/>
      <x:c r="I180" s="89"/>
      <x:c r="J180" s="89"/>
      <x:c r="K180" s="89"/>
      <x:c r="L180" s="89"/>
      <x:c r="M180" s="89"/>
      <x:c r="N180" s="89"/>
      <x:c r="O180" s="89"/>
      <x:c r="P180" s="89"/>
      <x:c r="Q180" s="89"/>
      <x:c r="R180" s="89"/>
      <x:c r="S180" s="89"/>
      <x:c r="T180" s="89"/>
      <x:c r="U180" s="89"/>
      <x:c r="V180" s="89"/>
      <x:c r="W180" s="89"/>
      <x:c r="X180" s="89"/>
      <x:c r="Y180" s="89"/>
      <x:c r="Z180" s="89"/>
    </x:row>
    <x:row r="181">
      <x:c r="A181" s="89"/>
      <x:c r="B181" s="89"/>
      <x:c r="C181" s="89"/>
      <x:c r="D181" s="89"/>
      <x:c r="E181" s="89"/>
      <x:c r="F181" s="89"/>
      <x:c r="G181" s="89"/>
      <x:c r="H181" s="89"/>
      <x:c r="I181" s="89"/>
      <x:c r="J181" s="89"/>
      <x:c r="K181" s="89"/>
      <x:c r="L181" s="89"/>
      <x:c r="M181" s="89"/>
      <x:c r="N181" s="89"/>
      <x:c r="O181" s="89"/>
      <x:c r="P181" s="89"/>
      <x:c r="Q181" s="89"/>
      <x:c r="R181" s="89"/>
      <x:c r="S181" s="89"/>
      <x:c r="T181" s="89"/>
      <x:c r="U181" s="89"/>
      <x:c r="V181" s="89"/>
      <x:c r="W181" s="89"/>
      <x:c r="X181" s="89"/>
      <x:c r="Y181" s="89"/>
      <x:c r="Z181" s="89"/>
    </x:row>
    <x:row r="182">
      <x:c r="A182" s="89"/>
      <x:c r="B182" s="89"/>
      <x:c r="C182" s="89"/>
      <x:c r="D182" s="89"/>
      <x:c r="E182" s="89"/>
      <x:c r="F182" s="89"/>
      <x:c r="G182" s="89"/>
      <x:c r="H182" s="89"/>
      <x:c r="I182" s="89"/>
      <x:c r="J182" s="89"/>
      <x:c r="K182" s="89"/>
      <x:c r="L182" s="89"/>
      <x:c r="M182" s="89"/>
      <x:c r="N182" s="89"/>
      <x:c r="O182" s="89"/>
      <x:c r="P182" s="89"/>
      <x:c r="Q182" s="89"/>
      <x:c r="R182" s="89"/>
      <x:c r="S182" s="89"/>
      <x:c r="T182" s="89"/>
      <x:c r="U182" s="89"/>
      <x:c r="V182" s="89"/>
      <x:c r="W182" s="89"/>
      <x:c r="X182" s="89"/>
      <x:c r="Y182" s="89"/>
      <x:c r="Z182" s="89"/>
    </x:row>
    <x:row r="183">
      <x:c r="A183" s="89"/>
      <x:c r="B183" s="89"/>
      <x:c r="C183" s="89"/>
      <x:c r="D183" s="89"/>
      <x:c r="E183" s="89"/>
      <x:c r="F183" s="89"/>
      <x:c r="G183" s="89"/>
      <x:c r="H183" s="89"/>
      <x:c r="I183" s="89"/>
      <x:c r="J183" s="89"/>
      <x:c r="K183" s="89"/>
      <x:c r="L183" s="89"/>
      <x:c r="M183" s="89"/>
      <x:c r="N183" s="89"/>
      <x:c r="O183" s="89"/>
      <x:c r="P183" s="89"/>
      <x:c r="Q183" s="89"/>
      <x:c r="R183" s="89"/>
      <x:c r="S183" s="89"/>
      <x:c r="T183" s="89"/>
      <x:c r="U183" s="89"/>
      <x:c r="V183" s="89"/>
      <x:c r="W183" s="89"/>
      <x:c r="X183" s="89"/>
      <x:c r="Y183" s="89"/>
      <x:c r="Z183" s="89"/>
    </x:row>
    <x:row r="184">
      <x:c r="A184" s="89"/>
      <x:c r="B184" s="89"/>
      <x:c r="C184" s="89"/>
      <x:c r="D184" s="89"/>
      <x:c r="E184" s="89"/>
      <x:c r="F184" s="89"/>
      <x:c r="G184" s="89"/>
      <x:c r="H184" s="89"/>
      <x:c r="I184" s="89"/>
      <x:c r="J184" s="89"/>
      <x:c r="K184" s="89"/>
      <x:c r="L184" s="89"/>
      <x:c r="M184" s="89"/>
      <x:c r="N184" s="89"/>
      <x:c r="O184" s="89"/>
      <x:c r="P184" s="89"/>
      <x:c r="Q184" s="89"/>
      <x:c r="R184" s="89"/>
      <x:c r="S184" s="89"/>
      <x:c r="T184" s="89"/>
      <x:c r="U184" s="89"/>
      <x:c r="V184" s="89"/>
      <x:c r="W184" s="89"/>
      <x:c r="X184" s="89"/>
      <x:c r="Y184" s="89"/>
      <x:c r="Z184" s="89"/>
    </x:row>
    <x:row r="185">
      <x:c r="A185" s="89"/>
      <x:c r="B185" s="89"/>
      <x:c r="C185" s="89"/>
      <x:c r="D185" s="89"/>
      <x:c r="E185" s="89"/>
      <x:c r="F185" s="89"/>
      <x:c r="G185" s="89"/>
      <x:c r="H185" s="89"/>
      <x:c r="I185" s="89"/>
      <x:c r="J185" s="89"/>
      <x:c r="K185" s="89"/>
      <x:c r="L185" s="89"/>
      <x:c r="M185" s="89"/>
      <x:c r="N185" s="89"/>
      <x:c r="O185" s="89"/>
      <x:c r="P185" s="89"/>
      <x:c r="Q185" s="89"/>
      <x:c r="R185" s="89"/>
      <x:c r="S185" s="89"/>
      <x:c r="T185" s="89"/>
      <x:c r="U185" s="89"/>
      <x:c r="V185" s="89"/>
      <x:c r="W185" s="89"/>
      <x:c r="X185" s="89"/>
      <x:c r="Y185" s="89"/>
      <x:c r="Z185" s="89"/>
    </x:row>
    <x:row r="186">
      <x:c r="A186" s="89"/>
      <x:c r="B186" s="89"/>
      <x:c r="C186" s="89"/>
      <x:c r="D186" s="89"/>
      <x:c r="E186" s="89"/>
      <x:c r="F186" s="89"/>
      <x:c r="G186" s="89"/>
      <x:c r="H186" s="89"/>
      <x:c r="I186" s="89"/>
      <x:c r="J186" s="89"/>
      <x:c r="K186" s="89"/>
      <x:c r="L186" s="89"/>
      <x:c r="M186" s="89"/>
      <x:c r="N186" s="89"/>
      <x:c r="O186" s="89"/>
      <x:c r="P186" s="89"/>
      <x:c r="Q186" s="89"/>
      <x:c r="R186" s="89"/>
      <x:c r="S186" s="89"/>
      <x:c r="T186" s="89"/>
      <x:c r="U186" s="89"/>
      <x:c r="V186" s="89"/>
      <x:c r="W186" s="89"/>
      <x:c r="X186" s="89"/>
      <x:c r="Y186" s="89"/>
      <x:c r="Z186" s="89"/>
    </x:row>
    <x:row r="187">
      <x:c r="A187" s="89"/>
      <x:c r="B187" s="89"/>
      <x:c r="C187" s="89"/>
      <x:c r="D187" s="89"/>
      <x:c r="E187" s="89"/>
      <x:c r="F187" s="89"/>
      <x:c r="G187" s="89"/>
      <x:c r="H187" s="89"/>
      <x:c r="I187" s="89"/>
      <x:c r="J187" s="89"/>
      <x:c r="K187" s="89"/>
      <x:c r="L187" s="89"/>
      <x:c r="M187" s="89"/>
      <x:c r="N187" s="89"/>
      <x:c r="O187" s="89"/>
      <x:c r="P187" s="89"/>
      <x:c r="Q187" s="89"/>
      <x:c r="R187" s="89"/>
      <x:c r="S187" s="89"/>
      <x:c r="T187" s="89"/>
      <x:c r="U187" s="89"/>
      <x:c r="V187" s="89"/>
      <x:c r="W187" s="89"/>
      <x:c r="X187" s="89"/>
      <x:c r="Y187" s="89"/>
      <x:c r="Z187" s="89"/>
    </x:row>
    <x:row r="188">
      <x:c r="A188" s="89"/>
      <x:c r="B188" s="89"/>
      <x:c r="C188" s="89"/>
      <x:c r="D188" s="89"/>
      <x:c r="E188" s="89"/>
      <x:c r="F188" s="89"/>
      <x:c r="G188" s="89"/>
      <x:c r="H188" s="89"/>
      <x:c r="I188" s="89"/>
      <x:c r="J188" s="89"/>
      <x:c r="K188" s="89"/>
      <x:c r="L188" s="89"/>
      <x:c r="M188" s="89"/>
      <x:c r="N188" s="89"/>
      <x:c r="O188" s="89"/>
      <x:c r="P188" s="89"/>
      <x:c r="Q188" s="89"/>
      <x:c r="R188" s="89"/>
      <x:c r="S188" s="89"/>
      <x:c r="T188" s="89"/>
      <x:c r="U188" s="89"/>
      <x:c r="V188" s="89"/>
      <x:c r="W188" s="89"/>
      <x:c r="X188" s="89"/>
      <x:c r="Y188" s="89"/>
      <x:c r="Z188" s="89"/>
    </x:row>
    <x:row r="189">
      <x:c r="A189" s="89"/>
      <x:c r="B189" s="89"/>
      <x:c r="C189" s="89"/>
      <x:c r="D189" s="89"/>
      <x:c r="E189" s="89"/>
      <x:c r="F189" s="89"/>
      <x:c r="G189" s="89"/>
      <x:c r="H189" s="89"/>
      <x:c r="I189" s="89"/>
      <x:c r="J189" s="89"/>
      <x:c r="K189" s="89"/>
      <x:c r="L189" s="89"/>
      <x:c r="M189" s="89"/>
      <x:c r="N189" s="89"/>
      <x:c r="O189" s="89"/>
      <x:c r="P189" s="89"/>
      <x:c r="Q189" s="89"/>
      <x:c r="R189" s="89"/>
      <x:c r="S189" s="89"/>
      <x:c r="T189" s="89"/>
      <x:c r="U189" s="89"/>
      <x:c r="V189" s="89"/>
      <x:c r="W189" s="89"/>
      <x:c r="X189" s="89"/>
      <x:c r="Y189" s="89"/>
      <x:c r="Z189" s="89"/>
    </x:row>
    <x:row r="190">
      <x:c r="A190" s="89"/>
      <x:c r="B190" s="89"/>
      <x:c r="C190" s="89"/>
      <x:c r="D190" s="89"/>
      <x:c r="E190" s="89"/>
      <x:c r="F190" s="89"/>
      <x:c r="G190" s="89"/>
      <x:c r="H190" s="89"/>
      <x:c r="I190" s="89"/>
      <x:c r="J190" s="89"/>
      <x:c r="K190" s="89"/>
      <x:c r="L190" s="89"/>
      <x:c r="M190" s="89"/>
      <x:c r="N190" s="89"/>
      <x:c r="O190" s="89"/>
      <x:c r="P190" s="89"/>
      <x:c r="Q190" s="89"/>
      <x:c r="R190" s="89"/>
      <x:c r="S190" s="89"/>
      <x:c r="T190" s="89"/>
      <x:c r="U190" s="89"/>
      <x:c r="V190" s="89"/>
      <x:c r="W190" s="89"/>
      <x:c r="X190" s="89"/>
      <x:c r="Y190" s="89"/>
      <x:c r="Z190" s="89"/>
    </x:row>
    <x:row r="191">
      <x:c r="A191" s="89"/>
      <x:c r="B191" s="89"/>
      <x:c r="C191" s="89"/>
      <x:c r="D191" s="89"/>
      <x:c r="E191" s="89"/>
      <x:c r="F191" s="89"/>
      <x:c r="G191" s="89"/>
      <x:c r="H191" s="89"/>
      <x:c r="I191" s="89"/>
      <x:c r="J191" s="89"/>
      <x:c r="K191" s="89"/>
      <x:c r="L191" s="89"/>
      <x:c r="M191" s="89"/>
      <x:c r="N191" s="89"/>
      <x:c r="O191" s="89"/>
      <x:c r="P191" s="89"/>
      <x:c r="Q191" s="89"/>
      <x:c r="R191" s="89"/>
      <x:c r="S191" s="89"/>
      <x:c r="T191" s="89"/>
      <x:c r="U191" s="89"/>
      <x:c r="V191" s="89"/>
      <x:c r="W191" s="89"/>
      <x:c r="X191" s="89"/>
      <x:c r="Y191" s="89"/>
      <x:c r="Z191" s="89"/>
    </x:row>
    <x:row r="192">
      <x:c r="A192" s="89"/>
      <x:c r="B192" s="89"/>
      <x:c r="C192" s="89"/>
      <x:c r="D192" s="89"/>
      <x:c r="E192" s="89"/>
      <x:c r="F192" s="89"/>
      <x:c r="G192" s="89"/>
      <x:c r="H192" s="89"/>
      <x:c r="I192" s="89"/>
      <x:c r="J192" s="89"/>
      <x:c r="K192" s="89"/>
      <x:c r="L192" s="89"/>
      <x:c r="M192" s="89"/>
      <x:c r="N192" s="89"/>
      <x:c r="O192" s="89"/>
      <x:c r="P192" s="89"/>
      <x:c r="Q192" s="89"/>
      <x:c r="R192" s="89"/>
      <x:c r="S192" s="89"/>
      <x:c r="T192" s="89"/>
      <x:c r="U192" s="89"/>
      <x:c r="V192" s="89"/>
      <x:c r="W192" s="89"/>
      <x:c r="X192" s="89"/>
      <x:c r="Y192" s="89"/>
      <x:c r="Z192" s="89"/>
    </x:row>
    <x:row r="193">
      <x:c r="A193" s="89"/>
      <x:c r="B193" s="89"/>
      <x:c r="C193" s="89"/>
      <x:c r="D193" s="89"/>
      <x:c r="E193" s="89"/>
      <x:c r="F193" s="89"/>
      <x:c r="G193" s="89"/>
      <x:c r="H193" s="89"/>
      <x:c r="I193" s="89"/>
      <x:c r="J193" s="89"/>
      <x:c r="K193" s="89"/>
      <x:c r="L193" s="89"/>
      <x:c r="M193" s="89"/>
      <x:c r="N193" s="89"/>
      <x:c r="O193" s="89"/>
      <x:c r="P193" s="89"/>
      <x:c r="Q193" s="89"/>
      <x:c r="R193" s="89"/>
      <x:c r="S193" s="89"/>
      <x:c r="T193" s="89"/>
      <x:c r="U193" s="89"/>
      <x:c r="V193" s="89"/>
      <x:c r="W193" s="89"/>
      <x:c r="X193" s="89"/>
      <x:c r="Y193" s="89"/>
      <x:c r="Z193" s="89"/>
    </x:row>
    <x:row r="194">
      <x:c r="A194" s="89"/>
      <x:c r="B194" s="89"/>
      <x:c r="C194" s="89"/>
      <x:c r="D194" s="89"/>
      <x:c r="E194" s="89"/>
      <x:c r="F194" s="89"/>
      <x:c r="G194" s="89"/>
      <x:c r="H194" s="89"/>
      <x:c r="I194" s="89"/>
      <x:c r="J194" s="89"/>
      <x:c r="K194" s="89"/>
      <x:c r="L194" s="89"/>
      <x:c r="M194" s="89"/>
      <x:c r="N194" s="89"/>
      <x:c r="O194" s="89"/>
      <x:c r="P194" s="89"/>
      <x:c r="Q194" s="89"/>
      <x:c r="R194" s="89"/>
      <x:c r="S194" s="89"/>
      <x:c r="T194" s="89"/>
      <x:c r="U194" s="89"/>
      <x:c r="V194" s="89"/>
      <x:c r="W194" s="89"/>
      <x:c r="X194" s="89"/>
      <x:c r="Y194" s="89"/>
      <x:c r="Z194" s="89"/>
    </x:row>
    <x:row r="195">
      <x:c r="A195" s="89"/>
      <x:c r="B195" s="89"/>
      <x:c r="C195" s="89"/>
      <x:c r="D195" s="89"/>
      <x:c r="E195" s="89"/>
      <x:c r="F195" s="89"/>
      <x:c r="G195" s="89"/>
      <x:c r="H195" s="89"/>
      <x:c r="I195" s="89"/>
      <x:c r="J195" s="89"/>
      <x:c r="K195" s="89"/>
      <x:c r="L195" s="89"/>
      <x:c r="M195" s="89"/>
      <x:c r="N195" s="89"/>
      <x:c r="O195" s="89"/>
      <x:c r="P195" s="89"/>
      <x:c r="Q195" s="89"/>
      <x:c r="R195" s="89"/>
      <x:c r="S195" s="89"/>
      <x:c r="T195" s="89"/>
      <x:c r="U195" s="89"/>
      <x:c r="V195" s="89"/>
      <x:c r="W195" s="89"/>
      <x:c r="X195" s="89"/>
      <x:c r="Y195" s="89"/>
      <x:c r="Z195" s="89"/>
    </x:row>
    <x:row r="196">
      <x:c r="A196" s="89"/>
      <x:c r="B196" s="89"/>
      <x:c r="C196" s="89"/>
      <x:c r="D196" s="89"/>
      <x:c r="E196" s="89"/>
      <x:c r="F196" s="89"/>
      <x:c r="G196" s="89"/>
      <x:c r="H196" s="89"/>
      <x:c r="I196" s="89"/>
      <x:c r="J196" s="89"/>
      <x:c r="K196" s="89"/>
      <x:c r="L196" s="89"/>
      <x:c r="M196" s="89"/>
      <x:c r="N196" s="89"/>
      <x:c r="O196" s="89"/>
      <x:c r="P196" s="89"/>
      <x:c r="Q196" s="89"/>
      <x:c r="R196" s="89"/>
      <x:c r="S196" s="89"/>
      <x:c r="T196" s="89"/>
      <x:c r="U196" s="89"/>
      <x:c r="V196" s="89"/>
      <x:c r="W196" s="89"/>
      <x:c r="X196" s="89"/>
      <x:c r="Y196" s="89"/>
      <x:c r="Z196" s="89"/>
    </x:row>
    <x:row r="197">
      <x:c r="A197" s="89"/>
      <x:c r="B197" s="89"/>
      <x:c r="C197" s="89"/>
      <x:c r="D197" s="89"/>
      <x:c r="E197" s="89"/>
      <x:c r="F197" s="89"/>
      <x:c r="G197" s="89"/>
      <x:c r="H197" s="89"/>
      <x:c r="I197" s="89"/>
      <x:c r="J197" s="89"/>
      <x:c r="K197" s="89"/>
      <x:c r="L197" s="89"/>
      <x:c r="M197" s="89"/>
      <x:c r="N197" s="89"/>
      <x:c r="O197" s="89"/>
      <x:c r="P197" s="89"/>
      <x:c r="Q197" s="89"/>
      <x:c r="R197" s="89"/>
      <x:c r="S197" s="89"/>
      <x:c r="T197" s="89"/>
      <x:c r="U197" s="89"/>
      <x:c r="V197" s="89"/>
      <x:c r="W197" s="89"/>
      <x:c r="X197" s="89"/>
      <x:c r="Y197" s="89"/>
      <x:c r="Z197" s="89"/>
    </x:row>
    <x:row r="198">
      <x:c r="A198" s="89"/>
      <x:c r="B198" s="89"/>
      <x:c r="C198" s="89"/>
      <x:c r="D198" s="89"/>
      <x:c r="E198" s="89"/>
      <x:c r="F198" s="89"/>
      <x:c r="G198" s="89"/>
      <x:c r="H198" s="89"/>
      <x:c r="I198" s="89"/>
      <x:c r="J198" s="89"/>
      <x:c r="K198" s="89"/>
      <x:c r="L198" s="89"/>
      <x:c r="M198" s="89"/>
      <x:c r="N198" s="89"/>
      <x:c r="O198" s="89"/>
      <x:c r="P198" s="89"/>
      <x:c r="Q198" s="89"/>
      <x:c r="R198" s="89"/>
      <x:c r="S198" s="89"/>
      <x:c r="T198" s="89"/>
      <x:c r="U198" s="89"/>
      <x:c r="V198" s="89"/>
      <x:c r="W198" s="89"/>
      <x:c r="X198" s="89"/>
      <x:c r="Y198" s="89"/>
      <x:c r="Z198" s="89"/>
    </x:row>
    <x:row r="199">
      <x:c r="A199" s="89"/>
      <x:c r="B199" s="89"/>
      <x:c r="C199" s="89"/>
      <x:c r="D199" s="89"/>
      <x:c r="E199" s="89"/>
      <x:c r="F199" s="89"/>
      <x:c r="G199" s="89"/>
      <x:c r="H199" s="89"/>
      <x:c r="I199" s="89"/>
      <x:c r="J199" s="89"/>
      <x:c r="K199" s="89"/>
      <x:c r="L199" s="89"/>
      <x:c r="M199" s="89"/>
      <x:c r="N199" s="89"/>
      <x:c r="O199" s="89"/>
      <x:c r="P199" s="89"/>
      <x:c r="Q199" s="89"/>
      <x:c r="R199" s="89"/>
      <x:c r="S199" s="89"/>
      <x:c r="T199" s="89"/>
      <x:c r="U199" s="89"/>
      <x:c r="V199" s="89"/>
      <x:c r="W199" s="89"/>
      <x:c r="X199" s="89"/>
      <x:c r="Y199" s="89"/>
      <x:c r="Z199" s="89"/>
    </x:row>
    <x:row r="200">
      <x:c r="A200" s="89"/>
      <x:c r="B200" s="89"/>
      <x:c r="C200" s="89"/>
      <x:c r="D200" s="89"/>
      <x:c r="E200" s="89"/>
      <x:c r="F200" s="89"/>
      <x:c r="G200" s="89"/>
      <x:c r="H200" s="89"/>
      <x:c r="I200" s="89"/>
      <x:c r="J200" s="89"/>
      <x:c r="K200" s="89"/>
      <x:c r="L200" s="89"/>
      <x:c r="M200" s="89"/>
      <x:c r="N200" s="89"/>
      <x:c r="O200" s="89"/>
      <x:c r="P200" s="89"/>
      <x:c r="Q200" s="89"/>
      <x:c r="R200" s="89"/>
      <x:c r="S200" s="89"/>
      <x:c r="T200" s="89"/>
      <x:c r="U200" s="89"/>
      <x:c r="V200" s="89"/>
      <x:c r="W200" s="89"/>
      <x:c r="X200" s="89"/>
      <x:c r="Y200" s="89"/>
      <x:c r="Z200" s="89"/>
    </x:row>
  </x:sheetData>
  <x:mergeCells>
    <x:mergeCell ref="A1:I1"/>
  </x:mergeCells>
  <x:conditionalFormatting sqref="F4:F103">
    <x:cfRule type="expression" dxfId="14" priority="1">
      <x:formula>$F4="Yayınlandı"</x:formula>
    </x:cfRule>
    <x:cfRule type="expression" dxfId="15" priority="2">
      <x:formula>$F4="Hazır"</x:formula>
    </x:cfRule>
  </x:conditionalFormatting>
  <x:dataValidations count="1">
    <x:dataValidation type="list" sqref="F4:F103">
      <x:formula1>"Fikir,Çekilecek,Düzenleniyor,Hazır,Yayınlandı"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9658889692c0412a"/>
  </x:tableParts>
</x:worksheet>
</file>

<file path=xl/worksheets/sheet9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8" hidden="0" customWidth="1"/>
    <x:col min="3" max="3" width="4" hidden="0" customWidth="1"/>
    <x:col min="4" max="4" width="22" hidden="0" customWidth="1"/>
    <x:col min="5" max="5" width="12" hidden="0" customWidth="1"/>
    <x:col min="6" max="6" width="28" hidden="0" customWidth="1"/>
    <x:col min="7" max="7" width="12" hidden="0" customWidth="1"/>
    <x:col min="8" max="8" width="12" hidden="0" customWidth="1"/>
  </x:cols>
  <x:sheetData>
    <x:row r="1">
      <x:c r="A1" s="126" t="str">
        <x:v>BunuDaBastık3D - Mini İşletme Kokpiti</x:v>
      </x:c>
      <x:c r="B1" s="126"/>
      <x:c r="C1" s="126"/>
      <x:c r="D1" s="126"/>
      <x:c r="E1" s="126"/>
      <x:c r="F1" s="126"/>
      <x:c r="G1" s="126"/>
      <x:c r="H1" s="126"/>
      <x:c r="I1" s="89"/>
      <x:c r="J1" s="89"/>
      <x:c r="K1" s="89"/>
      <x:c r="L1" s="89"/>
      <x:c r="M1" s="89"/>
      <x:c r="N1" s="89"/>
      <x:c r="O1" s="89"/>
      <x:c r="P1" s="89"/>
      <x:c r="Q1" s="89"/>
      <x:c r="R1" s="89"/>
      <x:c r="S1" s="89"/>
      <x:c r="T1" s="89"/>
      <x:c r="U1" s="89"/>
      <x:c r="V1" s="89"/>
      <x:c r="W1" s="89"/>
      <x:c r="X1" s="89"/>
      <x:c r="Y1" s="89"/>
      <x:c r="Z1" s="89"/>
    </x:row>
    <x:row r="2">
      <x:c r="A2" s="90" t="str">
        <x:v>Sipariş, teklif, üretim ve stok durumunu tek ekranda izlemek için özet panel. Mor alanlar marka ayarı, yeşil alanlar sağlıklı, sarı alanlar dikkat, kırmızı alanlar müdahale demek.</x:v>
      </x:c>
      <x:c r="B2" s="90" t="str"/>
      <x:c r="C2" s="90" t="str"/>
      <x:c r="D2" s="90" t="str"/>
      <x:c r="E2" s="90" t="str"/>
      <x:c r="F2" s="90" t="str"/>
      <x:c r="G2" s="90" t="str"/>
      <x:c r="H2" s="90" t="str"/>
      <x:c r="I2" s="89"/>
      <x:c r="J2" s="89"/>
      <x:c r="K2" s="89"/>
      <x:c r="L2" s="89"/>
      <x:c r="M2" s="89"/>
      <x:c r="N2" s="89"/>
      <x:c r="O2" s="89"/>
      <x:c r="P2" s="89"/>
      <x:c r="Q2" s="89"/>
      <x:c r="R2" s="89"/>
      <x:c r="S2" s="89"/>
      <x:c r="T2" s="89"/>
      <x:c r="U2" s="89"/>
      <x:c r="V2" s="89"/>
      <x:c r="W2" s="89"/>
      <x:c r="X2" s="89"/>
      <x:c r="Y2" s="89"/>
      <x:c r="Z2" s="89"/>
    </x:row>
    <x:row r="3">
      <x:c r="A3" s="89"/>
      <x:c r="B3" s="89"/>
      <x:c r="C3" s="89"/>
      <x:c r="D3" s="89"/>
      <x:c r="E3" s="89"/>
      <x:c r="F3" s="89"/>
      <x:c r="G3" s="89"/>
      <x:c r="H3" s="89"/>
      <x:c r="I3" s="89"/>
      <x:c r="J3" s="89"/>
      <x:c r="K3" s="89"/>
      <x:c r="L3" s="89"/>
      <x:c r="M3" s="89"/>
      <x:c r="N3" s="89"/>
      <x:c r="O3" s="89"/>
      <x:c r="P3" s="89"/>
      <x:c r="Q3" s="89"/>
      <x:c r="R3" s="89"/>
      <x:c r="S3" s="89"/>
      <x:c r="T3" s="89"/>
      <x:c r="U3" s="89"/>
      <x:c r="V3" s="89"/>
      <x:c r="W3" s="89"/>
      <x:c r="X3" s="89"/>
      <x:c r="Y3" s="89"/>
      <x:c r="Z3" s="89"/>
    </x:row>
    <x:row r="4">
      <x:c r="A4" s="91" t="str">
        <x:v>KPI</x:v>
      </x:c>
      <x:c r="B4" s="91" t="str">
        <x:v>Değer</x:v>
      </x:c>
      <x:c r="C4" s="89"/>
      <x:c r="D4" s="91" t="str">
        <x:v>Teklif Durumu</x:v>
      </x:c>
      <x:c r="E4" s="91" t="str">
        <x:v>Adet</x:v>
      </x:c>
      <x:c r="F4" s="89"/>
      <x:c r="G4" s="89"/>
      <x:c r="H4" s="89"/>
      <x:c r="I4" s="89"/>
      <x:c r="J4" s="89"/>
      <x:c r="K4" s="89"/>
      <x:c r="L4" s="89"/>
      <x:c r="M4" s="89"/>
      <x:c r="N4" s="89"/>
      <x:c r="O4" s="89"/>
      <x:c r="P4" s="89"/>
      <x:c r="Q4" s="89"/>
      <x:c r="R4" s="89"/>
      <x:c r="S4" s="89"/>
      <x:c r="T4" s="89"/>
      <x:c r="U4" s="89"/>
      <x:c r="V4" s="89"/>
      <x:c r="W4" s="89"/>
      <x:c r="X4" s="89"/>
      <x:c r="Y4" s="89"/>
      <x:c r="Z4" s="89"/>
    </x:row>
    <x:row r="5">
      <x:c r="A5" s="92" t="str">
        <x:v>Toplam Teklif</x:v>
      </x:c>
      <x:c r="B5" s="93" t="n">
        <x:f>COUNTA('Fiyat Hesaplama'!$A$3:$A$102)</x:f>
        <x:v>3</x:v>
      </x:c>
      <x:c r="C5" s="89"/>
      <x:c r="D5" s="89" t="str">
        <x:v>Yeni Talep</x:v>
      </x:c>
      <x:c r="E5" s="89" t="n">
        <x:f>COUNTIF('Fiyat Hesaplama'!$Y$3:$Y$102,D5)</x:f>
        <x:v>0</x:v>
      </x:c>
      <x:c r="F5" s="89"/>
      <x:c r="G5" s="89"/>
      <x:c r="H5" s="89"/>
      <x:c r="I5" s="89"/>
      <x:c r="J5" s="89"/>
      <x:c r="K5" s="89"/>
      <x:c r="L5" s="89"/>
      <x:c r="M5" s="89"/>
      <x:c r="N5" s="89"/>
      <x:c r="O5" s="89"/>
      <x:c r="P5" s="89"/>
      <x:c r="Q5" s="89"/>
      <x:c r="R5" s="89"/>
      <x:c r="S5" s="89"/>
      <x:c r="T5" s="89"/>
      <x:c r="U5" s="89"/>
      <x:c r="V5" s="89"/>
      <x:c r="W5" s="89"/>
      <x:c r="X5" s="89"/>
      <x:c r="Y5" s="89"/>
      <x:c r="Z5" s="89"/>
    </x:row>
    <x:row r="6">
      <x:c r="A6" s="92" t="str">
        <x:v>Onaylanan İş</x:v>
      </x:c>
      <x:c r="B6" s="93" t="n">
        <x:f>COUNTIF('Fiyat Hesaplama'!$Y$3:$Y$102,"Onaylandı")</x:f>
        <x:v>1</x:v>
      </x:c>
      <x:c r="C6" s="89"/>
      <x:c r="D6" s="89" t="str">
        <x:v>Teklif Hazırlanıyor</x:v>
      </x:c>
      <x:c r="E6" s="89" t="n">
        <x:f>COUNTIF('Fiyat Hesaplama'!$Y$3:$Y$102,D6)</x:f>
        <x:v>0</x:v>
      </x:c>
      <x:c r="F6" s="89"/>
      <x:c r="G6" s="89"/>
      <x:c r="H6" s="89"/>
      <x:c r="I6" s="89"/>
      <x:c r="J6" s="89"/>
      <x:c r="K6" s="89"/>
      <x:c r="L6" s="89"/>
      <x:c r="M6" s="89"/>
      <x:c r="N6" s="89"/>
      <x:c r="O6" s="89"/>
      <x:c r="P6" s="89"/>
      <x:c r="Q6" s="89"/>
      <x:c r="R6" s="89"/>
      <x:c r="S6" s="89"/>
      <x:c r="T6" s="89"/>
      <x:c r="U6" s="89"/>
      <x:c r="V6" s="89"/>
      <x:c r="W6" s="89"/>
      <x:c r="X6" s="89"/>
      <x:c r="Y6" s="89"/>
      <x:c r="Z6" s="89"/>
    </x:row>
    <x:row r="7">
      <x:c r="A7" s="92" t="str">
        <x:v>Baskıdaki İş</x:v>
      </x:c>
      <x:c r="B7" s="93" t="n">
        <x:f>COUNTIF('Üretim Takip'!$K$3:$K$102,"Baskıda")</x:f>
        <x:v>0</x:v>
      </x:c>
      <x:c r="C7" s="89"/>
      <x:c r="D7" s="89" t="str">
        <x:v>Teklif Verildi</x:v>
      </x:c>
      <x:c r="E7" s="89" t="n">
        <x:f>COUNTIF('Fiyat Hesaplama'!$Y$3:$Y$102,D7)</x:f>
        <x:v>1</x:v>
      </x:c>
      <x:c r="F7" s="89"/>
      <x:c r="G7" s="89"/>
      <x:c r="H7" s="89"/>
      <x:c r="I7" s="89"/>
      <x:c r="J7" s="89"/>
      <x:c r="K7" s="89"/>
      <x:c r="L7" s="89"/>
      <x:c r="M7" s="89"/>
      <x:c r="N7" s="89"/>
      <x:c r="O7" s="89"/>
      <x:c r="P7" s="89"/>
      <x:c r="Q7" s="89"/>
      <x:c r="R7" s="89"/>
      <x:c r="S7" s="89"/>
      <x:c r="T7" s="89"/>
      <x:c r="U7" s="89"/>
      <x:c r="V7" s="89"/>
      <x:c r="W7" s="89"/>
      <x:c r="X7" s="89"/>
      <x:c r="Y7" s="89"/>
      <x:c r="Z7" s="89"/>
    </x:row>
    <x:row r="8">
      <x:c r="A8" s="92" t="str">
        <x:v>Tahmini Onaylı Ciro</x:v>
      </x:c>
      <x:c r="B8" s="94" t="n">
        <x:f>SUMIF('Fiyat Hesaplama'!$Y$3:$Y$102,"Onaylandı",'Fiyat Hesaplama'!$V$3:$V$102)</x:f>
        <x:v>1789</x:v>
      </x:c>
      <x:c r="C8" s="89"/>
      <x:c r="D8" s="89" t="str">
        <x:v>Onay Bekliyor</x:v>
      </x:c>
      <x:c r="E8" s="89" t="n">
        <x:f>COUNTIF('Fiyat Hesaplama'!$Y$3:$Y$102,D8)</x:f>
        <x:v>0</x:v>
      </x:c>
      <x:c r="F8" s="89"/>
      <x:c r="G8" s="89"/>
      <x:c r="H8" s="89"/>
      <x:c r="I8" s="89"/>
      <x:c r="J8" s="89"/>
      <x:c r="K8" s="89"/>
      <x:c r="L8" s="89"/>
      <x:c r="M8" s="89"/>
      <x:c r="N8" s="89"/>
      <x:c r="O8" s="89"/>
      <x:c r="P8" s="89"/>
      <x:c r="Q8" s="89"/>
      <x:c r="R8" s="89"/>
      <x:c r="S8" s="89"/>
      <x:c r="T8" s="89"/>
      <x:c r="U8" s="89"/>
      <x:c r="V8" s="89"/>
      <x:c r="W8" s="89"/>
      <x:c r="X8" s="89"/>
      <x:c r="Y8" s="89"/>
      <x:c r="Z8" s="89"/>
    </x:row>
    <x:row r="9">
      <x:c r="A9" s="92" t="str">
        <x:v>Bekleyen Alacak</x:v>
      </x:c>
      <x:c r="B9" s="94" t="n">
        <x:f>SUM('Fiyat Hesaplama'!$X$3:$X$102)</x:f>
        <x:v>3353</x:v>
      </x:c>
      <x:c r="C9" s="89"/>
      <x:c r="D9" s="89" t="str">
        <x:v>Onaylandı</x:v>
      </x:c>
      <x:c r="E9" s="89" t="n">
        <x:f>COUNTIF('Fiyat Hesaplama'!$Y$3:$Y$102,D9)</x:f>
        <x:v>1</x:v>
      </x:c>
      <x:c r="F9" s="89"/>
      <x:c r="G9" s="89"/>
      <x:c r="H9" s="89"/>
      <x:c r="I9" s="89"/>
      <x:c r="J9" s="89"/>
      <x:c r="K9" s="89"/>
      <x:c r="L9" s="89"/>
      <x:c r="M9" s="89"/>
      <x:c r="N9" s="89"/>
      <x:c r="O9" s="89"/>
      <x:c r="P9" s="89"/>
      <x:c r="Q9" s="89"/>
      <x:c r="R9" s="89"/>
      <x:c r="S9" s="89"/>
      <x:c r="T9" s="89"/>
      <x:c r="U9" s="89"/>
      <x:c r="V9" s="89"/>
      <x:c r="W9" s="89"/>
      <x:c r="X9" s="89"/>
      <x:c r="Y9" s="89"/>
      <x:c r="Z9" s="89"/>
    </x:row>
    <x:row r="10">
      <x:c r="A10" s="92" t="str">
        <x:v>Kritik Stok</x:v>
      </x:c>
      <x:c r="B10" s="93" t="n">
        <x:f>COUNTIF('Stok'!$H$3:$H$102,"Kritik")</x:f>
        <x:v>0</x:v>
      </x:c>
      <x:c r="C10" s="89"/>
      <x:c r="D10" s="89" t="str">
        <x:v>Baskıya Hazır</x:v>
      </x:c>
      <x:c r="E10" s="89" t="n">
        <x:f>COUNTIF('Fiyat Hesaplama'!$Y$3:$Y$102,D10)</x:f>
        <x:v>1</x:v>
      </x:c>
      <x:c r="F10" s="89"/>
      <x:c r="G10" s="89"/>
      <x:c r="H10" s="89"/>
      <x:c r="I10" s="89"/>
      <x:c r="J10" s="89"/>
      <x:c r="K10" s="89"/>
      <x:c r="L10" s="89"/>
      <x:c r="M10" s="89"/>
      <x:c r="N10" s="89"/>
      <x:c r="O10" s="89"/>
      <x:c r="P10" s="89"/>
      <x:c r="Q10" s="89"/>
      <x:c r="R10" s="89"/>
      <x:c r="S10" s="89"/>
      <x:c r="T10" s="89"/>
      <x:c r="U10" s="89"/>
      <x:c r="V10" s="89"/>
      <x:c r="W10" s="89"/>
      <x:c r="X10" s="89"/>
      <x:c r="Y10" s="89"/>
      <x:c r="Z10" s="89"/>
    </x:row>
    <x:row r="11">
      <x:c r="A11" s="89"/>
      <x:c r="B11" s="89"/>
      <x:c r="C11" s="89"/>
      <x:c r="D11" s="89" t="str">
        <x:v>Baskıda</x:v>
      </x:c>
      <x:c r="E11" s="89" t="n">
        <x:f>COUNTIF('Fiyat Hesaplama'!$Y$3:$Y$102,D11)</x:f>
        <x:v>0</x:v>
      </x:c>
      <x:c r="F11" s="89"/>
      <x:c r="G11" s="89"/>
      <x:c r="H11" s="89"/>
      <x:c r="I11" s="89"/>
      <x:c r="J11" s="89"/>
      <x:c r="K11" s="89"/>
      <x:c r="L11" s="89"/>
      <x:c r="M11" s="89"/>
      <x:c r="N11" s="89"/>
      <x:c r="O11" s="89"/>
      <x:c r="P11" s="89"/>
      <x:c r="Q11" s="89"/>
      <x:c r="R11" s="89"/>
      <x:c r="S11" s="89"/>
      <x:c r="T11" s="89"/>
      <x:c r="U11" s="89"/>
      <x:c r="V11" s="89"/>
      <x:c r="W11" s="89"/>
      <x:c r="X11" s="89"/>
      <x:c r="Y11" s="89"/>
      <x:c r="Z11" s="89"/>
    </x:row>
    <x:row r="12">
      <x:c r="A12" s="89"/>
      <x:c r="B12" s="89"/>
      <x:c r="C12" s="89"/>
      <x:c r="D12" s="89" t="str">
        <x:v>Teslim Edildi</x:v>
      </x:c>
      <x:c r="E12" s="89" t="n">
        <x:f>COUNTIF('Fiyat Hesaplama'!$Y$3:$Y$102,D12)</x:f>
        <x:v>0</x:v>
      </x:c>
      <x:c r="F12" s="89"/>
      <x:c r="G12" s="89"/>
      <x:c r="H12" s="89"/>
      <x:c r="I12" s="89"/>
      <x:c r="J12" s="89"/>
      <x:c r="K12" s="89"/>
      <x:c r="L12" s="89"/>
      <x:c r="M12" s="89"/>
      <x:c r="N12" s="89"/>
      <x:c r="O12" s="89"/>
      <x:c r="P12" s="89"/>
      <x:c r="Q12" s="89"/>
      <x:c r="R12" s="89"/>
      <x:c r="S12" s="89"/>
      <x:c r="T12" s="89"/>
      <x:c r="U12" s="89"/>
      <x:c r="V12" s="89"/>
      <x:c r="W12" s="89"/>
      <x:c r="X12" s="89"/>
      <x:c r="Y12" s="89"/>
      <x:c r="Z12" s="89"/>
    </x:row>
    <x:row r="13">
      <x:c r="A13" s="91" t="str">
        <x:v>Bugünkü Aksiyon</x:v>
      </x:c>
      <x:c r="B13" s="91" t="str">
        <x:v>Not</x:v>
      </x:c>
      <x:c r="C13" s="89"/>
      <x:c r="D13" s="89" t="str">
        <x:v>İptal</x:v>
      </x:c>
      <x:c r="E13" s="89" t="n">
        <x:f>COUNTIF('Fiyat Hesaplama'!$Y$3:$Y$102,D13)</x:f>
        <x:v>0</x:v>
      </x:c>
      <x:c r="F13" s="89"/>
      <x:c r="G13" s="89"/>
      <x:c r="H13" s="89"/>
      <x:c r="I13" s="89"/>
      <x:c r="J13" s="89"/>
      <x:c r="K13" s="89"/>
      <x:c r="L13" s="89"/>
      <x:c r="M13" s="89"/>
      <x:c r="N13" s="89"/>
      <x:c r="O13" s="89"/>
      <x:c r="P13" s="89"/>
      <x:c r="Q13" s="89"/>
      <x:c r="R13" s="89"/>
      <x:c r="S13" s="89"/>
      <x:c r="T13" s="89"/>
      <x:c r="U13" s="89"/>
      <x:c r="V13" s="89"/>
      <x:c r="W13" s="89"/>
      <x:c r="X13" s="89"/>
      <x:c r="Y13" s="89"/>
      <x:c r="Z13" s="89"/>
    </x:row>
    <x:row r="14">
      <x:c r="A14" s="95" t="str">
        <x:v>Yeni talep kontrol</x:v>
      </x:c>
      <x:c r="B14" s="95" t="str">
        <x:v>Form ve DM kutusunu kontrol et.</x:v>
      </x:c>
      <x:c r="C14" s="89"/>
      <x:c r="D14" s="89"/>
      <x:c r="E14" s="89"/>
      <x:c r="F14" s="89"/>
      <x:c r="G14" s="89"/>
      <x:c r="H14" s="89"/>
      <x:c r="I14" s="89"/>
      <x:c r="J14" s="89"/>
      <x:c r="K14" s="89"/>
      <x:c r="L14" s="89"/>
      <x:c r="M14" s="89"/>
      <x:c r="N14" s="89"/>
      <x:c r="O14" s="89"/>
      <x:c r="P14" s="89"/>
      <x:c r="Q14" s="89"/>
      <x:c r="R14" s="89"/>
      <x:c r="S14" s="89"/>
      <x:c r="T14" s="89"/>
      <x:c r="U14" s="89"/>
      <x:c r="V14" s="89"/>
      <x:c r="W14" s="89"/>
      <x:c r="X14" s="89"/>
      <x:c r="Y14" s="89"/>
      <x:c r="Z14" s="89"/>
    </x:row>
    <x:row r="15">
      <x:c r="A15" s="95" t="str">
        <x:v>Baskı sırası</x:v>
      </x:c>
      <x:c r="B15" s="95" t="str">
        <x:v>Üretim Takip sayfasında Baskıya Hazır işlere bak.</x:v>
      </x:c>
      <x:c r="C15" s="89"/>
      <x:c r="D15" s="96" t="str">
        <x:v>Başlangıç İş Akışı</x:v>
      </x:c>
      <x:c r="E15" s="96" t="str"/>
      <x:c r="F15" s="96" t="str"/>
      <x:c r="G15" s="96" t="str"/>
      <x:c r="H15" s="96" t="str"/>
      <x:c r="I15" s="89"/>
      <x:c r="J15" s="89"/>
      <x:c r="K15" s="89"/>
      <x:c r="L15" s="89"/>
      <x:c r="M15" s="89"/>
      <x:c r="N15" s="89"/>
      <x:c r="O15" s="89"/>
      <x:c r="P15" s="89"/>
      <x:c r="Q15" s="89"/>
      <x:c r="R15" s="89"/>
      <x:c r="S15" s="89"/>
      <x:c r="T15" s="89"/>
      <x:c r="U15" s="89"/>
      <x:c r="V15" s="89"/>
      <x:c r="W15" s="89"/>
      <x:c r="X15" s="89"/>
      <x:c r="Y15" s="89"/>
      <x:c r="Z15" s="89"/>
    </x:row>
    <x:row r="16">
      <x:c r="A16" s="95" t="str">
        <x:v>Stok alarmı</x:v>
      </x:c>
      <x:c r="B16" s="95" t="str">
        <x:v>Stok sayfasında Kritik olan malzemeleri sipariş et.</x:v>
      </x:c>
      <x:c r="C16" s="89"/>
      <x:c r="D16" s="95" t="str">
        <x:v>1</x:v>
      </x:c>
      <x:c r="E16" s="95" t="str">
        <x:v>Talep al</x:v>
      </x:c>
      <x:c r="F16" s="95" t="str">
        <x:v>Sipariş Formu</x:v>
      </x:c>
      <x:c r="G16" s="89"/>
      <x:c r="H16" s="89"/>
      <x:c r="I16" s="89"/>
      <x:c r="J16" s="89"/>
      <x:c r="K16" s="89"/>
      <x:c r="L16" s="89"/>
      <x:c r="M16" s="89"/>
      <x:c r="N16" s="89"/>
      <x:c r="O16" s="89"/>
      <x:c r="P16" s="89"/>
      <x:c r="Q16" s="89"/>
      <x:c r="R16" s="89"/>
      <x:c r="S16" s="89"/>
      <x:c r="T16" s="89"/>
      <x:c r="U16" s="89"/>
      <x:c r="V16" s="89"/>
      <x:c r="W16" s="89"/>
      <x:c r="X16" s="89"/>
      <x:c r="Y16" s="89"/>
      <x:c r="Z16" s="89"/>
    </x:row>
    <x:row r="17">
      <x:c r="A17" s="89"/>
      <x:c r="B17" s="89"/>
      <x:c r="C17" s="89"/>
      <x:c r="D17" s="95" t="str">
        <x:v>2</x:v>
      </x:c>
      <x:c r="E17" s="95" t="str">
        <x:v>Bambu Studio’da süre/gramaj al</x:v>
      </x:c>
      <x:c r="F17" s="95" t="str">
        <x:v>Fiyat Hesaplama</x:v>
      </x:c>
      <x:c r="G17" s="89"/>
      <x:c r="H17" s="89"/>
      <x:c r="I17" s="89"/>
      <x:c r="J17" s="89"/>
      <x:c r="K17" s="89"/>
      <x:c r="L17" s="89"/>
      <x:c r="M17" s="89"/>
      <x:c r="N17" s="89"/>
      <x:c r="O17" s="89"/>
      <x:c r="P17" s="89"/>
      <x:c r="Q17" s="89"/>
      <x:c r="R17" s="89"/>
      <x:c r="S17" s="89"/>
      <x:c r="T17" s="89"/>
      <x:c r="U17" s="89"/>
      <x:c r="V17" s="89"/>
      <x:c r="W17" s="89"/>
      <x:c r="X17" s="89"/>
      <x:c r="Y17" s="89"/>
      <x:c r="Z17" s="89"/>
    </x:row>
    <x:row r="18">
      <x:c r="A18" s="89"/>
      <x:c r="B18" s="89"/>
      <x:c r="C18" s="89"/>
      <x:c r="D18" s="95" t="str">
        <x:v>3</x:v>
      </x:c>
      <x:c r="E18" s="95" t="str">
        <x:v>Teklif gönder</x:v>
      </x:c>
      <x:c r="F18" s="95" t="str">
        <x:v>Mesaj Şablonları</x:v>
      </x:c>
      <x:c r="G18" s="89"/>
      <x:c r="H18" s="89"/>
      <x:c r="I18" s="89"/>
      <x:c r="J18" s="89"/>
      <x:c r="K18" s="89"/>
      <x:c r="L18" s="89"/>
      <x:c r="M18" s="89"/>
      <x:c r="N18" s="89"/>
      <x:c r="O18" s="89"/>
      <x:c r="P18" s="89"/>
      <x:c r="Q18" s="89"/>
      <x:c r="R18" s="89"/>
      <x:c r="S18" s="89"/>
      <x:c r="T18" s="89"/>
      <x:c r="U18" s="89"/>
      <x:c r="V18" s="89"/>
      <x:c r="W18" s="89"/>
      <x:c r="X18" s="89"/>
      <x:c r="Y18" s="89"/>
      <x:c r="Z18" s="89"/>
    </x:row>
    <x:row r="19">
      <x:c r="A19" s="89"/>
      <x:c r="B19" s="89"/>
      <x:c r="C19" s="89"/>
      <x:c r="D19" s="95" t="str">
        <x:v>4</x:v>
      </x:c>
      <x:c r="E19" s="95" t="str">
        <x:v>Onay + kapora</x:v>
      </x:c>
      <x:c r="F19" s="95" t="str">
        <x:v>Fiyat Hesaplama</x:v>
      </x:c>
      <x:c r="G19" s="89"/>
      <x:c r="H19" s="89"/>
      <x:c r="I19" s="89"/>
      <x:c r="J19" s="89"/>
      <x:c r="K19" s="89"/>
      <x:c r="L19" s="89"/>
      <x:c r="M19" s="89"/>
      <x:c r="N19" s="89"/>
      <x:c r="O19" s="89"/>
      <x:c r="P19" s="89"/>
      <x:c r="Q19" s="89"/>
      <x:c r="R19" s="89"/>
      <x:c r="S19" s="89"/>
      <x:c r="T19" s="89"/>
      <x:c r="U19" s="89"/>
      <x:c r="V19" s="89"/>
      <x:c r="W19" s="89"/>
      <x:c r="X19" s="89"/>
      <x:c r="Y19" s="89"/>
      <x:c r="Z19" s="89"/>
    </x:row>
    <x:row r="20">
      <x:c r="A20" s="89"/>
      <x:c r="B20" s="89"/>
      <x:c r="C20" s="89"/>
      <x:c r="D20" s="95" t="str">
        <x:v>5</x:v>
      </x:c>
      <x:c r="E20" s="95" t="str">
        <x:v>Baskı + kalite kontrol</x:v>
      </x:c>
      <x:c r="F20" s="95" t="str">
        <x:v>Üretim Takip / Kalite Kontrol</x:v>
      </x:c>
      <x:c r="G20" s="89"/>
      <x:c r="H20" s="89"/>
      <x:c r="I20" s="89"/>
      <x:c r="J20" s="89"/>
      <x:c r="K20" s="89"/>
      <x:c r="L20" s="89"/>
      <x:c r="M20" s="89"/>
      <x:c r="N20" s="89"/>
      <x:c r="O20" s="89"/>
      <x:c r="P20" s="89"/>
      <x:c r="Q20" s="89"/>
      <x:c r="R20" s="89"/>
      <x:c r="S20" s="89"/>
      <x:c r="T20" s="89"/>
      <x:c r="U20" s="89"/>
      <x:c r="V20" s="89"/>
      <x:c r="W20" s="89"/>
      <x:c r="X20" s="89"/>
      <x:c r="Y20" s="89"/>
      <x:c r="Z20" s="89"/>
    </x:row>
    <x:row r="21">
      <x:c r="A21" s="89"/>
      <x:c r="B21" s="89"/>
      <x:c r="C21" s="89"/>
      <x:c r="D21" s="89"/>
      <x:c r="E21" s="89"/>
      <x:c r="F21" s="89"/>
      <x:c r="G21" s="89"/>
      <x:c r="H21" s="89"/>
      <x:c r="I21" s="89"/>
      <x:c r="J21" s="89"/>
      <x:c r="K21" s="89"/>
      <x:c r="L21" s="89"/>
      <x:c r="M21" s="89"/>
      <x:c r="N21" s="89"/>
      <x:c r="O21" s="89"/>
      <x:c r="P21" s="89"/>
      <x:c r="Q21" s="89"/>
      <x:c r="R21" s="89"/>
      <x:c r="S21" s="89"/>
      <x:c r="T21" s="89"/>
      <x:c r="U21" s="89"/>
      <x:c r="V21" s="89"/>
      <x:c r="W21" s="89"/>
      <x:c r="X21" s="89"/>
      <x:c r="Y21" s="89"/>
      <x:c r="Z21" s="89"/>
    </x:row>
    <x:row r="22">
      <x:c r="A22" s="89"/>
      <x:c r="B22" s="89"/>
      <x:c r="C22" s="89"/>
      <x:c r="D22" s="89"/>
      <x:c r="E22" s="89"/>
      <x:c r="F22" s="89"/>
      <x:c r="G22" s="89"/>
      <x:c r="H22" s="89"/>
      <x:c r="I22" s="89"/>
      <x:c r="J22" s="89"/>
      <x:c r="K22" s="89"/>
      <x:c r="L22" s="89"/>
      <x:c r="M22" s="89"/>
      <x:c r="N22" s="89"/>
      <x:c r="O22" s="89"/>
      <x:c r="P22" s="89"/>
      <x:c r="Q22" s="89"/>
      <x:c r="R22" s="89"/>
      <x:c r="S22" s="89"/>
      <x:c r="T22" s="89"/>
      <x:c r="U22" s="89"/>
      <x:c r="V22" s="89"/>
      <x:c r="W22" s="89"/>
      <x:c r="X22" s="89"/>
      <x:c r="Y22" s="89"/>
      <x:c r="Z22" s="89"/>
    </x:row>
    <x:row r="23">
      <x:c r="A23" s="89"/>
      <x:c r="B23" s="89"/>
      <x:c r="C23" s="89"/>
      <x:c r="D23" s="89"/>
      <x:c r="E23" s="89"/>
      <x:c r="F23" s="89"/>
      <x:c r="G23" s="89"/>
      <x:c r="H23" s="89"/>
      <x:c r="I23" s="89"/>
      <x:c r="J23" s="89"/>
      <x:c r="K23" s="89"/>
      <x:c r="L23" s="89"/>
      <x:c r="M23" s="89"/>
      <x:c r="N23" s="89"/>
      <x:c r="O23" s="89"/>
      <x:c r="P23" s="89"/>
      <x:c r="Q23" s="89"/>
      <x:c r="R23" s="89"/>
      <x:c r="S23" s="89"/>
      <x:c r="T23" s="89"/>
      <x:c r="U23" s="89"/>
      <x:c r="V23" s="89"/>
      <x:c r="W23" s="89"/>
      <x:c r="X23" s="89"/>
      <x:c r="Y23" s="89"/>
      <x:c r="Z23" s="89"/>
    </x:row>
    <x:row r="24">
      <x:c r="A24" s="89"/>
      <x:c r="B24" s="89"/>
      <x:c r="C24" s="89"/>
      <x:c r="D24" s="89"/>
      <x:c r="E24" s="89"/>
      <x:c r="F24" s="89"/>
      <x:c r="G24" s="89"/>
      <x:c r="H24" s="89"/>
      <x:c r="I24" s="89"/>
      <x:c r="J24" s="89"/>
      <x:c r="K24" s="89"/>
      <x:c r="L24" s="89"/>
      <x:c r="M24" s="89"/>
      <x:c r="N24" s="89"/>
      <x:c r="O24" s="89"/>
      <x:c r="P24" s="89"/>
      <x:c r="Q24" s="89"/>
      <x:c r="R24" s="89"/>
      <x:c r="S24" s="89"/>
      <x:c r="T24" s="89"/>
      <x:c r="U24" s="89"/>
      <x:c r="V24" s="89"/>
      <x:c r="W24" s="89"/>
      <x:c r="X24" s="89"/>
      <x:c r="Y24" s="89"/>
      <x:c r="Z24" s="89"/>
    </x:row>
    <x:row r="25">
      <x:c r="A25" s="89"/>
      <x:c r="B25" s="89"/>
      <x:c r="C25" s="89"/>
      <x:c r="D25" s="89"/>
      <x:c r="E25" s="89"/>
      <x:c r="F25" s="89"/>
      <x:c r="G25" s="89"/>
      <x:c r="H25" s="89"/>
      <x:c r="I25" s="89"/>
      <x:c r="J25" s="89"/>
      <x:c r="K25" s="89"/>
      <x:c r="L25" s="89"/>
      <x:c r="M25" s="89"/>
      <x:c r="N25" s="89"/>
      <x:c r="O25" s="89"/>
      <x:c r="P25" s="89"/>
      <x:c r="Q25" s="89"/>
      <x:c r="R25" s="89"/>
      <x:c r="S25" s="89"/>
      <x:c r="T25" s="89"/>
      <x:c r="U25" s="89"/>
      <x:c r="V25" s="89"/>
      <x:c r="W25" s="89"/>
      <x:c r="X25" s="89"/>
      <x:c r="Y25" s="89"/>
      <x:c r="Z25" s="89"/>
    </x:row>
    <x:row r="26">
      <x:c r="A26" s="89"/>
      <x:c r="B26" s="89"/>
      <x:c r="C26" s="89"/>
      <x:c r="D26" s="89"/>
      <x:c r="E26" s="89"/>
      <x:c r="F26" s="89"/>
      <x:c r="G26" s="89"/>
      <x:c r="H26" s="89"/>
      <x:c r="I26" s="89"/>
      <x:c r="J26" s="89"/>
      <x:c r="K26" s="89"/>
      <x:c r="L26" s="89"/>
      <x:c r="M26" s="89"/>
      <x:c r="N26" s="89"/>
      <x:c r="O26" s="89"/>
      <x:c r="P26" s="89"/>
      <x:c r="Q26" s="89"/>
      <x:c r="R26" s="89"/>
      <x:c r="S26" s="89"/>
      <x:c r="T26" s="89"/>
      <x:c r="U26" s="89"/>
      <x:c r="V26" s="89"/>
      <x:c r="W26" s="89"/>
      <x:c r="X26" s="89"/>
      <x:c r="Y26" s="89"/>
      <x:c r="Z26" s="89"/>
    </x:row>
    <x:row r="27">
      <x:c r="A27" s="89"/>
      <x:c r="B27" s="89"/>
      <x:c r="C27" s="89"/>
      <x:c r="D27" s="89"/>
      <x:c r="E27" s="89"/>
      <x:c r="F27" s="89"/>
      <x:c r="G27" s="89"/>
      <x:c r="H27" s="89"/>
      <x:c r="I27" s="89"/>
      <x:c r="J27" s="89"/>
      <x:c r="K27" s="89"/>
      <x:c r="L27" s="89"/>
      <x:c r="M27" s="89"/>
      <x:c r="N27" s="89"/>
      <x:c r="O27" s="89"/>
      <x:c r="P27" s="89"/>
      <x:c r="Q27" s="89"/>
      <x:c r="R27" s="89"/>
      <x:c r="S27" s="89"/>
      <x:c r="T27" s="89"/>
      <x:c r="U27" s="89"/>
      <x:c r="V27" s="89"/>
      <x:c r="W27" s="89"/>
      <x:c r="X27" s="89"/>
      <x:c r="Y27" s="89"/>
      <x:c r="Z27" s="89"/>
    </x:row>
    <x:row r="28">
      <x:c r="A28" s="89"/>
      <x:c r="B28" s="89"/>
      <x:c r="C28" s="89"/>
      <x:c r="D28" s="89"/>
      <x:c r="E28" s="89"/>
      <x:c r="F28" s="89"/>
      <x:c r="G28" s="89"/>
      <x:c r="H28" s="89"/>
      <x:c r="I28" s="89"/>
      <x:c r="J28" s="89"/>
      <x:c r="K28" s="89"/>
      <x:c r="L28" s="89"/>
      <x:c r="M28" s="89"/>
      <x:c r="N28" s="89"/>
      <x:c r="O28" s="89"/>
      <x:c r="P28" s="89"/>
      <x:c r="Q28" s="89"/>
      <x:c r="R28" s="89"/>
      <x:c r="S28" s="89"/>
      <x:c r="T28" s="89"/>
      <x:c r="U28" s="89"/>
      <x:c r="V28" s="89"/>
      <x:c r="W28" s="89"/>
      <x:c r="X28" s="89"/>
      <x:c r="Y28" s="89"/>
      <x:c r="Z28" s="89"/>
    </x:row>
    <x:row r="29">
      <x:c r="A29" s="89"/>
      <x:c r="B29" s="89"/>
      <x:c r="C29" s="89"/>
      <x:c r="D29" s="89"/>
      <x:c r="E29" s="89"/>
      <x:c r="F29" s="89"/>
      <x:c r="G29" s="89"/>
      <x:c r="H29" s="89"/>
      <x:c r="I29" s="89"/>
      <x:c r="J29" s="89"/>
      <x:c r="K29" s="89"/>
      <x:c r="L29" s="89"/>
      <x:c r="M29" s="89"/>
      <x:c r="N29" s="89"/>
      <x:c r="O29" s="89"/>
      <x:c r="P29" s="89"/>
      <x:c r="Q29" s="89"/>
      <x:c r="R29" s="89"/>
      <x:c r="S29" s="89"/>
      <x:c r="T29" s="89"/>
      <x:c r="U29" s="89"/>
      <x:c r="V29" s="89"/>
      <x:c r="W29" s="89"/>
      <x:c r="X29" s="89"/>
      <x:c r="Y29" s="89"/>
      <x:c r="Z29" s="89"/>
    </x:row>
    <x:row r="30">
      <x:c r="A30" s="89"/>
      <x:c r="B30" s="89"/>
      <x:c r="C30" s="89"/>
      <x:c r="D30" s="89"/>
      <x:c r="E30" s="89"/>
      <x:c r="F30" s="89"/>
      <x:c r="G30" s="89"/>
      <x:c r="H30" s="89"/>
      <x:c r="I30" s="89"/>
      <x:c r="J30" s="89"/>
      <x:c r="K30" s="89"/>
      <x:c r="L30" s="89"/>
      <x:c r="M30" s="89"/>
      <x:c r="N30" s="89"/>
      <x:c r="O30" s="89"/>
      <x:c r="P30" s="89"/>
      <x:c r="Q30" s="89"/>
      <x:c r="R30" s="89"/>
      <x:c r="S30" s="89"/>
      <x:c r="T30" s="89"/>
      <x:c r="U30" s="89"/>
      <x:c r="V30" s="89"/>
      <x:c r="W30" s="89"/>
      <x:c r="X30" s="89"/>
      <x:c r="Y30" s="89"/>
      <x:c r="Z30" s="89"/>
    </x:row>
    <x:row r="31">
      <x:c r="A31" s="89"/>
      <x:c r="B31" s="89"/>
      <x:c r="C31" s="89"/>
      <x:c r="D31" s="89"/>
      <x:c r="E31" s="89"/>
      <x:c r="F31" s="89"/>
      <x:c r="G31" s="89"/>
      <x:c r="H31" s="89"/>
      <x:c r="I31" s="89"/>
      <x:c r="J31" s="89"/>
      <x:c r="K31" s="89"/>
      <x:c r="L31" s="89"/>
      <x:c r="M31" s="89"/>
      <x:c r="N31" s="89"/>
      <x:c r="O31" s="89"/>
      <x:c r="P31" s="89"/>
      <x:c r="Q31" s="89"/>
      <x:c r="R31" s="89"/>
      <x:c r="S31" s="89"/>
      <x:c r="T31" s="89"/>
      <x:c r="U31" s="89"/>
      <x:c r="V31" s="89"/>
      <x:c r="W31" s="89"/>
      <x:c r="X31" s="89"/>
      <x:c r="Y31" s="89"/>
      <x:c r="Z31" s="89"/>
    </x:row>
    <x:row r="32">
      <x:c r="A32" s="89"/>
      <x:c r="B32" s="89"/>
      <x:c r="C32" s="89"/>
      <x:c r="D32" s="89"/>
      <x:c r="E32" s="89"/>
      <x:c r="F32" s="89"/>
      <x:c r="G32" s="89"/>
      <x:c r="H32" s="89"/>
      <x:c r="I32" s="89"/>
      <x:c r="J32" s="89"/>
      <x:c r="K32" s="89"/>
      <x:c r="L32" s="89"/>
      <x:c r="M32" s="89"/>
      <x:c r="N32" s="89"/>
      <x:c r="O32" s="89"/>
      <x:c r="P32" s="89"/>
      <x:c r="Q32" s="89"/>
      <x:c r="R32" s="89"/>
      <x:c r="S32" s="89"/>
      <x:c r="T32" s="89"/>
      <x:c r="U32" s="89"/>
      <x:c r="V32" s="89"/>
      <x:c r="W32" s="89"/>
      <x:c r="X32" s="89"/>
      <x:c r="Y32" s="89"/>
      <x:c r="Z32" s="89"/>
    </x:row>
    <x:row r="33">
      <x:c r="A33" s="89"/>
      <x:c r="B33" s="89"/>
      <x:c r="C33" s="89"/>
      <x:c r="D33" s="89"/>
      <x:c r="E33" s="89"/>
      <x:c r="F33" s="89"/>
      <x:c r="G33" s="89"/>
      <x:c r="H33" s="89"/>
      <x:c r="I33" s="89"/>
      <x:c r="J33" s="89"/>
      <x:c r="K33" s="89"/>
      <x:c r="L33" s="89"/>
      <x:c r="M33" s="89"/>
      <x:c r="N33" s="89"/>
      <x:c r="O33" s="89"/>
      <x:c r="P33" s="89"/>
      <x:c r="Q33" s="89"/>
      <x:c r="R33" s="89"/>
      <x:c r="S33" s="89"/>
      <x:c r="T33" s="89"/>
      <x:c r="U33" s="89"/>
      <x:c r="V33" s="89"/>
      <x:c r="W33" s="89"/>
      <x:c r="X33" s="89"/>
      <x:c r="Y33" s="89"/>
      <x:c r="Z33" s="89"/>
    </x:row>
    <x:row r="34">
      <x:c r="A34" s="89"/>
      <x:c r="B34" s="89"/>
      <x:c r="C34" s="89"/>
      <x:c r="D34" s="89"/>
      <x:c r="E34" s="89"/>
      <x:c r="F34" s="89"/>
      <x:c r="G34" s="89"/>
      <x:c r="H34" s="89"/>
      <x:c r="I34" s="89"/>
      <x:c r="J34" s="89"/>
      <x:c r="K34" s="89"/>
      <x:c r="L34" s="89"/>
      <x:c r="M34" s="89"/>
      <x:c r="N34" s="89"/>
      <x:c r="O34" s="89"/>
      <x:c r="P34" s="89"/>
      <x:c r="Q34" s="89"/>
      <x:c r="R34" s="89"/>
      <x:c r="S34" s="89"/>
      <x:c r="T34" s="89"/>
      <x:c r="U34" s="89"/>
      <x:c r="V34" s="89"/>
      <x:c r="W34" s="89"/>
      <x:c r="X34" s="89"/>
      <x:c r="Y34" s="89"/>
      <x:c r="Z34" s="89"/>
    </x:row>
    <x:row r="35">
      <x:c r="A35" s="89"/>
      <x:c r="B35" s="89"/>
      <x:c r="C35" s="89"/>
      <x:c r="D35" s="89"/>
      <x:c r="E35" s="89"/>
      <x:c r="F35" s="89"/>
      <x:c r="G35" s="89"/>
      <x:c r="H35" s="89"/>
      <x:c r="I35" s="89"/>
      <x:c r="J35" s="89"/>
      <x:c r="K35" s="89"/>
      <x:c r="L35" s="89"/>
      <x:c r="M35" s="89"/>
      <x:c r="N35" s="89"/>
      <x:c r="O35" s="89"/>
      <x:c r="P35" s="89"/>
      <x:c r="Q35" s="89"/>
      <x:c r="R35" s="89"/>
      <x:c r="S35" s="89"/>
      <x:c r="T35" s="89"/>
      <x:c r="U35" s="89"/>
      <x:c r="V35" s="89"/>
      <x:c r="W35" s="89"/>
      <x:c r="X35" s="89"/>
      <x:c r="Y35" s="89"/>
      <x:c r="Z35" s="89"/>
    </x:row>
    <x:row r="36">
      <x:c r="A36" s="89"/>
      <x:c r="B36" s="89"/>
      <x:c r="C36" s="89"/>
      <x:c r="D36" s="89"/>
      <x:c r="E36" s="89"/>
      <x:c r="F36" s="89"/>
      <x:c r="G36" s="89"/>
      <x:c r="H36" s="89"/>
      <x:c r="I36" s="89"/>
      <x:c r="J36" s="89"/>
      <x:c r="K36" s="89"/>
      <x:c r="L36" s="89"/>
      <x:c r="M36" s="89"/>
      <x:c r="N36" s="89"/>
      <x:c r="O36" s="89"/>
      <x:c r="P36" s="89"/>
      <x:c r="Q36" s="89"/>
      <x:c r="R36" s="89"/>
      <x:c r="S36" s="89"/>
      <x:c r="T36" s="89"/>
      <x:c r="U36" s="89"/>
      <x:c r="V36" s="89"/>
      <x:c r="W36" s="89"/>
      <x:c r="X36" s="89"/>
      <x:c r="Y36" s="89"/>
      <x:c r="Z36" s="89"/>
    </x:row>
    <x:row r="37">
      <x:c r="A37" s="89"/>
      <x:c r="B37" s="89"/>
      <x:c r="C37" s="89"/>
      <x:c r="D37" s="89"/>
      <x:c r="E37" s="89"/>
      <x:c r="F37" s="89"/>
      <x:c r="G37" s="89"/>
      <x:c r="H37" s="89"/>
      <x:c r="I37" s="89"/>
      <x:c r="J37" s="89"/>
      <x:c r="K37" s="89"/>
      <x:c r="L37" s="89"/>
      <x:c r="M37" s="89"/>
      <x:c r="N37" s="89"/>
      <x:c r="O37" s="89"/>
      <x:c r="P37" s="89"/>
      <x:c r="Q37" s="89"/>
      <x:c r="R37" s="89"/>
      <x:c r="S37" s="89"/>
      <x:c r="T37" s="89"/>
      <x:c r="U37" s="89"/>
      <x:c r="V37" s="89"/>
      <x:c r="W37" s="89"/>
      <x:c r="X37" s="89"/>
      <x:c r="Y37" s="89"/>
      <x:c r="Z37" s="89"/>
    </x:row>
    <x:row r="38">
      <x:c r="A38" s="89"/>
      <x:c r="B38" s="89"/>
      <x:c r="C38" s="89"/>
      <x:c r="D38" s="89"/>
      <x:c r="E38" s="89"/>
      <x:c r="F38" s="89"/>
      <x:c r="G38" s="89"/>
      <x:c r="H38" s="89"/>
      <x:c r="I38" s="89"/>
      <x:c r="J38" s="89"/>
      <x:c r="K38" s="89"/>
      <x:c r="L38" s="89"/>
      <x:c r="M38" s="89"/>
      <x:c r="N38" s="89"/>
      <x:c r="O38" s="89"/>
      <x:c r="P38" s="89"/>
      <x:c r="Q38" s="89"/>
      <x:c r="R38" s="89"/>
      <x:c r="S38" s="89"/>
      <x:c r="T38" s="89"/>
      <x:c r="U38" s="89"/>
      <x:c r="V38" s="89"/>
      <x:c r="W38" s="89"/>
      <x:c r="X38" s="89"/>
      <x:c r="Y38" s="89"/>
      <x:c r="Z38" s="89"/>
    </x:row>
    <x:row r="39">
      <x:c r="A39" s="89"/>
      <x:c r="B39" s="89"/>
      <x:c r="C39" s="89"/>
      <x:c r="D39" s="89"/>
      <x:c r="E39" s="89"/>
      <x:c r="F39" s="89"/>
      <x:c r="G39" s="89"/>
      <x:c r="H39" s="89"/>
      <x:c r="I39" s="89"/>
      <x:c r="J39" s="89"/>
      <x:c r="K39" s="89"/>
      <x:c r="L39" s="89"/>
      <x:c r="M39" s="89"/>
      <x:c r="N39" s="89"/>
      <x:c r="O39" s="89"/>
      <x:c r="P39" s="89"/>
      <x:c r="Q39" s="89"/>
      <x:c r="R39" s="89"/>
      <x:c r="S39" s="89"/>
      <x:c r="T39" s="89"/>
      <x:c r="U39" s="89"/>
      <x:c r="V39" s="89"/>
      <x:c r="W39" s="89"/>
      <x:c r="X39" s="89"/>
      <x:c r="Y39" s="89"/>
      <x:c r="Z39" s="89"/>
    </x:row>
    <x:row r="40">
      <x:c r="A40" s="89"/>
      <x:c r="B40" s="89"/>
      <x:c r="C40" s="89"/>
      <x:c r="D40" s="89"/>
      <x:c r="E40" s="89"/>
      <x:c r="F40" s="89"/>
      <x:c r="G40" s="89"/>
      <x:c r="H40" s="89"/>
      <x:c r="I40" s="89"/>
      <x:c r="J40" s="89"/>
      <x:c r="K40" s="89"/>
      <x:c r="L40" s="89"/>
      <x:c r="M40" s="89"/>
      <x:c r="N40" s="89"/>
      <x:c r="O40" s="89"/>
      <x:c r="P40" s="89"/>
      <x:c r="Q40" s="89"/>
      <x:c r="R40" s="89"/>
      <x:c r="S40" s="89"/>
      <x:c r="T40" s="89"/>
      <x:c r="U40" s="89"/>
      <x:c r="V40" s="89"/>
      <x:c r="W40" s="89"/>
      <x:c r="X40" s="89"/>
      <x:c r="Y40" s="89"/>
      <x:c r="Z40" s="89"/>
    </x:row>
    <x:row r="41">
      <x:c r="A41" s="89"/>
      <x:c r="B41" s="89"/>
      <x:c r="C41" s="89"/>
      <x:c r="D41" s="89"/>
      <x:c r="E41" s="89"/>
      <x:c r="F41" s="89"/>
      <x:c r="G41" s="89"/>
      <x:c r="H41" s="89"/>
      <x:c r="I41" s="89"/>
      <x:c r="J41" s="89"/>
      <x:c r="K41" s="89"/>
      <x:c r="L41" s="89"/>
      <x:c r="M41" s="89"/>
      <x:c r="N41" s="89"/>
      <x:c r="O41" s="89"/>
      <x:c r="P41" s="89"/>
      <x:c r="Q41" s="89"/>
      <x:c r="R41" s="89"/>
      <x:c r="S41" s="89"/>
      <x:c r="T41" s="89"/>
      <x:c r="U41" s="89"/>
      <x:c r="V41" s="89"/>
      <x:c r="W41" s="89"/>
      <x:c r="X41" s="89"/>
      <x:c r="Y41" s="89"/>
      <x:c r="Z41" s="89"/>
    </x:row>
    <x:row r="42">
      <x:c r="A42" s="89"/>
      <x:c r="B42" s="89"/>
      <x:c r="C42" s="89"/>
      <x:c r="D42" s="89"/>
      <x:c r="E42" s="89"/>
      <x:c r="F42" s="89"/>
      <x:c r="G42" s="89"/>
      <x:c r="H42" s="89"/>
      <x:c r="I42" s="89"/>
      <x:c r="J42" s="89"/>
      <x:c r="K42" s="89"/>
      <x:c r="L42" s="89"/>
      <x:c r="M42" s="89"/>
      <x:c r="N42" s="89"/>
      <x:c r="O42" s="89"/>
      <x:c r="P42" s="89"/>
      <x:c r="Q42" s="89"/>
      <x:c r="R42" s="89"/>
      <x:c r="S42" s="89"/>
      <x:c r="T42" s="89"/>
      <x:c r="U42" s="89"/>
      <x:c r="V42" s="89"/>
      <x:c r="W42" s="89"/>
      <x:c r="X42" s="89"/>
      <x:c r="Y42" s="89"/>
      <x:c r="Z42" s="89"/>
    </x:row>
    <x:row r="43">
      <x:c r="A43" s="89"/>
      <x:c r="B43" s="89"/>
      <x:c r="C43" s="89"/>
      <x:c r="D43" s="89"/>
      <x:c r="E43" s="89"/>
      <x:c r="F43" s="89"/>
      <x:c r="G43" s="89"/>
      <x:c r="H43" s="89"/>
      <x:c r="I43" s="89"/>
      <x:c r="J43" s="89"/>
      <x:c r="K43" s="89"/>
      <x:c r="L43" s="89"/>
      <x:c r="M43" s="89"/>
      <x:c r="N43" s="89"/>
      <x:c r="O43" s="89"/>
      <x:c r="P43" s="89"/>
      <x:c r="Q43" s="89"/>
      <x:c r="R43" s="89"/>
      <x:c r="S43" s="89"/>
      <x:c r="T43" s="89"/>
      <x:c r="U43" s="89"/>
      <x:c r="V43" s="89"/>
      <x:c r="W43" s="89"/>
      <x:c r="X43" s="89"/>
      <x:c r="Y43" s="89"/>
      <x:c r="Z43" s="89"/>
    </x:row>
    <x:row r="44">
      <x:c r="A44" s="89"/>
      <x:c r="B44" s="89"/>
      <x:c r="C44" s="89"/>
      <x:c r="D44" s="89"/>
      <x:c r="E44" s="89"/>
      <x:c r="F44" s="89"/>
      <x:c r="G44" s="89"/>
      <x:c r="H44" s="89"/>
      <x:c r="I44" s="89"/>
      <x:c r="J44" s="89"/>
      <x:c r="K44" s="89"/>
      <x:c r="L44" s="89"/>
      <x:c r="M44" s="89"/>
      <x:c r="N44" s="89"/>
      <x:c r="O44" s="89"/>
      <x:c r="P44" s="89"/>
      <x:c r="Q44" s="89"/>
      <x:c r="R44" s="89"/>
      <x:c r="S44" s="89"/>
      <x:c r="T44" s="89"/>
      <x:c r="U44" s="89"/>
      <x:c r="V44" s="89"/>
      <x:c r="W44" s="89"/>
      <x:c r="X44" s="89"/>
      <x:c r="Y44" s="89"/>
      <x:c r="Z44" s="89"/>
    </x:row>
    <x:row r="45">
      <x:c r="A45" s="89"/>
      <x:c r="B45" s="89"/>
      <x:c r="C45" s="89"/>
      <x:c r="D45" s="89"/>
      <x:c r="E45" s="89"/>
      <x:c r="F45" s="89"/>
      <x:c r="G45" s="89"/>
      <x:c r="H45" s="89"/>
      <x:c r="I45" s="89"/>
      <x:c r="J45" s="89"/>
      <x:c r="K45" s="89"/>
      <x:c r="L45" s="89"/>
      <x:c r="M45" s="89"/>
      <x:c r="N45" s="89"/>
      <x:c r="O45" s="89"/>
      <x:c r="P45" s="89"/>
      <x:c r="Q45" s="89"/>
      <x:c r="R45" s="89"/>
      <x:c r="S45" s="89"/>
      <x:c r="T45" s="89"/>
      <x:c r="U45" s="89"/>
      <x:c r="V45" s="89"/>
      <x:c r="W45" s="89"/>
      <x:c r="X45" s="89"/>
      <x:c r="Y45" s="89"/>
      <x:c r="Z45" s="89"/>
    </x:row>
    <x:row r="46">
      <x:c r="A46" s="89"/>
      <x:c r="B46" s="89"/>
      <x:c r="C46" s="89"/>
      <x:c r="D46" s="89"/>
      <x:c r="E46" s="89"/>
      <x:c r="F46" s="89"/>
      <x:c r="G46" s="89"/>
      <x:c r="H46" s="89"/>
      <x:c r="I46" s="89"/>
      <x:c r="J46" s="89"/>
      <x:c r="K46" s="89"/>
      <x:c r="L46" s="89"/>
      <x:c r="M46" s="89"/>
      <x:c r="N46" s="89"/>
      <x:c r="O46" s="89"/>
      <x:c r="P46" s="89"/>
      <x:c r="Q46" s="89"/>
      <x:c r="R46" s="89"/>
      <x:c r="S46" s="89"/>
      <x:c r="T46" s="89"/>
      <x:c r="U46" s="89"/>
      <x:c r="V46" s="89"/>
      <x:c r="W46" s="89"/>
      <x:c r="X46" s="89"/>
      <x:c r="Y46" s="89"/>
      <x:c r="Z46" s="89"/>
    </x:row>
    <x:row r="47">
      <x:c r="A47" s="89"/>
      <x:c r="B47" s="89"/>
      <x:c r="C47" s="89"/>
      <x:c r="D47" s="89"/>
      <x:c r="E47" s="89"/>
      <x:c r="F47" s="89"/>
      <x:c r="G47" s="89"/>
      <x:c r="H47" s="89"/>
      <x:c r="I47" s="89"/>
      <x:c r="J47" s="89"/>
      <x:c r="K47" s="89"/>
      <x:c r="L47" s="89"/>
      <x:c r="M47" s="89"/>
      <x:c r="N47" s="89"/>
      <x:c r="O47" s="89"/>
      <x:c r="P47" s="89"/>
      <x:c r="Q47" s="89"/>
      <x:c r="R47" s="89"/>
      <x:c r="S47" s="89"/>
      <x:c r="T47" s="89"/>
      <x:c r="U47" s="89"/>
      <x:c r="V47" s="89"/>
      <x:c r="W47" s="89"/>
      <x:c r="X47" s="89"/>
      <x:c r="Y47" s="89"/>
      <x:c r="Z47" s="89"/>
    </x:row>
    <x:row r="48">
      <x:c r="A48" s="89"/>
      <x:c r="B48" s="89"/>
      <x:c r="C48" s="89"/>
      <x:c r="D48" s="89"/>
      <x:c r="E48" s="89"/>
      <x:c r="F48" s="89"/>
      <x:c r="G48" s="89"/>
      <x:c r="H48" s="89"/>
      <x:c r="I48" s="89"/>
      <x:c r="J48" s="89"/>
      <x:c r="K48" s="89"/>
      <x:c r="L48" s="89"/>
      <x:c r="M48" s="89"/>
      <x:c r="N48" s="89"/>
      <x:c r="O48" s="89"/>
      <x:c r="P48" s="89"/>
      <x:c r="Q48" s="89"/>
      <x:c r="R48" s="89"/>
      <x:c r="S48" s="89"/>
      <x:c r="T48" s="89"/>
      <x:c r="U48" s="89"/>
      <x:c r="V48" s="89"/>
      <x:c r="W48" s="89"/>
      <x:c r="X48" s="89"/>
      <x:c r="Y48" s="89"/>
      <x:c r="Z48" s="89"/>
    </x:row>
    <x:row r="49">
      <x:c r="A49" s="89"/>
      <x:c r="B49" s="89"/>
      <x:c r="C49" s="89"/>
      <x:c r="D49" s="89"/>
      <x:c r="E49" s="89"/>
      <x:c r="F49" s="89"/>
      <x:c r="G49" s="89"/>
      <x:c r="H49" s="89"/>
      <x:c r="I49" s="89"/>
      <x:c r="J49" s="89"/>
      <x:c r="K49" s="89"/>
      <x:c r="L49" s="89"/>
      <x:c r="M49" s="89"/>
      <x:c r="N49" s="89"/>
      <x:c r="O49" s="89"/>
      <x:c r="P49" s="89"/>
      <x:c r="Q49" s="89"/>
      <x:c r="R49" s="89"/>
      <x:c r="S49" s="89"/>
      <x:c r="T49" s="89"/>
      <x:c r="U49" s="89"/>
      <x:c r="V49" s="89"/>
      <x:c r="W49" s="89"/>
      <x:c r="X49" s="89"/>
      <x:c r="Y49" s="89"/>
      <x:c r="Z49" s="89"/>
    </x:row>
    <x:row r="50">
      <x:c r="A50" s="89"/>
      <x:c r="B50" s="89"/>
      <x:c r="C50" s="89"/>
      <x:c r="D50" s="89"/>
      <x:c r="E50" s="89"/>
      <x:c r="F50" s="89"/>
      <x:c r="G50" s="89"/>
      <x:c r="H50" s="89"/>
      <x:c r="I50" s="89"/>
      <x:c r="J50" s="89"/>
      <x:c r="K50" s="89"/>
      <x:c r="L50" s="89"/>
      <x:c r="M50" s="89"/>
      <x:c r="N50" s="89"/>
      <x:c r="O50" s="89"/>
      <x:c r="P50" s="89"/>
      <x:c r="Q50" s="89"/>
      <x:c r="R50" s="89"/>
      <x:c r="S50" s="89"/>
      <x:c r="T50" s="89"/>
      <x:c r="U50" s="89"/>
      <x:c r="V50" s="89"/>
      <x:c r="W50" s="89"/>
      <x:c r="X50" s="89"/>
      <x:c r="Y50" s="89"/>
      <x:c r="Z50" s="89"/>
    </x:row>
    <x:row r="51">
      <x:c r="A51" s="89"/>
      <x:c r="B51" s="89"/>
      <x:c r="C51" s="89"/>
      <x:c r="D51" s="89"/>
      <x:c r="E51" s="89"/>
      <x:c r="F51" s="89"/>
      <x:c r="G51" s="89"/>
      <x:c r="H51" s="89"/>
      <x:c r="I51" s="89"/>
      <x:c r="J51" s="89"/>
      <x:c r="K51" s="89"/>
      <x:c r="L51" s="89"/>
      <x:c r="M51" s="89"/>
      <x:c r="N51" s="89"/>
      <x:c r="O51" s="89"/>
      <x:c r="P51" s="89"/>
      <x:c r="Q51" s="89"/>
      <x:c r="R51" s="89"/>
      <x:c r="S51" s="89"/>
      <x:c r="T51" s="89"/>
      <x:c r="U51" s="89"/>
      <x:c r="V51" s="89"/>
      <x:c r="W51" s="89"/>
      <x:c r="X51" s="89"/>
      <x:c r="Y51" s="89"/>
      <x:c r="Z51" s="89"/>
    </x:row>
    <x:row r="52">
      <x:c r="A52" s="89"/>
      <x:c r="B52" s="89"/>
      <x:c r="C52" s="89"/>
      <x:c r="D52" s="89"/>
      <x:c r="E52" s="89"/>
      <x:c r="F52" s="89"/>
      <x:c r="G52" s="89"/>
      <x:c r="H52" s="89"/>
      <x:c r="I52" s="89"/>
      <x:c r="J52" s="89"/>
      <x:c r="K52" s="89"/>
      <x:c r="L52" s="89"/>
      <x:c r="M52" s="89"/>
      <x:c r="N52" s="89"/>
      <x:c r="O52" s="89"/>
      <x:c r="P52" s="89"/>
      <x:c r="Q52" s="89"/>
      <x:c r="R52" s="89"/>
      <x:c r="S52" s="89"/>
      <x:c r="T52" s="89"/>
      <x:c r="U52" s="89"/>
      <x:c r="V52" s="89"/>
      <x:c r="W52" s="89"/>
      <x:c r="X52" s="89"/>
      <x:c r="Y52" s="89"/>
      <x:c r="Z52" s="89"/>
    </x:row>
    <x:row r="53">
      <x:c r="A53" s="89"/>
      <x:c r="B53" s="89"/>
      <x:c r="C53" s="89"/>
      <x:c r="D53" s="89"/>
      <x:c r="E53" s="89"/>
      <x:c r="F53" s="89"/>
      <x:c r="G53" s="89"/>
      <x:c r="H53" s="89"/>
      <x:c r="I53" s="89"/>
      <x:c r="J53" s="89"/>
      <x:c r="K53" s="89"/>
      <x:c r="L53" s="89"/>
      <x:c r="M53" s="89"/>
      <x:c r="N53" s="89"/>
      <x:c r="O53" s="89"/>
      <x:c r="P53" s="89"/>
      <x:c r="Q53" s="89"/>
      <x:c r="R53" s="89"/>
      <x:c r="S53" s="89"/>
      <x:c r="T53" s="89"/>
      <x:c r="U53" s="89"/>
      <x:c r="V53" s="89"/>
      <x:c r="W53" s="89"/>
      <x:c r="X53" s="89"/>
      <x:c r="Y53" s="89"/>
      <x:c r="Z53" s="89"/>
    </x:row>
    <x:row r="54">
      <x:c r="A54" s="89"/>
      <x:c r="B54" s="89"/>
      <x:c r="C54" s="89"/>
      <x:c r="D54" s="89"/>
      <x:c r="E54" s="89"/>
      <x:c r="F54" s="89"/>
      <x:c r="G54" s="89"/>
      <x:c r="H54" s="89"/>
      <x:c r="I54" s="89"/>
      <x:c r="J54" s="89"/>
      <x:c r="K54" s="89"/>
      <x:c r="L54" s="89"/>
      <x:c r="M54" s="89"/>
      <x:c r="N54" s="89"/>
      <x:c r="O54" s="89"/>
      <x:c r="P54" s="89"/>
      <x:c r="Q54" s="89"/>
      <x:c r="R54" s="89"/>
      <x:c r="S54" s="89"/>
      <x:c r="T54" s="89"/>
      <x:c r="U54" s="89"/>
      <x:c r="V54" s="89"/>
      <x:c r="W54" s="89"/>
      <x:c r="X54" s="89"/>
      <x:c r="Y54" s="89"/>
      <x:c r="Z54" s="89"/>
    </x:row>
    <x:row r="55">
      <x:c r="A55" s="89"/>
      <x:c r="B55" s="89"/>
      <x:c r="C55" s="89"/>
      <x:c r="D55" s="89"/>
      <x:c r="E55" s="89"/>
      <x:c r="F55" s="89"/>
      <x:c r="G55" s="89"/>
      <x:c r="H55" s="89"/>
      <x:c r="I55" s="89"/>
      <x:c r="J55" s="89"/>
      <x:c r="K55" s="89"/>
      <x:c r="L55" s="89"/>
      <x:c r="M55" s="89"/>
      <x:c r="N55" s="89"/>
      <x:c r="O55" s="89"/>
      <x:c r="P55" s="89"/>
      <x:c r="Q55" s="89"/>
      <x:c r="R55" s="89"/>
      <x:c r="S55" s="89"/>
      <x:c r="T55" s="89"/>
      <x:c r="U55" s="89"/>
      <x:c r="V55" s="89"/>
      <x:c r="W55" s="89"/>
      <x:c r="X55" s="89"/>
      <x:c r="Y55" s="89"/>
      <x:c r="Z55" s="89"/>
    </x:row>
    <x:row r="56">
      <x:c r="A56" s="89"/>
      <x:c r="B56" s="89"/>
      <x:c r="C56" s="89"/>
      <x:c r="D56" s="89"/>
      <x:c r="E56" s="89"/>
      <x:c r="F56" s="89"/>
      <x:c r="G56" s="89"/>
      <x:c r="H56" s="89"/>
      <x:c r="I56" s="89"/>
      <x:c r="J56" s="89"/>
      <x:c r="K56" s="89"/>
      <x:c r="L56" s="89"/>
      <x:c r="M56" s="89"/>
      <x:c r="N56" s="89"/>
      <x:c r="O56" s="89"/>
      <x:c r="P56" s="89"/>
      <x:c r="Q56" s="89"/>
      <x:c r="R56" s="89"/>
      <x:c r="S56" s="89"/>
      <x:c r="T56" s="89"/>
      <x:c r="U56" s="89"/>
      <x:c r="V56" s="89"/>
      <x:c r="W56" s="89"/>
      <x:c r="X56" s="89"/>
      <x:c r="Y56" s="89"/>
      <x:c r="Z56" s="89"/>
    </x:row>
    <x:row r="57">
      <x:c r="A57" s="89"/>
      <x:c r="B57" s="89"/>
      <x:c r="C57" s="89"/>
      <x:c r="D57" s="89"/>
      <x:c r="E57" s="89"/>
      <x:c r="F57" s="89"/>
      <x:c r="G57" s="89"/>
      <x:c r="H57" s="89"/>
      <x:c r="I57" s="89"/>
      <x:c r="J57" s="89"/>
      <x:c r="K57" s="89"/>
      <x:c r="L57" s="89"/>
      <x:c r="M57" s="89"/>
      <x:c r="N57" s="89"/>
      <x:c r="O57" s="89"/>
      <x:c r="P57" s="89"/>
      <x:c r="Q57" s="89"/>
      <x:c r="R57" s="89"/>
      <x:c r="S57" s="89"/>
      <x:c r="T57" s="89"/>
      <x:c r="U57" s="89"/>
      <x:c r="V57" s="89"/>
      <x:c r="W57" s="89"/>
      <x:c r="X57" s="89"/>
      <x:c r="Y57" s="89"/>
      <x:c r="Z57" s="89"/>
    </x:row>
    <x:row r="58">
      <x:c r="A58" s="89"/>
      <x:c r="B58" s="89"/>
      <x:c r="C58" s="89"/>
      <x:c r="D58" s="89"/>
      <x:c r="E58" s="89"/>
      <x:c r="F58" s="89"/>
      <x:c r="G58" s="89"/>
      <x:c r="H58" s="89"/>
      <x:c r="I58" s="89"/>
      <x:c r="J58" s="89"/>
      <x:c r="K58" s="89"/>
      <x:c r="L58" s="89"/>
      <x:c r="M58" s="89"/>
      <x:c r="N58" s="89"/>
      <x:c r="O58" s="89"/>
      <x:c r="P58" s="89"/>
      <x:c r="Q58" s="89"/>
      <x:c r="R58" s="89"/>
      <x:c r="S58" s="89"/>
      <x:c r="T58" s="89"/>
      <x:c r="U58" s="89"/>
      <x:c r="V58" s="89"/>
      <x:c r="W58" s="89"/>
      <x:c r="X58" s="89"/>
      <x:c r="Y58" s="89"/>
      <x:c r="Z58" s="89"/>
    </x:row>
    <x:row r="59">
      <x:c r="A59" s="89"/>
      <x:c r="B59" s="89"/>
      <x:c r="C59" s="89"/>
      <x:c r="D59" s="89"/>
      <x:c r="E59" s="89"/>
      <x:c r="F59" s="89"/>
      <x:c r="G59" s="89"/>
      <x:c r="H59" s="89"/>
      <x:c r="I59" s="89"/>
      <x:c r="J59" s="89"/>
      <x:c r="K59" s="89"/>
      <x:c r="L59" s="89"/>
      <x:c r="M59" s="89"/>
      <x:c r="N59" s="89"/>
      <x:c r="O59" s="89"/>
      <x:c r="P59" s="89"/>
      <x:c r="Q59" s="89"/>
      <x:c r="R59" s="89"/>
      <x:c r="S59" s="89"/>
      <x:c r="T59" s="89"/>
      <x:c r="U59" s="89"/>
      <x:c r="V59" s="89"/>
      <x:c r="W59" s="89"/>
      <x:c r="X59" s="89"/>
      <x:c r="Y59" s="89"/>
      <x:c r="Z59" s="89"/>
    </x:row>
    <x:row r="60">
      <x:c r="A60" s="89"/>
      <x:c r="B60" s="89"/>
      <x:c r="C60" s="89"/>
      <x:c r="D60" s="89"/>
      <x:c r="E60" s="89"/>
      <x:c r="F60" s="89"/>
      <x:c r="G60" s="89"/>
      <x:c r="H60" s="89"/>
      <x:c r="I60" s="89"/>
      <x:c r="J60" s="89"/>
      <x:c r="K60" s="89"/>
      <x:c r="L60" s="89"/>
      <x:c r="M60" s="89"/>
      <x:c r="N60" s="89"/>
      <x:c r="O60" s="89"/>
      <x:c r="P60" s="89"/>
      <x:c r="Q60" s="89"/>
      <x:c r="R60" s="89"/>
      <x:c r="S60" s="89"/>
      <x:c r="T60" s="89"/>
      <x:c r="U60" s="89"/>
      <x:c r="V60" s="89"/>
      <x:c r="W60" s="89"/>
      <x:c r="X60" s="89"/>
      <x:c r="Y60" s="89"/>
      <x:c r="Z60" s="89"/>
    </x:row>
    <x:row r="61">
      <x:c r="A61" s="89"/>
      <x:c r="B61" s="89"/>
      <x:c r="C61" s="89"/>
      <x:c r="D61" s="89"/>
      <x:c r="E61" s="89"/>
      <x:c r="F61" s="89"/>
      <x:c r="G61" s="89"/>
      <x:c r="H61" s="89"/>
      <x:c r="I61" s="89"/>
      <x:c r="J61" s="89"/>
      <x:c r="K61" s="89"/>
      <x:c r="L61" s="89"/>
      <x:c r="M61" s="89"/>
      <x:c r="N61" s="89"/>
      <x:c r="O61" s="89"/>
      <x:c r="P61" s="89"/>
      <x:c r="Q61" s="89"/>
      <x:c r="R61" s="89"/>
      <x:c r="S61" s="89"/>
      <x:c r="T61" s="89"/>
      <x:c r="U61" s="89"/>
      <x:c r="V61" s="89"/>
      <x:c r="W61" s="89"/>
      <x:c r="X61" s="89"/>
      <x:c r="Y61" s="89"/>
      <x:c r="Z61" s="89"/>
    </x:row>
    <x:row r="62">
      <x:c r="A62" s="89"/>
      <x:c r="B62" s="89"/>
      <x:c r="C62" s="89"/>
      <x:c r="D62" s="89"/>
      <x:c r="E62" s="89"/>
      <x:c r="F62" s="89"/>
      <x:c r="G62" s="89"/>
      <x:c r="H62" s="89"/>
      <x:c r="I62" s="89"/>
      <x:c r="J62" s="89"/>
      <x:c r="K62" s="89"/>
      <x:c r="L62" s="89"/>
      <x:c r="M62" s="89"/>
      <x:c r="N62" s="89"/>
      <x:c r="O62" s="89"/>
      <x:c r="P62" s="89"/>
      <x:c r="Q62" s="89"/>
      <x:c r="R62" s="89"/>
      <x:c r="S62" s="89"/>
      <x:c r="T62" s="89"/>
      <x:c r="U62" s="89"/>
      <x:c r="V62" s="89"/>
      <x:c r="W62" s="89"/>
      <x:c r="X62" s="89"/>
      <x:c r="Y62" s="89"/>
      <x:c r="Z62" s="89"/>
    </x:row>
    <x:row r="63">
      <x:c r="A63" s="89"/>
      <x:c r="B63" s="89"/>
      <x:c r="C63" s="89"/>
      <x:c r="D63" s="89"/>
      <x:c r="E63" s="89"/>
      <x:c r="F63" s="89"/>
      <x:c r="G63" s="89"/>
      <x:c r="H63" s="89"/>
      <x:c r="I63" s="89"/>
      <x:c r="J63" s="89"/>
      <x:c r="K63" s="89"/>
      <x:c r="L63" s="89"/>
      <x:c r="M63" s="89"/>
      <x:c r="N63" s="89"/>
      <x:c r="O63" s="89"/>
      <x:c r="P63" s="89"/>
      <x:c r="Q63" s="89"/>
      <x:c r="R63" s="89"/>
      <x:c r="S63" s="89"/>
      <x:c r="T63" s="89"/>
      <x:c r="U63" s="89"/>
      <x:c r="V63" s="89"/>
      <x:c r="W63" s="89"/>
      <x:c r="X63" s="89"/>
      <x:c r="Y63" s="89"/>
      <x:c r="Z63" s="89"/>
    </x:row>
    <x:row r="64">
      <x:c r="A64" s="89"/>
      <x:c r="B64" s="89"/>
      <x:c r="C64" s="89"/>
      <x:c r="D64" s="89"/>
      <x:c r="E64" s="89"/>
      <x:c r="F64" s="89"/>
      <x:c r="G64" s="89"/>
      <x:c r="H64" s="89"/>
      <x:c r="I64" s="89"/>
      <x:c r="J64" s="89"/>
      <x:c r="K64" s="89"/>
      <x:c r="L64" s="89"/>
      <x:c r="M64" s="89"/>
      <x:c r="N64" s="89"/>
      <x:c r="O64" s="89"/>
      <x:c r="P64" s="89"/>
      <x:c r="Q64" s="89"/>
      <x:c r="R64" s="89"/>
      <x:c r="S64" s="89"/>
      <x:c r="T64" s="89"/>
      <x:c r="U64" s="89"/>
      <x:c r="V64" s="89"/>
      <x:c r="W64" s="89"/>
      <x:c r="X64" s="89"/>
      <x:c r="Y64" s="89"/>
      <x:c r="Z64" s="89"/>
    </x:row>
    <x:row r="65">
      <x:c r="A65" s="89"/>
      <x:c r="B65" s="89"/>
      <x:c r="C65" s="89"/>
      <x:c r="D65" s="89"/>
      <x:c r="E65" s="89"/>
      <x:c r="F65" s="89"/>
      <x:c r="G65" s="89"/>
      <x:c r="H65" s="89"/>
      <x:c r="I65" s="89"/>
      <x:c r="J65" s="89"/>
      <x:c r="K65" s="89"/>
      <x:c r="L65" s="89"/>
      <x:c r="M65" s="89"/>
      <x:c r="N65" s="89"/>
      <x:c r="O65" s="89"/>
      <x:c r="P65" s="89"/>
      <x:c r="Q65" s="89"/>
      <x:c r="R65" s="89"/>
      <x:c r="S65" s="89"/>
      <x:c r="T65" s="89"/>
      <x:c r="U65" s="89"/>
      <x:c r="V65" s="89"/>
      <x:c r="W65" s="89"/>
      <x:c r="X65" s="89"/>
      <x:c r="Y65" s="89"/>
      <x:c r="Z65" s="89"/>
    </x:row>
    <x:row r="66">
      <x:c r="A66" s="89"/>
      <x:c r="B66" s="89"/>
      <x:c r="C66" s="89"/>
      <x:c r="D66" s="89"/>
      <x:c r="E66" s="89"/>
      <x:c r="F66" s="89"/>
      <x:c r="G66" s="89"/>
      <x:c r="H66" s="89"/>
      <x:c r="I66" s="89"/>
      <x:c r="J66" s="89"/>
      <x:c r="K66" s="89"/>
      <x:c r="L66" s="89"/>
      <x:c r="M66" s="89"/>
      <x:c r="N66" s="89"/>
      <x:c r="O66" s="89"/>
      <x:c r="P66" s="89"/>
      <x:c r="Q66" s="89"/>
      <x:c r="R66" s="89"/>
      <x:c r="S66" s="89"/>
      <x:c r="T66" s="89"/>
      <x:c r="U66" s="89"/>
      <x:c r="V66" s="89"/>
      <x:c r="W66" s="89"/>
      <x:c r="X66" s="89"/>
      <x:c r="Y66" s="89"/>
      <x:c r="Z66" s="89"/>
    </x:row>
    <x:row r="67">
      <x:c r="A67" s="89"/>
      <x:c r="B67" s="89"/>
      <x:c r="C67" s="89"/>
      <x:c r="D67" s="89"/>
      <x:c r="E67" s="89"/>
      <x:c r="F67" s="89"/>
      <x:c r="G67" s="89"/>
      <x:c r="H67" s="89"/>
      <x:c r="I67" s="89"/>
      <x:c r="J67" s="89"/>
      <x:c r="K67" s="89"/>
      <x:c r="L67" s="89"/>
      <x:c r="M67" s="89"/>
      <x:c r="N67" s="89"/>
      <x:c r="O67" s="89"/>
      <x:c r="P67" s="89"/>
      <x:c r="Q67" s="89"/>
      <x:c r="R67" s="89"/>
      <x:c r="S67" s="89"/>
      <x:c r="T67" s="89"/>
      <x:c r="U67" s="89"/>
      <x:c r="V67" s="89"/>
      <x:c r="W67" s="89"/>
      <x:c r="X67" s="89"/>
      <x:c r="Y67" s="89"/>
      <x:c r="Z67" s="89"/>
    </x:row>
    <x:row r="68">
      <x:c r="A68" s="89"/>
      <x:c r="B68" s="89"/>
      <x:c r="C68" s="89"/>
      <x:c r="D68" s="89"/>
      <x:c r="E68" s="89"/>
      <x:c r="F68" s="89"/>
      <x:c r="G68" s="89"/>
      <x:c r="H68" s="89"/>
      <x:c r="I68" s="89"/>
      <x:c r="J68" s="89"/>
      <x:c r="K68" s="89"/>
      <x:c r="L68" s="89"/>
      <x:c r="M68" s="89"/>
      <x:c r="N68" s="89"/>
      <x:c r="O68" s="89"/>
      <x:c r="P68" s="89"/>
      <x:c r="Q68" s="89"/>
      <x:c r="R68" s="89"/>
      <x:c r="S68" s="89"/>
      <x:c r="T68" s="89"/>
      <x:c r="U68" s="89"/>
      <x:c r="V68" s="89"/>
      <x:c r="W68" s="89"/>
      <x:c r="X68" s="89"/>
      <x:c r="Y68" s="89"/>
      <x:c r="Z68" s="89"/>
    </x:row>
    <x:row r="69">
      <x:c r="A69" s="89"/>
      <x:c r="B69" s="89"/>
      <x:c r="C69" s="89"/>
      <x:c r="D69" s="89"/>
      <x:c r="E69" s="89"/>
      <x:c r="F69" s="89"/>
      <x:c r="G69" s="89"/>
      <x:c r="H69" s="89"/>
      <x:c r="I69" s="89"/>
      <x:c r="J69" s="89"/>
      <x:c r="K69" s="89"/>
      <x:c r="L69" s="89"/>
      <x:c r="M69" s="89"/>
      <x:c r="N69" s="89"/>
      <x:c r="O69" s="89"/>
      <x:c r="P69" s="89"/>
      <x:c r="Q69" s="89"/>
      <x:c r="R69" s="89"/>
      <x:c r="S69" s="89"/>
      <x:c r="T69" s="89"/>
      <x:c r="U69" s="89"/>
      <x:c r="V69" s="89"/>
      <x:c r="W69" s="89"/>
      <x:c r="X69" s="89"/>
      <x:c r="Y69" s="89"/>
      <x:c r="Z69" s="89"/>
    </x:row>
    <x:row r="70">
      <x:c r="A70" s="89"/>
      <x:c r="B70" s="89"/>
      <x:c r="C70" s="89"/>
      <x:c r="D70" s="89"/>
      <x:c r="E70" s="89"/>
      <x:c r="F70" s="89"/>
      <x:c r="G70" s="89"/>
      <x:c r="H70" s="89"/>
      <x:c r="I70" s="89"/>
      <x:c r="J70" s="89"/>
      <x:c r="K70" s="89"/>
      <x:c r="L70" s="89"/>
      <x:c r="M70" s="89"/>
      <x:c r="N70" s="89"/>
      <x:c r="O70" s="89"/>
      <x:c r="P70" s="89"/>
      <x:c r="Q70" s="89"/>
      <x:c r="R70" s="89"/>
      <x:c r="S70" s="89"/>
      <x:c r="T70" s="89"/>
      <x:c r="U70" s="89"/>
      <x:c r="V70" s="89"/>
      <x:c r="W70" s="89"/>
      <x:c r="X70" s="89"/>
      <x:c r="Y70" s="89"/>
      <x:c r="Z70" s="89"/>
    </x:row>
    <x:row r="71">
      <x:c r="A71" s="89"/>
      <x:c r="B71" s="89"/>
      <x:c r="C71" s="89"/>
      <x:c r="D71" s="89"/>
      <x:c r="E71" s="89"/>
      <x:c r="F71" s="89"/>
      <x:c r="G71" s="89"/>
      <x:c r="H71" s="89"/>
      <x:c r="I71" s="89"/>
      <x:c r="J71" s="89"/>
      <x:c r="K71" s="89"/>
      <x:c r="L71" s="89"/>
      <x:c r="M71" s="89"/>
      <x:c r="N71" s="89"/>
      <x:c r="O71" s="89"/>
      <x:c r="P71" s="89"/>
      <x:c r="Q71" s="89"/>
      <x:c r="R71" s="89"/>
      <x:c r="S71" s="89"/>
      <x:c r="T71" s="89"/>
      <x:c r="U71" s="89"/>
      <x:c r="V71" s="89"/>
      <x:c r="W71" s="89"/>
      <x:c r="X71" s="89"/>
      <x:c r="Y71" s="89"/>
      <x:c r="Z71" s="89"/>
    </x:row>
    <x:row r="72">
      <x:c r="A72" s="89"/>
      <x:c r="B72" s="89"/>
      <x:c r="C72" s="89"/>
      <x:c r="D72" s="89"/>
      <x:c r="E72" s="89"/>
      <x:c r="F72" s="89"/>
      <x:c r="G72" s="89"/>
      <x:c r="H72" s="89"/>
      <x:c r="I72" s="89"/>
      <x:c r="J72" s="89"/>
      <x:c r="K72" s="89"/>
      <x:c r="L72" s="89"/>
      <x:c r="M72" s="89"/>
      <x:c r="N72" s="89"/>
      <x:c r="O72" s="89"/>
      <x:c r="P72" s="89"/>
      <x:c r="Q72" s="89"/>
      <x:c r="R72" s="89"/>
      <x:c r="S72" s="89"/>
      <x:c r="T72" s="89"/>
      <x:c r="U72" s="89"/>
      <x:c r="V72" s="89"/>
      <x:c r="W72" s="89"/>
      <x:c r="X72" s="89"/>
      <x:c r="Y72" s="89"/>
      <x:c r="Z72" s="89"/>
    </x:row>
    <x:row r="73">
      <x:c r="A73" s="89"/>
      <x:c r="B73" s="89"/>
      <x:c r="C73" s="89"/>
      <x:c r="D73" s="89"/>
      <x:c r="E73" s="89"/>
      <x:c r="F73" s="89"/>
      <x:c r="G73" s="89"/>
      <x:c r="H73" s="89"/>
      <x:c r="I73" s="89"/>
      <x:c r="J73" s="89"/>
      <x:c r="K73" s="89"/>
      <x:c r="L73" s="89"/>
      <x:c r="M73" s="89"/>
      <x:c r="N73" s="89"/>
      <x:c r="O73" s="89"/>
      <x:c r="P73" s="89"/>
      <x:c r="Q73" s="89"/>
      <x:c r="R73" s="89"/>
      <x:c r="S73" s="89"/>
      <x:c r="T73" s="89"/>
      <x:c r="U73" s="89"/>
      <x:c r="V73" s="89"/>
      <x:c r="W73" s="89"/>
      <x:c r="X73" s="89"/>
      <x:c r="Y73" s="89"/>
      <x:c r="Z73" s="89"/>
    </x:row>
    <x:row r="74">
      <x:c r="A74" s="89"/>
      <x:c r="B74" s="89"/>
      <x:c r="C74" s="89"/>
      <x:c r="D74" s="89"/>
      <x:c r="E74" s="89"/>
      <x:c r="F74" s="89"/>
      <x:c r="G74" s="89"/>
      <x:c r="H74" s="89"/>
      <x:c r="I74" s="89"/>
      <x:c r="J74" s="89"/>
      <x:c r="K74" s="89"/>
      <x:c r="L74" s="89"/>
      <x:c r="M74" s="89"/>
      <x:c r="N74" s="89"/>
      <x:c r="O74" s="89"/>
      <x:c r="P74" s="89"/>
      <x:c r="Q74" s="89"/>
      <x:c r="R74" s="89"/>
      <x:c r="S74" s="89"/>
      <x:c r="T74" s="89"/>
      <x:c r="U74" s="89"/>
      <x:c r="V74" s="89"/>
      <x:c r="W74" s="89"/>
      <x:c r="X74" s="89"/>
      <x:c r="Y74" s="89"/>
      <x:c r="Z74" s="89"/>
    </x:row>
    <x:row r="75">
      <x:c r="A75" s="89"/>
      <x:c r="B75" s="89"/>
      <x:c r="C75" s="89"/>
      <x:c r="D75" s="89"/>
      <x:c r="E75" s="89"/>
      <x:c r="F75" s="89"/>
      <x:c r="G75" s="89"/>
      <x:c r="H75" s="89"/>
      <x:c r="I75" s="89"/>
      <x:c r="J75" s="89"/>
      <x:c r="K75" s="89"/>
      <x:c r="L75" s="89"/>
      <x:c r="M75" s="89"/>
      <x:c r="N75" s="89"/>
      <x:c r="O75" s="89"/>
      <x:c r="P75" s="89"/>
      <x:c r="Q75" s="89"/>
      <x:c r="R75" s="89"/>
      <x:c r="S75" s="89"/>
      <x:c r="T75" s="89"/>
      <x:c r="U75" s="89"/>
      <x:c r="V75" s="89"/>
      <x:c r="W75" s="89"/>
      <x:c r="X75" s="89"/>
      <x:c r="Y75" s="89"/>
      <x:c r="Z75" s="89"/>
    </x:row>
    <x:row r="76">
      <x:c r="A76" s="89"/>
      <x:c r="B76" s="89"/>
      <x:c r="C76" s="89"/>
      <x:c r="D76" s="89"/>
      <x:c r="E76" s="89"/>
      <x:c r="F76" s="89"/>
      <x:c r="G76" s="89"/>
      <x:c r="H76" s="89"/>
      <x:c r="I76" s="89"/>
      <x:c r="J76" s="89"/>
      <x:c r="K76" s="89"/>
      <x:c r="L76" s="89"/>
      <x:c r="M76" s="89"/>
      <x:c r="N76" s="89"/>
      <x:c r="O76" s="89"/>
      <x:c r="P76" s="89"/>
      <x:c r="Q76" s="89"/>
      <x:c r="R76" s="89"/>
      <x:c r="S76" s="89"/>
      <x:c r="T76" s="89"/>
      <x:c r="U76" s="89"/>
      <x:c r="V76" s="89"/>
      <x:c r="W76" s="89"/>
      <x:c r="X76" s="89"/>
      <x:c r="Y76" s="89"/>
      <x:c r="Z76" s="89"/>
    </x:row>
    <x:row r="77">
      <x:c r="A77" s="89"/>
      <x:c r="B77" s="89"/>
      <x:c r="C77" s="89"/>
      <x:c r="D77" s="89"/>
      <x:c r="E77" s="89"/>
      <x:c r="F77" s="89"/>
      <x:c r="G77" s="89"/>
      <x:c r="H77" s="89"/>
      <x:c r="I77" s="89"/>
      <x:c r="J77" s="89"/>
      <x:c r="K77" s="89"/>
      <x:c r="L77" s="89"/>
      <x:c r="M77" s="89"/>
      <x:c r="N77" s="89"/>
      <x:c r="O77" s="89"/>
      <x:c r="P77" s="89"/>
      <x:c r="Q77" s="89"/>
      <x:c r="R77" s="89"/>
      <x:c r="S77" s="89"/>
      <x:c r="T77" s="89"/>
      <x:c r="U77" s="89"/>
      <x:c r="V77" s="89"/>
      <x:c r="W77" s="89"/>
      <x:c r="X77" s="89"/>
      <x:c r="Y77" s="89"/>
      <x:c r="Z77" s="89"/>
    </x:row>
    <x:row r="78">
      <x:c r="A78" s="89"/>
      <x:c r="B78" s="89"/>
      <x:c r="C78" s="89"/>
      <x:c r="D78" s="89"/>
      <x:c r="E78" s="89"/>
      <x:c r="F78" s="89"/>
      <x:c r="G78" s="89"/>
      <x:c r="H78" s="89"/>
      <x:c r="I78" s="89"/>
      <x:c r="J78" s="89"/>
      <x:c r="K78" s="89"/>
      <x:c r="L78" s="89"/>
      <x:c r="M78" s="89"/>
      <x:c r="N78" s="89"/>
      <x:c r="O78" s="89"/>
      <x:c r="P78" s="89"/>
      <x:c r="Q78" s="89"/>
      <x:c r="R78" s="89"/>
      <x:c r="S78" s="89"/>
      <x:c r="T78" s="89"/>
      <x:c r="U78" s="89"/>
      <x:c r="V78" s="89"/>
      <x:c r="W78" s="89"/>
      <x:c r="X78" s="89"/>
      <x:c r="Y78" s="89"/>
      <x:c r="Z78" s="89"/>
    </x:row>
    <x:row r="79">
      <x:c r="A79" s="89"/>
      <x:c r="B79" s="89"/>
      <x:c r="C79" s="89"/>
      <x:c r="D79" s="89"/>
      <x:c r="E79" s="89"/>
      <x:c r="F79" s="89"/>
      <x:c r="G79" s="89"/>
      <x:c r="H79" s="89"/>
      <x:c r="I79" s="89"/>
      <x:c r="J79" s="89"/>
      <x:c r="K79" s="89"/>
      <x:c r="L79" s="89"/>
      <x:c r="M79" s="89"/>
      <x:c r="N79" s="89"/>
      <x:c r="O79" s="89"/>
      <x:c r="P79" s="89"/>
      <x:c r="Q79" s="89"/>
      <x:c r="R79" s="89"/>
      <x:c r="S79" s="89"/>
      <x:c r="T79" s="89"/>
      <x:c r="U79" s="89"/>
      <x:c r="V79" s="89"/>
      <x:c r="W79" s="89"/>
      <x:c r="X79" s="89"/>
      <x:c r="Y79" s="89"/>
      <x:c r="Z79" s="89"/>
    </x:row>
    <x:row r="80">
      <x:c r="A80" s="89"/>
      <x:c r="B80" s="89"/>
      <x:c r="C80" s="89"/>
      <x:c r="D80" s="89"/>
      <x:c r="E80" s="89"/>
      <x:c r="F80" s="89"/>
      <x:c r="G80" s="89"/>
      <x:c r="H80" s="89"/>
      <x:c r="I80" s="89"/>
      <x:c r="J80" s="89"/>
      <x:c r="K80" s="89"/>
      <x:c r="L80" s="89"/>
      <x:c r="M80" s="89"/>
      <x:c r="N80" s="89"/>
      <x:c r="O80" s="89"/>
      <x:c r="P80" s="89"/>
      <x:c r="Q80" s="89"/>
      <x:c r="R80" s="89"/>
      <x:c r="S80" s="89"/>
      <x:c r="T80" s="89"/>
      <x:c r="U80" s="89"/>
      <x:c r="V80" s="89"/>
      <x:c r="W80" s="89"/>
      <x:c r="X80" s="89"/>
      <x:c r="Y80" s="89"/>
      <x:c r="Z80" s="89"/>
    </x:row>
    <x:row r="81">
      <x:c r="A81" s="89"/>
      <x:c r="B81" s="89"/>
      <x:c r="C81" s="89"/>
      <x:c r="D81" s="89"/>
      <x:c r="E81" s="89"/>
      <x:c r="F81" s="89"/>
      <x:c r="G81" s="89"/>
      <x:c r="H81" s="89"/>
      <x:c r="I81" s="89"/>
      <x:c r="J81" s="89"/>
      <x:c r="K81" s="89"/>
      <x:c r="L81" s="89"/>
      <x:c r="M81" s="89"/>
      <x:c r="N81" s="89"/>
      <x:c r="O81" s="89"/>
      <x:c r="P81" s="89"/>
      <x:c r="Q81" s="89"/>
      <x:c r="R81" s="89"/>
      <x:c r="S81" s="89"/>
      <x:c r="T81" s="89"/>
      <x:c r="U81" s="89"/>
      <x:c r="V81" s="89"/>
      <x:c r="W81" s="89"/>
      <x:c r="X81" s="89"/>
      <x:c r="Y81" s="89"/>
      <x:c r="Z81" s="89"/>
    </x:row>
    <x:row r="82">
      <x:c r="A82" s="89"/>
      <x:c r="B82" s="89"/>
      <x:c r="C82" s="89"/>
      <x:c r="D82" s="89"/>
      <x:c r="E82" s="89"/>
      <x:c r="F82" s="89"/>
      <x:c r="G82" s="89"/>
      <x:c r="H82" s="89"/>
      <x:c r="I82" s="89"/>
      <x:c r="J82" s="89"/>
      <x:c r="K82" s="89"/>
      <x:c r="L82" s="89"/>
      <x:c r="M82" s="89"/>
      <x:c r="N82" s="89"/>
      <x:c r="O82" s="89"/>
      <x:c r="P82" s="89"/>
      <x:c r="Q82" s="89"/>
      <x:c r="R82" s="89"/>
      <x:c r="S82" s="89"/>
      <x:c r="T82" s="89"/>
      <x:c r="U82" s="89"/>
      <x:c r="V82" s="89"/>
      <x:c r="W82" s="89"/>
      <x:c r="X82" s="89"/>
      <x:c r="Y82" s="89"/>
      <x:c r="Z82" s="89"/>
    </x:row>
    <x:row r="83">
      <x:c r="A83" s="89"/>
      <x:c r="B83" s="89"/>
      <x:c r="C83" s="89"/>
      <x:c r="D83" s="89"/>
      <x:c r="E83" s="89"/>
      <x:c r="F83" s="89"/>
      <x:c r="G83" s="89"/>
      <x:c r="H83" s="89"/>
      <x:c r="I83" s="89"/>
      <x:c r="J83" s="89"/>
      <x:c r="K83" s="89"/>
      <x:c r="L83" s="89"/>
      <x:c r="M83" s="89"/>
      <x:c r="N83" s="89"/>
      <x:c r="O83" s="89"/>
      <x:c r="P83" s="89"/>
      <x:c r="Q83" s="89"/>
      <x:c r="R83" s="89"/>
      <x:c r="S83" s="89"/>
      <x:c r="T83" s="89"/>
      <x:c r="U83" s="89"/>
      <x:c r="V83" s="89"/>
      <x:c r="W83" s="89"/>
      <x:c r="X83" s="89"/>
      <x:c r="Y83" s="89"/>
      <x:c r="Z83" s="89"/>
    </x:row>
    <x:row r="84">
      <x:c r="A84" s="89"/>
      <x:c r="B84" s="89"/>
      <x:c r="C84" s="89"/>
      <x:c r="D84" s="89"/>
      <x:c r="E84" s="89"/>
      <x:c r="F84" s="89"/>
      <x:c r="G84" s="89"/>
      <x:c r="H84" s="89"/>
      <x:c r="I84" s="89"/>
      <x:c r="J84" s="89"/>
      <x:c r="K84" s="89"/>
      <x:c r="L84" s="89"/>
      <x:c r="M84" s="89"/>
      <x:c r="N84" s="89"/>
      <x:c r="O84" s="89"/>
      <x:c r="P84" s="89"/>
      <x:c r="Q84" s="89"/>
      <x:c r="R84" s="89"/>
      <x:c r="S84" s="89"/>
      <x:c r="T84" s="89"/>
      <x:c r="U84" s="89"/>
      <x:c r="V84" s="89"/>
      <x:c r="W84" s="89"/>
      <x:c r="X84" s="89"/>
      <x:c r="Y84" s="89"/>
      <x:c r="Z84" s="89"/>
    </x:row>
    <x:row r="85">
      <x:c r="A85" s="89"/>
      <x:c r="B85" s="89"/>
      <x:c r="C85" s="89"/>
      <x:c r="D85" s="89"/>
      <x:c r="E85" s="89"/>
      <x:c r="F85" s="89"/>
      <x:c r="G85" s="89"/>
      <x:c r="H85" s="89"/>
      <x:c r="I85" s="89"/>
      <x:c r="J85" s="89"/>
      <x:c r="K85" s="89"/>
      <x:c r="L85" s="89"/>
      <x:c r="M85" s="89"/>
      <x:c r="N85" s="89"/>
      <x:c r="O85" s="89"/>
      <x:c r="P85" s="89"/>
      <x:c r="Q85" s="89"/>
      <x:c r="R85" s="89"/>
      <x:c r="S85" s="89"/>
      <x:c r="T85" s="89"/>
      <x:c r="U85" s="89"/>
      <x:c r="V85" s="89"/>
      <x:c r="W85" s="89"/>
      <x:c r="X85" s="89"/>
      <x:c r="Y85" s="89"/>
      <x:c r="Z85" s="89"/>
    </x:row>
    <x:row r="86">
      <x:c r="A86" s="89"/>
      <x:c r="B86" s="89"/>
      <x:c r="C86" s="89"/>
      <x:c r="D86" s="89"/>
      <x:c r="E86" s="89"/>
      <x:c r="F86" s="89"/>
      <x:c r="G86" s="89"/>
      <x:c r="H86" s="89"/>
      <x:c r="I86" s="89"/>
      <x:c r="J86" s="89"/>
      <x:c r="K86" s="89"/>
      <x:c r="L86" s="89"/>
      <x:c r="M86" s="89"/>
      <x:c r="N86" s="89"/>
      <x:c r="O86" s="89"/>
      <x:c r="P86" s="89"/>
      <x:c r="Q86" s="89"/>
      <x:c r="R86" s="89"/>
      <x:c r="S86" s="89"/>
      <x:c r="T86" s="89"/>
      <x:c r="U86" s="89"/>
      <x:c r="V86" s="89"/>
      <x:c r="W86" s="89"/>
      <x:c r="X86" s="89"/>
      <x:c r="Y86" s="89"/>
      <x:c r="Z86" s="89"/>
    </x:row>
    <x:row r="87">
      <x:c r="A87" s="89"/>
      <x:c r="B87" s="89"/>
      <x:c r="C87" s="89"/>
      <x:c r="D87" s="89"/>
      <x:c r="E87" s="89"/>
      <x:c r="F87" s="89"/>
      <x:c r="G87" s="89"/>
      <x:c r="H87" s="89"/>
      <x:c r="I87" s="89"/>
      <x:c r="J87" s="89"/>
      <x:c r="K87" s="89"/>
      <x:c r="L87" s="89"/>
      <x:c r="M87" s="89"/>
      <x:c r="N87" s="89"/>
      <x:c r="O87" s="89"/>
      <x:c r="P87" s="89"/>
      <x:c r="Q87" s="89"/>
      <x:c r="R87" s="89"/>
      <x:c r="S87" s="89"/>
      <x:c r="T87" s="89"/>
      <x:c r="U87" s="89"/>
      <x:c r="V87" s="89"/>
      <x:c r="W87" s="89"/>
      <x:c r="X87" s="89"/>
      <x:c r="Y87" s="89"/>
      <x:c r="Z87" s="89"/>
    </x:row>
    <x:row r="88">
      <x:c r="A88" s="89"/>
      <x:c r="B88" s="89"/>
      <x:c r="C88" s="89"/>
      <x:c r="D88" s="89"/>
      <x:c r="E88" s="89"/>
      <x:c r="F88" s="89"/>
      <x:c r="G88" s="89"/>
      <x:c r="H88" s="89"/>
      <x:c r="I88" s="89"/>
      <x:c r="J88" s="89"/>
      <x:c r="K88" s="89"/>
      <x:c r="L88" s="89"/>
      <x:c r="M88" s="89"/>
      <x:c r="N88" s="89"/>
      <x:c r="O88" s="89"/>
      <x:c r="P88" s="89"/>
      <x:c r="Q88" s="89"/>
      <x:c r="R88" s="89"/>
      <x:c r="S88" s="89"/>
      <x:c r="T88" s="89"/>
      <x:c r="U88" s="89"/>
      <x:c r="V88" s="89"/>
      <x:c r="W88" s="89"/>
      <x:c r="X88" s="89"/>
      <x:c r="Y88" s="89"/>
      <x:c r="Z88" s="89"/>
    </x:row>
    <x:row r="89">
      <x:c r="A89" s="89"/>
      <x:c r="B89" s="89"/>
      <x:c r="C89" s="89"/>
      <x:c r="D89" s="89"/>
      <x:c r="E89" s="89"/>
      <x:c r="F89" s="89"/>
      <x:c r="G89" s="89"/>
      <x:c r="H89" s="89"/>
      <x:c r="I89" s="89"/>
      <x:c r="J89" s="89"/>
      <x:c r="K89" s="89"/>
      <x:c r="L89" s="89"/>
      <x:c r="M89" s="89"/>
      <x:c r="N89" s="89"/>
      <x:c r="O89" s="89"/>
      <x:c r="P89" s="89"/>
      <x:c r="Q89" s="89"/>
      <x:c r="R89" s="89"/>
      <x:c r="S89" s="89"/>
      <x:c r="T89" s="89"/>
      <x:c r="U89" s="89"/>
      <x:c r="V89" s="89"/>
      <x:c r="W89" s="89"/>
      <x:c r="X89" s="89"/>
      <x:c r="Y89" s="89"/>
      <x:c r="Z89" s="89"/>
    </x:row>
    <x:row r="90">
      <x:c r="A90" s="89"/>
      <x:c r="B90" s="89"/>
      <x:c r="C90" s="89"/>
      <x:c r="D90" s="89"/>
      <x:c r="E90" s="89"/>
      <x:c r="F90" s="89"/>
      <x:c r="G90" s="89"/>
      <x:c r="H90" s="89"/>
      <x:c r="I90" s="89"/>
      <x:c r="J90" s="89"/>
      <x:c r="K90" s="89"/>
      <x:c r="L90" s="89"/>
      <x:c r="M90" s="89"/>
      <x:c r="N90" s="89"/>
      <x:c r="O90" s="89"/>
      <x:c r="P90" s="89"/>
      <x:c r="Q90" s="89"/>
      <x:c r="R90" s="89"/>
      <x:c r="S90" s="89"/>
      <x:c r="T90" s="89"/>
      <x:c r="U90" s="89"/>
      <x:c r="V90" s="89"/>
      <x:c r="W90" s="89"/>
      <x:c r="X90" s="89"/>
      <x:c r="Y90" s="89"/>
      <x:c r="Z90" s="89"/>
    </x:row>
    <x:row r="91">
      <x:c r="A91" s="89"/>
      <x:c r="B91" s="89"/>
      <x:c r="C91" s="89"/>
      <x:c r="D91" s="89"/>
      <x:c r="E91" s="89"/>
      <x:c r="F91" s="89"/>
      <x:c r="G91" s="89"/>
      <x:c r="H91" s="89"/>
      <x:c r="I91" s="89"/>
      <x:c r="J91" s="89"/>
      <x:c r="K91" s="89"/>
      <x:c r="L91" s="89"/>
      <x:c r="M91" s="89"/>
      <x:c r="N91" s="89"/>
      <x:c r="O91" s="89"/>
      <x:c r="P91" s="89"/>
      <x:c r="Q91" s="89"/>
      <x:c r="R91" s="89"/>
      <x:c r="S91" s="89"/>
      <x:c r="T91" s="89"/>
      <x:c r="U91" s="89"/>
      <x:c r="V91" s="89"/>
      <x:c r="W91" s="89"/>
      <x:c r="X91" s="89"/>
      <x:c r="Y91" s="89"/>
      <x:c r="Z91" s="89"/>
    </x:row>
    <x:row r="92">
      <x:c r="A92" s="89"/>
      <x:c r="B92" s="89"/>
      <x:c r="C92" s="89"/>
      <x:c r="D92" s="89"/>
      <x:c r="E92" s="89"/>
      <x:c r="F92" s="89"/>
      <x:c r="G92" s="89"/>
      <x:c r="H92" s="89"/>
      <x:c r="I92" s="89"/>
      <x:c r="J92" s="89"/>
      <x:c r="K92" s="89"/>
      <x:c r="L92" s="89"/>
      <x:c r="M92" s="89"/>
      <x:c r="N92" s="89"/>
      <x:c r="O92" s="89"/>
      <x:c r="P92" s="89"/>
      <x:c r="Q92" s="89"/>
      <x:c r="R92" s="89"/>
      <x:c r="S92" s="89"/>
      <x:c r="T92" s="89"/>
      <x:c r="U92" s="89"/>
      <x:c r="V92" s="89"/>
      <x:c r="W92" s="89"/>
      <x:c r="X92" s="89"/>
      <x:c r="Y92" s="89"/>
      <x:c r="Z92" s="89"/>
    </x:row>
    <x:row r="93">
      <x:c r="A93" s="89"/>
      <x:c r="B93" s="89"/>
      <x:c r="C93" s="89"/>
      <x:c r="D93" s="89"/>
      <x:c r="E93" s="89"/>
      <x:c r="F93" s="89"/>
      <x:c r="G93" s="89"/>
      <x:c r="H93" s="89"/>
      <x:c r="I93" s="89"/>
      <x:c r="J93" s="89"/>
      <x:c r="K93" s="89"/>
      <x:c r="L93" s="89"/>
      <x:c r="M93" s="89"/>
      <x:c r="N93" s="89"/>
      <x:c r="O93" s="89"/>
      <x:c r="P93" s="89"/>
      <x:c r="Q93" s="89"/>
      <x:c r="R93" s="89"/>
      <x:c r="S93" s="89"/>
      <x:c r="T93" s="89"/>
      <x:c r="U93" s="89"/>
      <x:c r="V93" s="89"/>
      <x:c r="W93" s="89"/>
      <x:c r="X93" s="89"/>
      <x:c r="Y93" s="89"/>
      <x:c r="Z93" s="89"/>
    </x:row>
    <x:row r="94">
      <x:c r="A94" s="89"/>
      <x:c r="B94" s="89"/>
      <x:c r="C94" s="89"/>
      <x:c r="D94" s="89"/>
      <x:c r="E94" s="89"/>
      <x:c r="F94" s="89"/>
      <x:c r="G94" s="89"/>
      <x:c r="H94" s="89"/>
      <x:c r="I94" s="89"/>
      <x:c r="J94" s="89"/>
      <x:c r="K94" s="89"/>
      <x:c r="L94" s="89"/>
      <x:c r="M94" s="89"/>
      <x:c r="N94" s="89"/>
      <x:c r="O94" s="89"/>
      <x:c r="P94" s="89"/>
      <x:c r="Q94" s="89"/>
      <x:c r="R94" s="89"/>
      <x:c r="S94" s="89"/>
      <x:c r="T94" s="89"/>
      <x:c r="U94" s="89"/>
      <x:c r="V94" s="89"/>
      <x:c r="W94" s="89"/>
      <x:c r="X94" s="89"/>
      <x:c r="Y94" s="89"/>
      <x:c r="Z94" s="89"/>
    </x:row>
    <x:row r="95">
      <x:c r="A95" s="89"/>
      <x:c r="B95" s="89"/>
      <x:c r="C95" s="89"/>
      <x:c r="D95" s="89"/>
      <x:c r="E95" s="89"/>
      <x:c r="F95" s="89"/>
      <x:c r="G95" s="89"/>
      <x:c r="H95" s="89"/>
      <x:c r="I95" s="89"/>
      <x:c r="J95" s="89"/>
      <x:c r="K95" s="89"/>
      <x:c r="L95" s="89"/>
      <x:c r="M95" s="89"/>
      <x:c r="N95" s="89"/>
      <x:c r="O95" s="89"/>
      <x:c r="P95" s="89"/>
      <x:c r="Q95" s="89"/>
      <x:c r="R95" s="89"/>
      <x:c r="S95" s="89"/>
      <x:c r="T95" s="89"/>
      <x:c r="U95" s="89"/>
      <x:c r="V95" s="89"/>
      <x:c r="W95" s="89"/>
      <x:c r="X95" s="89"/>
      <x:c r="Y95" s="89"/>
      <x:c r="Z95" s="89"/>
    </x:row>
    <x:row r="96">
      <x:c r="A96" s="89"/>
      <x:c r="B96" s="89"/>
      <x:c r="C96" s="89"/>
      <x:c r="D96" s="89"/>
      <x:c r="E96" s="89"/>
      <x:c r="F96" s="89"/>
      <x:c r="G96" s="89"/>
      <x:c r="H96" s="89"/>
      <x:c r="I96" s="89"/>
      <x:c r="J96" s="89"/>
      <x:c r="K96" s="89"/>
      <x:c r="L96" s="89"/>
      <x:c r="M96" s="89"/>
      <x:c r="N96" s="89"/>
      <x:c r="O96" s="89"/>
      <x:c r="P96" s="89"/>
      <x:c r="Q96" s="89"/>
      <x:c r="R96" s="89"/>
      <x:c r="S96" s="89"/>
      <x:c r="T96" s="89"/>
      <x:c r="U96" s="89"/>
      <x:c r="V96" s="89"/>
      <x:c r="W96" s="89"/>
      <x:c r="X96" s="89"/>
      <x:c r="Y96" s="89"/>
      <x:c r="Z96" s="89"/>
    </x:row>
    <x:row r="97">
      <x:c r="A97" s="89"/>
      <x:c r="B97" s="89"/>
      <x:c r="C97" s="89"/>
      <x:c r="D97" s="89"/>
      <x:c r="E97" s="89"/>
      <x:c r="F97" s="89"/>
      <x:c r="G97" s="89"/>
      <x:c r="H97" s="89"/>
      <x:c r="I97" s="89"/>
      <x:c r="J97" s="89"/>
      <x:c r="K97" s="89"/>
      <x:c r="L97" s="89"/>
      <x:c r="M97" s="89"/>
      <x:c r="N97" s="89"/>
      <x:c r="O97" s="89"/>
      <x:c r="P97" s="89"/>
      <x:c r="Q97" s="89"/>
      <x:c r="R97" s="89"/>
      <x:c r="S97" s="89"/>
      <x:c r="T97" s="89"/>
      <x:c r="U97" s="89"/>
      <x:c r="V97" s="89"/>
      <x:c r="W97" s="89"/>
      <x:c r="X97" s="89"/>
      <x:c r="Y97" s="89"/>
      <x:c r="Z97" s="89"/>
    </x:row>
    <x:row r="98">
      <x:c r="A98" s="89"/>
      <x:c r="B98" s="89"/>
      <x:c r="C98" s="89"/>
      <x:c r="D98" s="89"/>
      <x:c r="E98" s="89"/>
      <x:c r="F98" s="89"/>
      <x:c r="G98" s="89"/>
      <x:c r="H98" s="89"/>
      <x:c r="I98" s="89"/>
      <x:c r="J98" s="89"/>
      <x:c r="K98" s="89"/>
      <x:c r="L98" s="89"/>
      <x:c r="M98" s="89"/>
      <x:c r="N98" s="89"/>
      <x:c r="O98" s="89"/>
      <x:c r="P98" s="89"/>
      <x:c r="Q98" s="89"/>
      <x:c r="R98" s="89"/>
      <x:c r="S98" s="89"/>
      <x:c r="T98" s="89"/>
      <x:c r="U98" s="89"/>
      <x:c r="V98" s="89"/>
      <x:c r="W98" s="89"/>
      <x:c r="X98" s="89"/>
      <x:c r="Y98" s="89"/>
      <x:c r="Z98" s="89"/>
    </x:row>
    <x:row r="99">
      <x:c r="A99" s="89"/>
      <x:c r="B99" s="89"/>
      <x:c r="C99" s="89"/>
      <x:c r="D99" s="89"/>
      <x:c r="E99" s="89"/>
      <x:c r="F99" s="89"/>
      <x:c r="G99" s="89"/>
      <x:c r="H99" s="89"/>
      <x:c r="I99" s="89"/>
      <x:c r="J99" s="89"/>
      <x:c r="K99" s="89"/>
      <x:c r="L99" s="89"/>
      <x:c r="M99" s="89"/>
      <x:c r="N99" s="89"/>
      <x:c r="O99" s="89"/>
      <x:c r="P99" s="89"/>
      <x:c r="Q99" s="89"/>
      <x:c r="R99" s="89"/>
      <x:c r="S99" s="89"/>
      <x:c r="T99" s="89"/>
      <x:c r="U99" s="89"/>
      <x:c r="V99" s="89"/>
      <x:c r="W99" s="89"/>
      <x:c r="X99" s="89"/>
      <x:c r="Y99" s="89"/>
      <x:c r="Z99" s="89"/>
    </x:row>
    <x:row r="100">
      <x:c r="A100" s="89"/>
      <x:c r="B100" s="89"/>
      <x:c r="C100" s="89"/>
      <x:c r="D100" s="89"/>
      <x:c r="E100" s="89"/>
      <x:c r="F100" s="89"/>
      <x:c r="G100" s="89"/>
      <x:c r="H100" s="89"/>
      <x:c r="I100" s="89"/>
      <x:c r="J100" s="89"/>
      <x:c r="K100" s="89"/>
      <x:c r="L100" s="89"/>
      <x:c r="M100" s="89"/>
      <x:c r="N100" s="89"/>
      <x:c r="O100" s="89"/>
      <x:c r="P100" s="89"/>
      <x:c r="Q100" s="89"/>
      <x:c r="R100" s="89"/>
      <x:c r="S100" s="89"/>
      <x:c r="T100" s="89"/>
      <x:c r="U100" s="89"/>
      <x:c r="V100" s="89"/>
      <x:c r="W100" s="89"/>
      <x:c r="X100" s="89"/>
      <x:c r="Y100" s="89"/>
      <x:c r="Z100" s="89"/>
    </x:row>
    <x:row r="101">
      <x:c r="A101" s="89"/>
      <x:c r="B101" s="89"/>
      <x:c r="C101" s="89"/>
      <x:c r="D101" s="89"/>
      <x:c r="E101" s="89"/>
      <x:c r="F101" s="89"/>
      <x:c r="G101" s="89"/>
      <x:c r="H101" s="89"/>
      <x:c r="I101" s="89"/>
      <x:c r="J101" s="89"/>
      <x:c r="K101" s="89"/>
      <x:c r="L101" s="89"/>
      <x:c r="M101" s="89"/>
      <x:c r="N101" s="89"/>
      <x:c r="O101" s="89"/>
      <x:c r="P101" s="89"/>
      <x:c r="Q101" s="89"/>
      <x:c r="R101" s="89"/>
      <x:c r="S101" s="89"/>
      <x:c r="T101" s="89"/>
      <x:c r="U101" s="89"/>
      <x:c r="V101" s="89"/>
      <x:c r="W101" s="89"/>
      <x:c r="X101" s="89"/>
      <x:c r="Y101" s="89"/>
      <x:c r="Z101" s="89"/>
    </x:row>
    <x:row r="102">
      <x:c r="A102" s="89"/>
      <x:c r="B102" s="89"/>
      <x:c r="C102" s="89"/>
      <x:c r="D102" s="89"/>
      <x:c r="E102" s="89"/>
      <x:c r="F102" s="89"/>
      <x:c r="G102" s="89"/>
      <x:c r="H102" s="89"/>
      <x:c r="I102" s="89"/>
      <x:c r="J102" s="89"/>
      <x:c r="K102" s="89"/>
      <x:c r="L102" s="89"/>
      <x:c r="M102" s="89"/>
      <x:c r="N102" s="89"/>
      <x:c r="O102" s="89"/>
      <x:c r="P102" s="89"/>
      <x:c r="Q102" s="89"/>
      <x:c r="R102" s="89"/>
      <x:c r="S102" s="89"/>
      <x:c r="T102" s="89"/>
      <x:c r="U102" s="89"/>
      <x:c r="V102" s="89"/>
      <x:c r="W102" s="89"/>
      <x:c r="X102" s="89"/>
      <x:c r="Y102" s="89"/>
      <x:c r="Z102" s="89"/>
    </x:row>
    <x:row r="103">
      <x:c r="A103" s="89"/>
      <x:c r="B103" s="89"/>
      <x:c r="C103" s="89"/>
      <x:c r="D103" s="89"/>
      <x:c r="E103" s="89"/>
      <x:c r="F103" s="89"/>
      <x:c r="G103" s="89"/>
      <x:c r="H103" s="89"/>
      <x:c r="I103" s="89"/>
      <x:c r="J103" s="89"/>
      <x:c r="K103" s="89"/>
      <x:c r="L103" s="89"/>
      <x:c r="M103" s="89"/>
      <x:c r="N103" s="89"/>
      <x:c r="O103" s="89"/>
      <x:c r="P103" s="89"/>
      <x:c r="Q103" s="89"/>
      <x:c r="R103" s="89"/>
      <x:c r="S103" s="89"/>
      <x:c r="T103" s="89"/>
      <x:c r="U103" s="89"/>
      <x:c r="V103" s="89"/>
      <x:c r="W103" s="89"/>
      <x:c r="X103" s="89"/>
      <x:c r="Y103" s="89"/>
      <x:c r="Z103" s="89"/>
    </x:row>
    <x:row r="104">
      <x:c r="A104" s="89"/>
      <x:c r="B104" s="89"/>
      <x:c r="C104" s="89"/>
      <x:c r="D104" s="89"/>
      <x:c r="E104" s="89"/>
      <x:c r="F104" s="89"/>
      <x:c r="G104" s="89"/>
      <x:c r="H104" s="89"/>
      <x:c r="I104" s="89"/>
      <x:c r="J104" s="89"/>
      <x:c r="K104" s="89"/>
      <x:c r="L104" s="89"/>
      <x:c r="M104" s="89"/>
      <x:c r="N104" s="89"/>
      <x:c r="O104" s="89"/>
      <x:c r="P104" s="89"/>
      <x:c r="Q104" s="89"/>
      <x:c r="R104" s="89"/>
      <x:c r="S104" s="89"/>
      <x:c r="T104" s="89"/>
      <x:c r="U104" s="89"/>
      <x:c r="V104" s="89"/>
      <x:c r="W104" s="89"/>
      <x:c r="X104" s="89"/>
      <x:c r="Y104" s="89"/>
      <x:c r="Z104" s="89"/>
    </x:row>
    <x:row r="105">
      <x:c r="A105" s="89"/>
      <x:c r="B105" s="89"/>
      <x:c r="C105" s="89"/>
      <x:c r="D105" s="89"/>
      <x:c r="E105" s="89"/>
      <x:c r="F105" s="89"/>
      <x:c r="G105" s="89"/>
      <x:c r="H105" s="89"/>
      <x:c r="I105" s="89"/>
      <x:c r="J105" s="89"/>
      <x:c r="K105" s="89"/>
      <x:c r="L105" s="89"/>
      <x:c r="M105" s="89"/>
      <x:c r="N105" s="89"/>
      <x:c r="O105" s="89"/>
      <x:c r="P105" s="89"/>
      <x:c r="Q105" s="89"/>
      <x:c r="R105" s="89"/>
      <x:c r="S105" s="89"/>
      <x:c r="T105" s="89"/>
      <x:c r="U105" s="89"/>
      <x:c r="V105" s="89"/>
      <x:c r="W105" s="89"/>
      <x:c r="X105" s="89"/>
      <x:c r="Y105" s="89"/>
      <x:c r="Z105" s="89"/>
    </x:row>
    <x:row r="106">
      <x:c r="A106" s="89"/>
      <x:c r="B106" s="89"/>
      <x:c r="C106" s="89"/>
      <x:c r="D106" s="89"/>
      <x:c r="E106" s="89"/>
      <x:c r="F106" s="89"/>
      <x:c r="G106" s="89"/>
      <x:c r="H106" s="89"/>
      <x:c r="I106" s="89"/>
      <x:c r="J106" s="89"/>
      <x:c r="K106" s="89"/>
      <x:c r="L106" s="89"/>
      <x:c r="M106" s="89"/>
      <x:c r="N106" s="89"/>
      <x:c r="O106" s="89"/>
      <x:c r="P106" s="89"/>
      <x:c r="Q106" s="89"/>
      <x:c r="R106" s="89"/>
      <x:c r="S106" s="89"/>
      <x:c r="T106" s="89"/>
      <x:c r="U106" s="89"/>
      <x:c r="V106" s="89"/>
      <x:c r="W106" s="89"/>
      <x:c r="X106" s="89"/>
      <x:c r="Y106" s="89"/>
      <x:c r="Z106" s="89"/>
    </x:row>
    <x:row r="107">
      <x:c r="A107" s="89"/>
      <x:c r="B107" s="89"/>
      <x:c r="C107" s="89"/>
      <x:c r="D107" s="89"/>
      <x:c r="E107" s="89"/>
      <x:c r="F107" s="89"/>
      <x:c r="G107" s="89"/>
      <x:c r="H107" s="89"/>
      <x:c r="I107" s="89"/>
      <x:c r="J107" s="89"/>
      <x:c r="K107" s="89"/>
      <x:c r="L107" s="89"/>
      <x:c r="M107" s="89"/>
      <x:c r="N107" s="89"/>
      <x:c r="O107" s="89"/>
      <x:c r="P107" s="89"/>
      <x:c r="Q107" s="89"/>
      <x:c r="R107" s="89"/>
      <x:c r="S107" s="89"/>
      <x:c r="T107" s="89"/>
      <x:c r="U107" s="89"/>
      <x:c r="V107" s="89"/>
      <x:c r="W107" s="89"/>
      <x:c r="X107" s="89"/>
      <x:c r="Y107" s="89"/>
      <x:c r="Z107" s="89"/>
    </x:row>
    <x:row r="108">
      <x:c r="A108" s="89"/>
      <x:c r="B108" s="89"/>
      <x:c r="C108" s="89"/>
      <x:c r="D108" s="89"/>
      <x:c r="E108" s="89"/>
      <x:c r="F108" s="89"/>
      <x:c r="G108" s="89"/>
      <x:c r="H108" s="89"/>
      <x:c r="I108" s="89"/>
      <x:c r="J108" s="89"/>
      <x:c r="K108" s="89"/>
      <x:c r="L108" s="89"/>
      <x:c r="M108" s="89"/>
      <x:c r="N108" s="89"/>
      <x:c r="O108" s="89"/>
      <x:c r="P108" s="89"/>
      <x:c r="Q108" s="89"/>
      <x:c r="R108" s="89"/>
      <x:c r="S108" s="89"/>
      <x:c r="T108" s="89"/>
      <x:c r="U108" s="89"/>
      <x:c r="V108" s="89"/>
      <x:c r="W108" s="89"/>
      <x:c r="X108" s="89"/>
      <x:c r="Y108" s="89"/>
      <x:c r="Z108" s="89"/>
    </x:row>
    <x:row r="109">
      <x:c r="A109" s="89"/>
      <x:c r="B109" s="89"/>
      <x:c r="C109" s="89"/>
      <x:c r="D109" s="89"/>
      <x:c r="E109" s="89"/>
      <x:c r="F109" s="89"/>
      <x:c r="G109" s="89"/>
      <x:c r="H109" s="89"/>
      <x:c r="I109" s="89"/>
      <x:c r="J109" s="89"/>
      <x:c r="K109" s="89"/>
      <x:c r="L109" s="89"/>
      <x:c r="M109" s="89"/>
      <x:c r="N109" s="89"/>
      <x:c r="O109" s="89"/>
      <x:c r="P109" s="89"/>
      <x:c r="Q109" s="89"/>
      <x:c r="R109" s="89"/>
      <x:c r="S109" s="89"/>
      <x:c r="T109" s="89"/>
      <x:c r="U109" s="89"/>
      <x:c r="V109" s="89"/>
      <x:c r="W109" s="89"/>
      <x:c r="X109" s="89"/>
      <x:c r="Y109" s="89"/>
      <x:c r="Z109" s="89"/>
    </x:row>
    <x:row r="110">
      <x:c r="A110" s="89"/>
      <x:c r="B110" s="89"/>
      <x:c r="C110" s="89"/>
      <x:c r="D110" s="89"/>
      <x:c r="E110" s="89"/>
      <x:c r="F110" s="89"/>
      <x:c r="G110" s="89"/>
      <x:c r="H110" s="89"/>
      <x:c r="I110" s="89"/>
      <x:c r="J110" s="89"/>
      <x:c r="K110" s="89"/>
      <x:c r="L110" s="89"/>
      <x:c r="M110" s="89"/>
      <x:c r="N110" s="89"/>
      <x:c r="O110" s="89"/>
      <x:c r="P110" s="89"/>
      <x:c r="Q110" s="89"/>
      <x:c r="R110" s="89"/>
      <x:c r="S110" s="89"/>
      <x:c r="T110" s="89"/>
      <x:c r="U110" s="89"/>
      <x:c r="V110" s="89"/>
      <x:c r="W110" s="89"/>
      <x:c r="X110" s="89"/>
      <x:c r="Y110" s="89"/>
      <x:c r="Z110" s="89"/>
    </x:row>
    <x:row r="111">
      <x:c r="A111" s="89"/>
      <x:c r="B111" s="89"/>
      <x:c r="C111" s="89"/>
      <x:c r="D111" s="89"/>
      <x:c r="E111" s="89"/>
      <x:c r="F111" s="89"/>
      <x:c r="G111" s="89"/>
      <x:c r="H111" s="89"/>
      <x:c r="I111" s="89"/>
      <x:c r="J111" s="89"/>
      <x:c r="K111" s="89"/>
      <x:c r="L111" s="89"/>
      <x:c r="M111" s="89"/>
      <x:c r="N111" s="89"/>
      <x:c r="O111" s="89"/>
      <x:c r="P111" s="89"/>
      <x:c r="Q111" s="89"/>
      <x:c r="R111" s="89"/>
      <x:c r="S111" s="89"/>
      <x:c r="T111" s="89"/>
      <x:c r="U111" s="89"/>
      <x:c r="V111" s="89"/>
      <x:c r="W111" s="89"/>
      <x:c r="X111" s="89"/>
      <x:c r="Y111" s="89"/>
      <x:c r="Z111" s="89"/>
    </x:row>
    <x:row r="112">
      <x:c r="A112" s="89"/>
      <x:c r="B112" s="89"/>
      <x:c r="C112" s="89"/>
      <x:c r="D112" s="89"/>
      <x:c r="E112" s="89"/>
      <x:c r="F112" s="89"/>
      <x:c r="G112" s="89"/>
      <x:c r="H112" s="89"/>
      <x:c r="I112" s="89"/>
      <x:c r="J112" s="89"/>
      <x:c r="K112" s="89"/>
      <x:c r="L112" s="89"/>
      <x:c r="M112" s="89"/>
      <x:c r="N112" s="89"/>
      <x:c r="O112" s="89"/>
      <x:c r="P112" s="89"/>
      <x:c r="Q112" s="89"/>
      <x:c r="R112" s="89"/>
      <x:c r="S112" s="89"/>
      <x:c r="T112" s="89"/>
      <x:c r="U112" s="89"/>
      <x:c r="V112" s="89"/>
      <x:c r="W112" s="89"/>
      <x:c r="X112" s="89"/>
      <x:c r="Y112" s="89"/>
      <x:c r="Z112" s="89"/>
    </x:row>
    <x:row r="113">
      <x:c r="A113" s="89"/>
      <x:c r="B113" s="89"/>
      <x:c r="C113" s="89"/>
      <x:c r="D113" s="89"/>
      <x:c r="E113" s="89"/>
      <x:c r="F113" s="89"/>
      <x:c r="G113" s="89"/>
      <x:c r="H113" s="89"/>
      <x:c r="I113" s="89"/>
      <x:c r="J113" s="89"/>
      <x:c r="K113" s="89"/>
      <x:c r="L113" s="89"/>
      <x:c r="M113" s="89"/>
      <x:c r="N113" s="89"/>
      <x:c r="O113" s="89"/>
      <x:c r="P113" s="89"/>
      <x:c r="Q113" s="89"/>
      <x:c r="R113" s="89"/>
      <x:c r="S113" s="89"/>
      <x:c r="T113" s="89"/>
      <x:c r="U113" s="89"/>
      <x:c r="V113" s="89"/>
      <x:c r="W113" s="89"/>
      <x:c r="X113" s="89"/>
      <x:c r="Y113" s="89"/>
      <x:c r="Z113" s="89"/>
    </x:row>
    <x:row r="114">
      <x:c r="A114" s="89"/>
      <x:c r="B114" s="89"/>
      <x:c r="C114" s="89"/>
      <x:c r="D114" s="89"/>
      <x:c r="E114" s="89"/>
      <x:c r="F114" s="89"/>
      <x:c r="G114" s="89"/>
      <x:c r="H114" s="89"/>
      <x:c r="I114" s="89"/>
      <x:c r="J114" s="89"/>
      <x:c r="K114" s="89"/>
      <x:c r="L114" s="89"/>
      <x:c r="M114" s="89"/>
      <x:c r="N114" s="89"/>
      <x:c r="O114" s="89"/>
      <x:c r="P114" s="89"/>
      <x:c r="Q114" s="89"/>
      <x:c r="R114" s="89"/>
      <x:c r="S114" s="89"/>
      <x:c r="T114" s="89"/>
      <x:c r="U114" s="89"/>
      <x:c r="V114" s="89"/>
      <x:c r="W114" s="89"/>
      <x:c r="X114" s="89"/>
      <x:c r="Y114" s="89"/>
      <x:c r="Z114" s="89"/>
    </x:row>
    <x:row r="115">
      <x:c r="A115" s="89"/>
      <x:c r="B115" s="89"/>
      <x:c r="C115" s="89"/>
      <x:c r="D115" s="89"/>
      <x:c r="E115" s="89"/>
      <x:c r="F115" s="89"/>
      <x:c r="G115" s="89"/>
      <x:c r="H115" s="89"/>
      <x:c r="I115" s="89"/>
      <x:c r="J115" s="89"/>
      <x:c r="K115" s="89"/>
      <x:c r="L115" s="89"/>
      <x:c r="M115" s="89"/>
      <x:c r="N115" s="89"/>
      <x:c r="O115" s="89"/>
      <x:c r="P115" s="89"/>
      <x:c r="Q115" s="89"/>
      <x:c r="R115" s="89"/>
      <x:c r="S115" s="89"/>
      <x:c r="T115" s="89"/>
      <x:c r="U115" s="89"/>
      <x:c r="V115" s="89"/>
      <x:c r="W115" s="89"/>
      <x:c r="X115" s="89"/>
      <x:c r="Y115" s="89"/>
      <x:c r="Z115" s="89"/>
    </x:row>
    <x:row r="116">
      <x:c r="A116" s="89"/>
      <x:c r="B116" s="89"/>
      <x:c r="C116" s="89"/>
      <x:c r="D116" s="89"/>
      <x:c r="E116" s="89"/>
      <x:c r="F116" s="89"/>
      <x:c r="G116" s="89"/>
      <x:c r="H116" s="89"/>
      <x:c r="I116" s="89"/>
      <x:c r="J116" s="89"/>
      <x:c r="K116" s="89"/>
      <x:c r="L116" s="89"/>
      <x:c r="M116" s="89"/>
      <x:c r="N116" s="89"/>
      <x:c r="O116" s="89"/>
      <x:c r="P116" s="89"/>
      <x:c r="Q116" s="89"/>
      <x:c r="R116" s="89"/>
      <x:c r="S116" s="89"/>
      <x:c r="T116" s="89"/>
      <x:c r="U116" s="89"/>
      <x:c r="V116" s="89"/>
      <x:c r="W116" s="89"/>
      <x:c r="X116" s="89"/>
      <x:c r="Y116" s="89"/>
      <x:c r="Z116" s="89"/>
    </x:row>
    <x:row r="117">
      <x:c r="A117" s="89"/>
      <x:c r="B117" s="89"/>
      <x:c r="C117" s="89"/>
      <x:c r="D117" s="89"/>
      <x:c r="E117" s="89"/>
      <x:c r="F117" s="89"/>
      <x:c r="G117" s="89"/>
      <x:c r="H117" s="89"/>
      <x:c r="I117" s="89"/>
      <x:c r="J117" s="89"/>
      <x:c r="K117" s="89"/>
      <x:c r="L117" s="89"/>
      <x:c r="M117" s="89"/>
      <x:c r="N117" s="89"/>
      <x:c r="O117" s="89"/>
      <x:c r="P117" s="89"/>
      <x:c r="Q117" s="89"/>
      <x:c r="R117" s="89"/>
      <x:c r="S117" s="89"/>
      <x:c r="T117" s="89"/>
      <x:c r="U117" s="89"/>
      <x:c r="V117" s="89"/>
      <x:c r="W117" s="89"/>
      <x:c r="X117" s="89"/>
      <x:c r="Y117" s="89"/>
      <x:c r="Z117" s="89"/>
    </x:row>
    <x:row r="118">
      <x:c r="A118" s="89"/>
      <x:c r="B118" s="89"/>
      <x:c r="C118" s="89"/>
      <x:c r="D118" s="89"/>
      <x:c r="E118" s="89"/>
      <x:c r="F118" s="89"/>
      <x:c r="G118" s="89"/>
      <x:c r="H118" s="89"/>
      <x:c r="I118" s="89"/>
      <x:c r="J118" s="89"/>
      <x:c r="K118" s="89"/>
      <x:c r="L118" s="89"/>
      <x:c r="M118" s="89"/>
      <x:c r="N118" s="89"/>
      <x:c r="O118" s="89"/>
      <x:c r="P118" s="89"/>
      <x:c r="Q118" s="89"/>
      <x:c r="R118" s="89"/>
      <x:c r="S118" s="89"/>
      <x:c r="T118" s="89"/>
      <x:c r="U118" s="89"/>
      <x:c r="V118" s="89"/>
      <x:c r="W118" s="89"/>
      <x:c r="X118" s="89"/>
      <x:c r="Y118" s="89"/>
      <x:c r="Z118" s="89"/>
    </x:row>
    <x:row r="119">
      <x:c r="A119" s="89"/>
      <x:c r="B119" s="89"/>
      <x:c r="C119" s="89"/>
      <x:c r="D119" s="89"/>
      <x:c r="E119" s="89"/>
      <x:c r="F119" s="89"/>
      <x:c r="G119" s="89"/>
      <x:c r="H119" s="89"/>
      <x:c r="I119" s="89"/>
      <x:c r="J119" s="89"/>
      <x:c r="K119" s="89"/>
      <x:c r="L119" s="89"/>
      <x:c r="M119" s="89"/>
      <x:c r="N119" s="89"/>
      <x:c r="O119" s="89"/>
      <x:c r="P119" s="89"/>
      <x:c r="Q119" s="89"/>
      <x:c r="R119" s="89"/>
      <x:c r="S119" s="89"/>
      <x:c r="T119" s="89"/>
      <x:c r="U119" s="89"/>
      <x:c r="V119" s="89"/>
      <x:c r="W119" s="89"/>
      <x:c r="X119" s="89"/>
      <x:c r="Y119" s="89"/>
      <x:c r="Z119" s="89"/>
    </x:row>
    <x:row r="120">
      <x:c r="A120" s="89"/>
      <x:c r="B120" s="89"/>
      <x:c r="C120" s="89"/>
      <x:c r="D120" s="89"/>
      <x:c r="E120" s="89"/>
      <x:c r="F120" s="89"/>
      <x:c r="G120" s="89"/>
      <x:c r="H120" s="89"/>
      <x:c r="I120" s="89"/>
      <x:c r="J120" s="89"/>
      <x:c r="K120" s="89"/>
      <x:c r="L120" s="89"/>
      <x:c r="M120" s="89"/>
      <x:c r="N120" s="89"/>
      <x:c r="O120" s="89"/>
      <x:c r="P120" s="89"/>
      <x:c r="Q120" s="89"/>
      <x:c r="R120" s="89"/>
      <x:c r="S120" s="89"/>
      <x:c r="T120" s="89"/>
      <x:c r="U120" s="89"/>
      <x:c r="V120" s="89"/>
      <x:c r="W120" s="89"/>
      <x:c r="X120" s="89"/>
      <x:c r="Y120" s="89"/>
      <x:c r="Z120" s="89"/>
    </x:row>
    <x:row r="121">
      <x:c r="A121" s="89"/>
      <x:c r="B121" s="89"/>
      <x:c r="C121" s="89"/>
      <x:c r="D121" s="89"/>
      <x:c r="E121" s="89"/>
      <x:c r="F121" s="89"/>
      <x:c r="G121" s="89"/>
      <x:c r="H121" s="89"/>
      <x:c r="I121" s="89"/>
      <x:c r="J121" s="89"/>
      <x:c r="K121" s="89"/>
      <x:c r="L121" s="89"/>
      <x:c r="M121" s="89"/>
      <x:c r="N121" s="89"/>
      <x:c r="O121" s="89"/>
      <x:c r="P121" s="89"/>
      <x:c r="Q121" s="89"/>
      <x:c r="R121" s="89"/>
      <x:c r="S121" s="89"/>
      <x:c r="T121" s="89"/>
      <x:c r="U121" s="89"/>
      <x:c r="V121" s="89"/>
      <x:c r="W121" s="89"/>
      <x:c r="X121" s="89"/>
      <x:c r="Y121" s="89"/>
      <x:c r="Z121" s="89"/>
    </x:row>
    <x:row r="122">
      <x:c r="A122" s="89"/>
      <x:c r="B122" s="89"/>
      <x:c r="C122" s="89"/>
      <x:c r="D122" s="89"/>
      <x:c r="E122" s="89"/>
      <x:c r="F122" s="89"/>
      <x:c r="G122" s="89"/>
      <x:c r="H122" s="89"/>
      <x:c r="I122" s="89"/>
      <x:c r="J122" s="89"/>
      <x:c r="K122" s="89"/>
      <x:c r="L122" s="89"/>
      <x:c r="M122" s="89"/>
      <x:c r="N122" s="89"/>
      <x:c r="O122" s="89"/>
      <x:c r="P122" s="89"/>
      <x:c r="Q122" s="89"/>
      <x:c r="R122" s="89"/>
      <x:c r="S122" s="89"/>
      <x:c r="T122" s="89"/>
      <x:c r="U122" s="89"/>
      <x:c r="V122" s="89"/>
      <x:c r="W122" s="89"/>
      <x:c r="X122" s="89"/>
      <x:c r="Y122" s="89"/>
      <x:c r="Z122" s="89"/>
    </x:row>
    <x:row r="123">
      <x:c r="A123" s="89"/>
      <x:c r="B123" s="89"/>
      <x:c r="C123" s="89"/>
      <x:c r="D123" s="89"/>
      <x:c r="E123" s="89"/>
      <x:c r="F123" s="89"/>
      <x:c r="G123" s="89"/>
      <x:c r="H123" s="89"/>
      <x:c r="I123" s="89"/>
      <x:c r="J123" s="89"/>
      <x:c r="K123" s="89"/>
      <x:c r="L123" s="89"/>
      <x:c r="M123" s="89"/>
      <x:c r="N123" s="89"/>
      <x:c r="O123" s="89"/>
      <x:c r="P123" s="89"/>
      <x:c r="Q123" s="89"/>
      <x:c r="R123" s="89"/>
      <x:c r="S123" s="89"/>
      <x:c r="T123" s="89"/>
      <x:c r="U123" s="89"/>
      <x:c r="V123" s="89"/>
      <x:c r="W123" s="89"/>
      <x:c r="X123" s="89"/>
      <x:c r="Y123" s="89"/>
      <x:c r="Z123" s="89"/>
    </x:row>
    <x:row r="124">
      <x:c r="A124" s="89"/>
      <x:c r="B124" s="89"/>
      <x:c r="C124" s="89"/>
      <x:c r="D124" s="89"/>
      <x:c r="E124" s="89"/>
      <x:c r="F124" s="89"/>
      <x:c r="G124" s="89"/>
      <x:c r="H124" s="89"/>
      <x:c r="I124" s="89"/>
      <x:c r="J124" s="89"/>
      <x:c r="K124" s="89"/>
      <x:c r="L124" s="89"/>
      <x:c r="M124" s="89"/>
      <x:c r="N124" s="89"/>
      <x:c r="O124" s="89"/>
      <x:c r="P124" s="89"/>
      <x:c r="Q124" s="89"/>
      <x:c r="R124" s="89"/>
      <x:c r="S124" s="89"/>
      <x:c r="T124" s="89"/>
      <x:c r="U124" s="89"/>
      <x:c r="V124" s="89"/>
      <x:c r="W124" s="89"/>
      <x:c r="X124" s="89"/>
      <x:c r="Y124" s="89"/>
      <x:c r="Z124" s="89"/>
    </x:row>
    <x:row r="125">
      <x:c r="A125" s="89"/>
      <x:c r="B125" s="89"/>
      <x:c r="C125" s="89"/>
      <x:c r="D125" s="89"/>
      <x:c r="E125" s="89"/>
      <x:c r="F125" s="89"/>
      <x:c r="G125" s="89"/>
      <x:c r="H125" s="89"/>
      <x:c r="I125" s="89"/>
      <x:c r="J125" s="89"/>
      <x:c r="K125" s="89"/>
      <x:c r="L125" s="89"/>
      <x:c r="M125" s="89"/>
      <x:c r="N125" s="89"/>
      <x:c r="O125" s="89"/>
      <x:c r="P125" s="89"/>
      <x:c r="Q125" s="89"/>
      <x:c r="R125" s="89"/>
      <x:c r="S125" s="89"/>
      <x:c r="T125" s="89"/>
      <x:c r="U125" s="89"/>
      <x:c r="V125" s="89"/>
      <x:c r="W125" s="89"/>
      <x:c r="X125" s="89"/>
      <x:c r="Y125" s="89"/>
      <x:c r="Z125" s="89"/>
    </x:row>
    <x:row r="126">
      <x:c r="A126" s="89"/>
      <x:c r="B126" s="89"/>
      <x:c r="C126" s="89"/>
      <x:c r="D126" s="89"/>
      <x:c r="E126" s="89"/>
      <x:c r="F126" s="89"/>
      <x:c r="G126" s="89"/>
      <x:c r="H126" s="89"/>
      <x:c r="I126" s="89"/>
      <x:c r="J126" s="89"/>
      <x:c r="K126" s="89"/>
      <x:c r="L126" s="89"/>
      <x:c r="M126" s="89"/>
      <x:c r="N126" s="89"/>
      <x:c r="O126" s="89"/>
      <x:c r="P126" s="89"/>
      <x:c r="Q126" s="89"/>
      <x:c r="R126" s="89"/>
      <x:c r="S126" s="89"/>
      <x:c r="T126" s="89"/>
      <x:c r="U126" s="89"/>
      <x:c r="V126" s="89"/>
      <x:c r="W126" s="89"/>
      <x:c r="X126" s="89"/>
      <x:c r="Y126" s="89"/>
      <x:c r="Z126" s="89"/>
    </x:row>
    <x:row r="127">
      <x:c r="A127" s="89"/>
      <x:c r="B127" s="89"/>
      <x:c r="C127" s="89"/>
      <x:c r="D127" s="89"/>
      <x:c r="E127" s="89"/>
      <x:c r="F127" s="89"/>
      <x:c r="G127" s="89"/>
      <x:c r="H127" s="89"/>
      <x:c r="I127" s="89"/>
      <x:c r="J127" s="89"/>
      <x:c r="K127" s="89"/>
      <x:c r="L127" s="89"/>
      <x:c r="M127" s="89"/>
      <x:c r="N127" s="89"/>
      <x:c r="O127" s="89"/>
      <x:c r="P127" s="89"/>
      <x:c r="Q127" s="89"/>
      <x:c r="R127" s="89"/>
      <x:c r="S127" s="89"/>
      <x:c r="T127" s="89"/>
      <x:c r="U127" s="89"/>
      <x:c r="V127" s="89"/>
      <x:c r="W127" s="89"/>
      <x:c r="X127" s="89"/>
      <x:c r="Y127" s="89"/>
      <x:c r="Z127" s="89"/>
    </x:row>
    <x:row r="128">
      <x:c r="A128" s="89"/>
      <x:c r="B128" s="89"/>
      <x:c r="C128" s="89"/>
      <x:c r="D128" s="89"/>
      <x:c r="E128" s="89"/>
      <x:c r="F128" s="89"/>
      <x:c r="G128" s="89"/>
      <x:c r="H128" s="89"/>
      <x:c r="I128" s="89"/>
      <x:c r="J128" s="89"/>
      <x:c r="K128" s="89"/>
      <x:c r="L128" s="89"/>
      <x:c r="M128" s="89"/>
      <x:c r="N128" s="89"/>
      <x:c r="O128" s="89"/>
      <x:c r="P128" s="89"/>
      <x:c r="Q128" s="89"/>
      <x:c r="R128" s="89"/>
      <x:c r="S128" s="89"/>
      <x:c r="T128" s="89"/>
      <x:c r="U128" s="89"/>
      <x:c r="V128" s="89"/>
      <x:c r="W128" s="89"/>
      <x:c r="X128" s="89"/>
      <x:c r="Y128" s="89"/>
      <x:c r="Z128" s="89"/>
    </x:row>
    <x:row r="129">
      <x:c r="A129" s="89"/>
      <x:c r="B129" s="89"/>
      <x:c r="C129" s="89"/>
      <x:c r="D129" s="89"/>
      <x:c r="E129" s="89"/>
      <x:c r="F129" s="89"/>
      <x:c r="G129" s="89"/>
      <x:c r="H129" s="89"/>
      <x:c r="I129" s="89"/>
      <x:c r="J129" s="89"/>
      <x:c r="K129" s="89"/>
      <x:c r="L129" s="89"/>
      <x:c r="M129" s="89"/>
      <x:c r="N129" s="89"/>
      <x:c r="O129" s="89"/>
      <x:c r="P129" s="89"/>
      <x:c r="Q129" s="89"/>
      <x:c r="R129" s="89"/>
      <x:c r="S129" s="89"/>
      <x:c r="T129" s="89"/>
      <x:c r="U129" s="89"/>
      <x:c r="V129" s="89"/>
      <x:c r="W129" s="89"/>
      <x:c r="X129" s="89"/>
      <x:c r="Y129" s="89"/>
      <x:c r="Z129" s="89"/>
    </x:row>
    <x:row r="130">
      <x:c r="A130" s="89"/>
      <x:c r="B130" s="89"/>
      <x:c r="C130" s="89"/>
      <x:c r="D130" s="89"/>
      <x:c r="E130" s="89"/>
      <x:c r="F130" s="89"/>
      <x:c r="G130" s="89"/>
      <x:c r="H130" s="89"/>
      <x:c r="I130" s="89"/>
      <x:c r="J130" s="89"/>
      <x:c r="K130" s="89"/>
      <x:c r="L130" s="89"/>
      <x:c r="M130" s="89"/>
      <x:c r="N130" s="89"/>
      <x:c r="O130" s="89"/>
      <x:c r="P130" s="89"/>
      <x:c r="Q130" s="89"/>
      <x:c r="R130" s="89"/>
      <x:c r="S130" s="89"/>
      <x:c r="T130" s="89"/>
      <x:c r="U130" s="89"/>
      <x:c r="V130" s="89"/>
      <x:c r="W130" s="89"/>
      <x:c r="X130" s="89"/>
      <x:c r="Y130" s="89"/>
      <x:c r="Z130" s="89"/>
    </x:row>
    <x:row r="131">
      <x:c r="A131" s="89"/>
      <x:c r="B131" s="89"/>
      <x:c r="C131" s="89"/>
      <x:c r="D131" s="89"/>
      <x:c r="E131" s="89"/>
      <x:c r="F131" s="89"/>
      <x:c r="G131" s="89"/>
      <x:c r="H131" s="89"/>
      <x:c r="I131" s="89"/>
      <x:c r="J131" s="89"/>
      <x:c r="K131" s="89"/>
      <x:c r="L131" s="89"/>
      <x:c r="M131" s="89"/>
      <x:c r="N131" s="89"/>
      <x:c r="O131" s="89"/>
      <x:c r="P131" s="89"/>
      <x:c r="Q131" s="89"/>
      <x:c r="R131" s="89"/>
      <x:c r="S131" s="89"/>
      <x:c r="T131" s="89"/>
      <x:c r="U131" s="89"/>
      <x:c r="V131" s="89"/>
      <x:c r="W131" s="89"/>
      <x:c r="X131" s="89"/>
      <x:c r="Y131" s="89"/>
      <x:c r="Z131" s="89"/>
    </x:row>
    <x:row r="132">
      <x:c r="A132" s="89"/>
      <x:c r="B132" s="89"/>
      <x:c r="C132" s="89"/>
      <x:c r="D132" s="89"/>
      <x:c r="E132" s="89"/>
      <x:c r="F132" s="89"/>
      <x:c r="G132" s="89"/>
      <x:c r="H132" s="89"/>
      <x:c r="I132" s="89"/>
      <x:c r="J132" s="89"/>
      <x:c r="K132" s="89"/>
      <x:c r="L132" s="89"/>
      <x:c r="M132" s="89"/>
      <x:c r="N132" s="89"/>
      <x:c r="O132" s="89"/>
      <x:c r="P132" s="89"/>
      <x:c r="Q132" s="89"/>
      <x:c r="R132" s="89"/>
      <x:c r="S132" s="89"/>
      <x:c r="T132" s="89"/>
      <x:c r="U132" s="89"/>
      <x:c r="V132" s="89"/>
      <x:c r="W132" s="89"/>
      <x:c r="X132" s="89"/>
      <x:c r="Y132" s="89"/>
      <x:c r="Z132" s="89"/>
    </x:row>
    <x:row r="133">
      <x:c r="A133" s="89"/>
      <x:c r="B133" s="89"/>
      <x:c r="C133" s="89"/>
      <x:c r="D133" s="89"/>
      <x:c r="E133" s="89"/>
      <x:c r="F133" s="89"/>
      <x:c r="G133" s="89"/>
      <x:c r="H133" s="89"/>
      <x:c r="I133" s="89"/>
      <x:c r="J133" s="89"/>
      <x:c r="K133" s="89"/>
      <x:c r="L133" s="89"/>
      <x:c r="M133" s="89"/>
      <x:c r="N133" s="89"/>
      <x:c r="O133" s="89"/>
      <x:c r="P133" s="89"/>
      <x:c r="Q133" s="89"/>
      <x:c r="R133" s="89"/>
      <x:c r="S133" s="89"/>
      <x:c r="T133" s="89"/>
      <x:c r="U133" s="89"/>
      <x:c r="V133" s="89"/>
      <x:c r="W133" s="89"/>
      <x:c r="X133" s="89"/>
      <x:c r="Y133" s="89"/>
      <x:c r="Z133" s="89"/>
    </x:row>
    <x:row r="134">
      <x:c r="A134" s="89"/>
      <x:c r="B134" s="89"/>
      <x:c r="C134" s="89"/>
      <x:c r="D134" s="89"/>
      <x:c r="E134" s="89"/>
      <x:c r="F134" s="89"/>
      <x:c r="G134" s="89"/>
      <x:c r="H134" s="89"/>
      <x:c r="I134" s="89"/>
      <x:c r="J134" s="89"/>
      <x:c r="K134" s="89"/>
      <x:c r="L134" s="89"/>
      <x:c r="M134" s="89"/>
      <x:c r="N134" s="89"/>
      <x:c r="O134" s="89"/>
      <x:c r="P134" s="89"/>
      <x:c r="Q134" s="89"/>
      <x:c r="R134" s="89"/>
      <x:c r="S134" s="89"/>
      <x:c r="T134" s="89"/>
      <x:c r="U134" s="89"/>
      <x:c r="V134" s="89"/>
      <x:c r="W134" s="89"/>
      <x:c r="X134" s="89"/>
      <x:c r="Y134" s="89"/>
      <x:c r="Z134" s="89"/>
    </x:row>
    <x:row r="135">
      <x:c r="A135" s="89"/>
      <x:c r="B135" s="89"/>
      <x:c r="C135" s="89"/>
      <x:c r="D135" s="89"/>
      <x:c r="E135" s="89"/>
      <x:c r="F135" s="89"/>
      <x:c r="G135" s="89"/>
      <x:c r="H135" s="89"/>
      <x:c r="I135" s="89"/>
      <x:c r="J135" s="89"/>
      <x:c r="K135" s="89"/>
      <x:c r="L135" s="89"/>
      <x:c r="M135" s="89"/>
      <x:c r="N135" s="89"/>
      <x:c r="O135" s="89"/>
      <x:c r="P135" s="89"/>
      <x:c r="Q135" s="89"/>
      <x:c r="R135" s="89"/>
      <x:c r="S135" s="89"/>
      <x:c r="T135" s="89"/>
      <x:c r="U135" s="89"/>
      <x:c r="V135" s="89"/>
      <x:c r="W135" s="89"/>
      <x:c r="X135" s="89"/>
      <x:c r="Y135" s="89"/>
      <x:c r="Z135" s="89"/>
    </x:row>
    <x:row r="136">
      <x:c r="A136" s="89"/>
      <x:c r="B136" s="89"/>
      <x:c r="C136" s="89"/>
      <x:c r="D136" s="89"/>
      <x:c r="E136" s="89"/>
      <x:c r="F136" s="89"/>
      <x:c r="G136" s="89"/>
      <x:c r="H136" s="89"/>
      <x:c r="I136" s="89"/>
      <x:c r="J136" s="89"/>
      <x:c r="K136" s="89"/>
      <x:c r="L136" s="89"/>
      <x:c r="M136" s="89"/>
      <x:c r="N136" s="89"/>
      <x:c r="O136" s="89"/>
      <x:c r="P136" s="89"/>
      <x:c r="Q136" s="89"/>
      <x:c r="R136" s="89"/>
      <x:c r="S136" s="89"/>
      <x:c r="T136" s="89"/>
      <x:c r="U136" s="89"/>
      <x:c r="V136" s="89"/>
      <x:c r="W136" s="89"/>
      <x:c r="X136" s="89"/>
      <x:c r="Y136" s="89"/>
      <x:c r="Z136" s="89"/>
    </x:row>
    <x:row r="137">
      <x:c r="A137" s="89"/>
      <x:c r="B137" s="89"/>
      <x:c r="C137" s="89"/>
      <x:c r="D137" s="89"/>
      <x:c r="E137" s="89"/>
      <x:c r="F137" s="89"/>
      <x:c r="G137" s="89"/>
      <x:c r="H137" s="89"/>
      <x:c r="I137" s="89"/>
      <x:c r="J137" s="89"/>
      <x:c r="K137" s="89"/>
      <x:c r="L137" s="89"/>
      <x:c r="M137" s="89"/>
      <x:c r="N137" s="89"/>
      <x:c r="O137" s="89"/>
      <x:c r="P137" s="89"/>
      <x:c r="Q137" s="89"/>
      <x:c r="R137" s="89"/>
      <x:c r="S137" s="89"/>
      <x:c r="T137" s="89"/>
      <x:c r="U137" s="89"/>
      <x:c r="V137" s="89"/>
      <x:c r="W137" s="89"/>
      <x:c r="X137" s="89"/>
      <x:c r="Y137" s="89"/>
      <x:c r="Z137" s="89"/>
    </x:row>
    <x:row r="138">
      <x:c r="A138" s="89"/>
      <x:c r="B138" s="89"/>
      <x:c r="C138" s="89"/>
      <x:c r="D138" s="89"/>
      <x:c r="E138" s="89"/>
      <x:c r="F138" s="89"/>
      <x:c r="G138" s="89"/>
      <x:c r="H138" s="89"/>
      <x:c r="I138" s="89"/>
      <x:c r="J138" s="89"/>
      <x:c r="K138" s="89"/>
      <x:c r="L138" s="89"/>
      <x:c r="M138" s="89"/>
      <x:c r="N138" s="89"/>
      <x:c r="O138" s="89"/>
      <x:c r="P138" s="89"/>
      <x:c r="Q138" s="89"/>
      <x:c r="R138" s="89"/>
      <x:c r="S138" s="89"/>
      <x:c r="T138" s="89"/>
      <x:c r="U138" s="89"/>
      <x:c r="V138" s="89"/>
      <x:c r="W138" s="89"/>
      <x:c r="X138" s="89"/>
      <x:c r="Y138" s="89"/>
      <x:c r="Z138" s="89"/>
    </x:row>
    <x:row r="139">
      <x:c r="A139" s="89"/>
      <x:c r="B139" s="89"/>
      <x:c r="C139" s="89"/>
      <x:c r="D139" s="89"/>
      <x:c r="E139" s="89"/>
      <x:c r="F139" s="89"/>
      <x:c r="G139" s="89"/>
      <x:c r="H139" s="89"/>
      <x:c r="I139" s="89"/>
      <x:c r="J139" s="89"/>
      <x:c r="K139" s="89"/>
      <x:c r="L139" s="89"/>
      <x:c r="M139" s="89"/>
      <x:c r="N139" s="89"/>
      <x:c r="O139" s="89"/>
      <x:c r="P139" s="89"/>
      <x:c r="Q139" s="89"/>
      <x:c r="R139" s="89"/>
      <x:c r="S139" s="89"/>
      <x:c r="T139" s="89"/>
      <x:c r="U139" s="89"/>
      <x:c r="V139" s="89"/>
      <x:c r="W139" s="89"/>
      <x:c r="X139" s="89"/>
      <x:c r="Y139" s="89"/>
      <x:c r="Z139" s="89"/>
    </x:row>
    <x:row r="140">
      <x:c r="A140" s="89"/>
      <x:c r="B140" s="89"/>
      <x:c r="C140" s="89"/>
      <x:c r="D140" s="89"/>
      <x:c r="E140" s="89"/>
      <x:c r="F140" s="89"/>
      <x:c r="G140" s="89"/>
      <x:c r="H140" s="89"/>
      <x:c r="I140" s="89"/>
      <x:c r="J140" s="89"/>
      <x:c r="K140" s="89"/>
      <x:c r="L140" s="89"/>
      <x:c r="M140" s="89"/>
      <x:c r="N140" s="89"/>
      <x:c r="O140" s="89"/>
      <x:c r="P140" s="89"/>
      <x:c r="Q140" s="89"/>
      <x:c r="R140" s="89"/>
      <x:c r="S140" s="89"/>
      <x:c r="T140" s="89"/>
      <x:c r="U140" s="89"/>
      <x:c r="V140" s="89"/>
      <x:c r="W140" s="89"/>
      <x:c r="X140" s="89"/>
      <x:c r="Y140" s="89"/>
      <x:c r="Z140" s="89"/>
    </x:row>
    <x:row r="141">
      <x:c r="A141" s="89"/>
      <x:c r="B141" s="89"/>
      <x:c r="C141" s="89"/>
      <x:c r="D141" s="89"/>
      <x:c r="E141" s="89"/>
      <x:c r="F141" s="89"/>
      <x:c r="G141" s="89"/>
      <x:c r="H141" s="89"/>
      <x:c r="I141" s="89"/>
      <x:c r="J141" s="89"/>
      <x:c r="K141" s="89"/>
      <x:c r="L141" s="89"/>
      <x:c r="M141" s="89"/>
      <x:c r="N141" s="89"/>
      <x:c r="O141" s="89"/>
      <x:c r="P141" s="89"/>
      <x:c r="Q141" s="89"/>
      <x:c r="R141" s="89"/>
      <x:c r="S141" s="89"/>
      <x:c r="T141" s="89"/>
      <x:c r="U141" s="89"/>
      <x:c r="V141" s="89"/>
      <x:c r="W141" s="89"/>
      <x:c r="X141" s="89"/>
      <x:c r="Y141" s="89"/>
      <x:c r="Z141" s="89"/>
    </x:row>
    <x:row r="142">
      <x:c r="A142" s="89"/>
      <x:c r="B142" s="89"/>
      <x:c r="C142" s="89"/>
      <x:c r="D142" s="89"/>
      <x:c r="E142" s="89"/>
      <x:c r="F142" s="89"/>
      <x:c r="G142" s="89"/>
      <x:c r="H142" s="89"/>
      <x:c r="I142" s="89"/>
      <x:c r="J142" s="89"/>
      <x:c r="K142" s="89"/>
      <x:c r="L142" s="89"/>
      <x:c r="M142" s="89"/>
      <x:c r="N142" s="89"/>
      <x:c r="O142" s="89"/>
      <x:c r="P142" s="89"/>
      <x:c r="Q142" s="89"/>
      <x:c r="R142" s="89"/>
      <x:c r="S142" s="89"/>
      <x:c r="T142" s="89"/>
      <x:c r="U142" s="89"/>
      <x:c r="V142" s="89"/>
      <x:c r="W142" s="89"/>
      <x:c r="X142" s="89"/>
      <x:c r="Y142" s="89"/>
      <x:c r="Z142" s="89"/>
    </x:row>
    <x:row r="143">
      <x:c r="A143" s="89"/>
      <x:c r="B143" s="89"/>
      <x:c r="C143" s="89"/>
      <x:c r="D143" s="89"/>
      <x:c r="E143" s="89"/>
      <x:c r="F143" s="89"/>
      <x:c r="G143" s="89"/>
      <x:c r="H143" s="89"/>
      <x:c r="I143" s="89"/>
      <x:c r="J143" s="89"/>
      <x:c r="K143" s="89"/>
      <x:c r="L143" s="89"/>
      <x:c r="M143" s="89"/>
      <x:c r="N143" s="89"/>
      <x:c r="O143" s="89"/>
      <x:c r="P143" s="89"/>
      <x:c r="Q143" s="89"/>
      <x:c r="R143" s="89"/>
      <x:c r="S143" s="89"/>
      <x:c r="T143" s="89"/>
      <x:c r="U143" s="89"/>
      <x:c r="V143" s="89"/>
      <x:c r="W143" s="89"/>
      <x:c r="X143" s="89"/>
      <x:c r="Y143" s="89"/>
      <x:c r="Z143" s="89"/>
    </x:row>
    <x:row r="144">
      <x:c r="A144" s="89"/>
      <x:c r="B144" s="89"/>
      <x:c r="C144" s="89"/>
      <x:c r="D144" s="89"/>
      <x:c r="E144" s="89"/>
      <x:c r="F144" s="89"/>
      <x:c r="G144" s="89"/>
      <x:c r="H144" s="89"/>
      <x:c r="I144" s="89"/>
      <x:c r="J144" s="89"/>
      <x:c r="K144" s="89"/>
      <x:c r="L144" s="89"/>
      <x:c r="M144" s="89"/>
      <x:c r="N144" s="89"/>
      <x:c r="O144" s="89"/>
      <x:c r="P144" s="89"/>
      <x:c r="Q144" s="89"/>
      <x:c r="R144" s="89"/>
      <x:c r="S144" s="89"/>
      <x:c r="T144" s="89"/>
      <x:c r="U144" s="89"/>
      <x:c r="V144" s="89"/>
      <x:c r="W144" s="89"/>
      <x:c r="X144" s="89"/>
      <x:c r="Y144" s="89"/>
      <x:c r="Z144" s="89"/>
    </x:row>
    <x:row r="145">
      <x:c r="A145" s="89"/>
      <x:c r="B145" s="89"/>
      <x:c r="C145" s="89"/>
      <x:c r="D145" s="89"/>
      <x:c r="E145" s="89"/>
      <x:c r="F145" s="89"/>
      <x:c r="G145" s="89"/>
      <x:c r="H145" s="89"/>
      <x:c r="I145" s="89"/>
      <x:c r="J145" s="89"/>
      <x:c r="K145" s="89"/>
      <x:c r="L145" s="89"/>
      <x:c r="M145" s="89"/>
      <x:c r="N145" s="89"/>
      <x:c r="O145" s="89"/>
      <x:c r="P145" s="89"/>
      <x:c r="Q145" s="89"/>
      <x:c r="R145" s="89"/>
      <x:c r="S145" s="89"/>
      <x:c r="T145" s="89"/>
      <x:c r="U145" s="89"/>
      <x:c r="V145" s="89"/>
      <x:c r="W145" s="89"/>
      <x:c r="X145" s="89"/>
      <x:c r="Y145" s="89"/>
      <x:c r="Z145" s="89"/>
    </x:row>
    <x:row r="146">
      <x:c r="A146" s="89"/>
      <x:c r="B146" s="89"/>
      <x:c r="C146" s="89"/>
      <x:c r="D146" s="89"/>
      <x:c r="E146" s="89"/>
      <x:c r="F146" s="89"/>
      <x:c r="G146" s="89"/>
      <x:c r="H146" s="89"/>
      <x:c r="I146" s="89"/>
      <x:c r="J146" s="89"/>
      <x:c r="K146" s="89"/>
      <x:c r="L146" s="89"/>
      <x:c r="M146" s="89"/>
      <x:c r="N146" s="89"/>
      <x:c r="O146" s="89"/>
      <x:c r="P146" s="89"/>
      <x:c r="Q146" s="89"/>
      <x:c r="R146" s="89"/>
      <x:c r="S146" s="89"/>
      <x:c r="T146" s="89"/>
      <x:c r="U146" s="89"/>
      <x:c r="V146" s="89"/>
      <x:c r="W146" s="89"/>
      <x:c r="X146" s="89"/>
      <x:c r="Y146" s="89"/>
      <x:c r="Z146" s="89"/>
    </x:row>
    <x:row r="147">
      <x:c r="A147" s="89"/>
      <x:c r="B147" s="89"/>
      <x:c r="C147" s="89"/>
      <x:c r="D147" s="89"/>
      <x:c r="E147" s="89"/>
      <x:c r="F147" s="89"/>
      <x:c r="G147" s="89"/>
      <x:c r="H147" s="89"/>
      <x:c r="I147" s="89"/>
      <x:c r="J147" s="89"/>
      <x:c r="K147" s="89"/>
      <x:c r="L147" s="89"/>
      <x:c r="M147" s="89"/>
      <x:c r="N147" s="89"/>
      <x:c r="O147" s="89"/>
      <x:c r="P147" s="89"/>
      <x:c r="Q147" s="89"/>
      <x:c r="R147" s="89"/>
      <x:c r="S147" s="89"/>
      <x:c r="T147" s="89"/>
      <x:c r="U147" s="89"/>
      <x:c r="V147" s="89"/>
      <x:c r="W147" s="89"/>
      <x:c r="X147" s="89"/>
      <x:c r="Y147" s="89"/>
      <x:c r="Z147" s="89"/>
    </x:row>
    <x:row r="148">
      <x:c r="A148" s="89"/>
      <x:c r="B148" s="89"/>
      <x:c r="C148" s="89"/>
      <x:c r="D148" s="89"/>
      <x:c r="E148" s="89"/>
      <x:c r="F148" s="89"/>
      <x:c r="G148" s="89"/>
      <x:c r="H148" s="89"/>
      <x:c r="I148" s="89"/>
      <x:c r="J148" s="89"/>
      <x:c r="K148" s="89"/>
      <x:c r="L148" s="89"/>
      <x:c r="M148" s="89"/>
      <x:c r="N148" s="89"/>
      <x:c r="O148" s="89"/>
      <x:c r="P148" s="89"/>
      <x:c r="Q148" s="89"/>
      <x:c r="R148" s="89"/>
      <x:c r="S148" s="89"/>
      <x:c r="T148" s="89"/>
      <x:c r="U148" s="89"/>
      <x:c r="V148" s="89"/>
      <x:c r="W148" s="89"/>
      <x:c r="X148" s="89"/>
      <x:c r="Y148" s="89"/>
      <x:c r="Z148" s="89"/>
    </x:row>
    <x:row r="149">
      <x:c r="A149" s="89"/>
      <x:c r="B149" s="89"/>
      <x:c r="C149" s="89"/>
      <x:c r="D149" s="89"/>
      <x:c r="E149" s="89"/>
      <x:c r="F149" s="89"/>
      <x:c r="G149" s="89"/>
      <x:c r="H149" s="89"/>
      <x:c r="I149" s="89"/>
      <x:c r="J149" s="89"/>
      <x:c r="K149" s="89"/>
      <x:c r="L149" s="89"/>
      <x:c r="M149" s="89"/>
      <x:c r="N149" s="89"/>
      <x:c r="O149" s="89"/>
      <x:c r="P149" s="89"/>
      <x:c r="Q149" s="89"/>
      <x:c r="R149" s="89"/>
      <x:c r="S149" s="89"/>
      <x:c r="T149" s="89"/>
      <x:c r="U149" s="89"/>
      <x:c r="V149" s="89"/>
      <x:c r="W149" s="89"/>
      <x:c r="X149" s="89"/>
      <x:c r="Y149" s="89"/>
      <x:c r="Z149" s="89"/>
    </x:row>
    <x:row r="150">
      <x:c r="A150" s="89"/>
      <x:c r="B150" s="89"/>
      <x:c r="C150" s="89"/>
      <x:c r="D150" s="89"/>
      <x:c r="E150" s="89"/>
      <x:c r="F150" s="89"/>
      <x:c r="G150" s="89"/>
      <x:c r="H150" s="89"/>
      <x:c r="I150" s="89"/>
      <x:c r="J150" s="89"/>
      <x:c r="K150" s="89"/>
      <x:c r="L150" s="89"/>
      <x:c r="M150" s="89"/>
      <x:c r="N150" s="89"/>
      <x:c r="O150" s="89"/>
      <x:c r="P150" s="89"/>
      <x:c r="Q150" s="89"/>
      <x:c r="R150" s="89"/>
      <x:c r="S150" s="89"/>
      <x:c r="T150" s="89"/>
      <x:c r="U150" s="89"/>
      <x:c r="V150" s="89"/>
      <x:c r="W150" s="89"/>
      <x:c r="X150" s="89"/>
      <x:c r="Y150" s="89"/>
      <x:c r="Z150" s="89"/>
    </x:row>
    <x:row r="151">
      <x:c r="A151" s="89"/>
      <x:c r="B151" s="89"/>
      <x:c r="C151" s="89"/>
      <x:c r="D151" s="89"/>
      <x:c r="E151" s="89"/>
      <x:c r="F151" s="89"/>
      <x:c r="G151" s="89"/>
      <x:c r="H151" s="89"/>
      <x:c r="I151" s="89"/>
      <x:c r="J151" s="89"/>
      <x:c r="K151" s="89"/>
      <x:c r="L151" s="89"/>
      <x:c r="M151" s="89"/>
      <x:c r="N151" s="89"/>
      <x:c r="O151" s="89"/>
      <x:c r="P151" s="89"/>
      <x:c r="Q151" s="89"/>
      <x:c r="R151" s="89"/>
      <x:c r="S151" s="89"/>
      <x:c r="T151" s="89"/>
      <x:c r="U151" s="89"/>
      <x:c r="V151" s="89"/>
      <x:c r="W151" s="89"/>
      <x:c r="X151" s="89"/>
      <x:c r="Y151" s="89"/>
      <x:c r="Z151" s="89"/>
    </x:row>
    <x:row r="152">
      <x:c r="A152" s="89"/>
      <x:c r="B152" s="89"/>
      <x:c r="C152" s="89"/>
      <x:c r="D152" s="89"/>
      <x:c r="E152" s="89"/>
      <x:c r="F152" s="89"/>
      <x:c r="G152" s="89"/>
      <x:c r="H152" s="89"/>
      <x:c r="I152" s="89"/>
      <x:c r="J152" s="89"/>
      <x:c r="K152" s="89"/>
      <x:c r="L152" s="89"/>
      <x:c r="M152" s="89"/>
      <x:c r="N152" s="89"/>
      <x:c r="O152" s="89"/>
      <x:c r="P152" s="89"/>
      <x:c r="Q152" s="89"/>
      <x:c r="R152" s="89"/>
      <x:c r="S152" s="89"/>
      <x:c r="T152" s="89"/>
      <x:c r="U152" s="89"/>
      <x:c r="V152" s="89"/>
      <x:c r="W152" s="89"/>
      <x:c r="X152" s="89"/>
      <x:c r="Y152" s="89"/>
      <x:c r="Z152" s="89"/>
    </x:row>
    <x:row r="153">
      <x:c r="A153" s="89"/>
      <x:c r="B153" s="89"/>
      <x:c r="C153" s="89"/>
      <x:c r="D153" s="89"/>
      <x:c r="E153" s="89"/>
      <x:c r="F153" s="89"/>
      <x:c r="G153" s="89"/>
      <x:c r="H153" s="89"/>
      <x:c r="I153" s="89"/>
      <x:c r="J153" s="89"/>
      <x:c r="K153" s="89"/>
      <x:c r="L153" s="89"/>
      <x:c r="M153" s="89"/>
      <x:c r="N153" s="89"/>
      <x:c r="O153" s="89"/>
      <x:c r="P153" s="89"/>
      <x:c r="Q153" s="89"/>
      <x:c r="R153" s="89"/>
      <x:c r="S153" s="89"/>
      <x:c r="T153" s="89"/>
      <x:c r="U153" s="89"/>
      <x:c r="V153" s="89"/>
      <x:c r="W153" s="89"/>
      <x:c r="X153" s="89"/>
      <x:c r="Y153" s="89"/>
      <x:c r="Z153" s="89"/>
    </x:row>
    <x:row r="154">
      <x:c r="A154" s="89"/>
      <x:c r="B154" s="89"/>
      <x:c r="C154" s="89"/>
      <x:c r="D154" s="89"/>
      <x:c r="E154" s="89"/>
      <x:c r="F154" s="89"/>
      <x:c r="G154" s="89"/>
      <x:c r="H154" s="89"/>
      <x:c r="I154" s="89"/>
      <x:c r="J154" s="89"/>
      <x:c r="K154" s="89"/>
      <x:c r="L154" s="89"/>
      <x:c r="M154" s="89"/>
      <x:c r="N154" s="89"/>
      <x:c r="O154" s="89"/>
      <x:c r="P154" s="89"/>
      <x:c r="Q154" s="89"/>
      <x:c r="R154" s="89"/>
      <x:c r="S154" s="89"/>
      <x:c r="T154" s="89"/>
      <x:c r="U154" s="89"/>
      <x:c r="V154" s="89"/>
      <x:c r="W154" s="89"/>
      <x:c r="X154" s="89"/>
      <x:c r="Y154" s="89"/>
      <x:c r="Z154" s="89"/>
    </x:row>
    <x:row r="155">
      <x:c r="A155" s="89"/>
      <x:c r="B155" s="89"/>
      <x:c r="C155" s="89"/>
      <x:c r="D155" s="89"/>
      <x:c r="E155" s="89"/>
      <x:c r="F155" s="89"/>
      <x:c r="G155" s="89"/>
      <x:c r="H155" s="89"/>
      <x:c r="I155" s="89"/>
      <x:c r="J155" s="89"/>
      <x:c r="K155" s="89"/>
      <x:c r="L155" s="89"/>
      <x:c r="M155" s="89"/>
      <x:c r="N155" s="89"/>
      <x:c r="O155" s="89"/>
      <x:c r="P155" s="89"/>
      <x:c r="Q155" s="89"/>
      <x:c r="R155" s="89"/>
      <x:c r="S155" s="89"/>
      <x:c r="T155" s="89"/>
      <x:c r="U155" s="89"/>
      <x:c r="V155" s="89"/>
      <x:c r="W155" s="89"/>
      <x:c r="X155" s="89"/>
      <x:c r="Y155" s="89"/>
      <x:c r="Z155" s="89"/>
    </x:row>
    <x:row r="156">
      <x:c r="A156" s="89"/>
      <x:c r="B156" s="89"/>
      <x:c r="C156" s="89"/>
      <x:c r="D156" s="89"/>
      <x:c r="E156" s="89"/>
      <x:c r="F156" s="89"/>
      <x:c r="G156" s="89"/>
      <x:c r="H156" s="89"/>
      <x:c r="I156" s="89"/>
      <x:c r="J156" s="89"/>
      <x:c r="K156" s="89"/>
      <x:c r="L156" s="89"/>
      <x:c r="M156" s="89"/>
      <x:c r="N156" s="89"/>
      <x:c r="O156" s="89"/>
      <x:c r="P156" s="89"/>
      <x:c r="Q156" s="89"/>
      <x:c r="R156" s="89"/>
      <x:c r="S156" s="89"/>
      <x:c r="T156" s="89"/>
      <x:c r="U156" s="89"/>
      <x:c r="V156" s="89"/>
      <x:c r="W156" s="89"/>
      <x:c r="X156" s="89"/>
      <x:c r="Y156" s="89"/>
      <x:c r="Z156" s="89"/>
    </x:row>
    <x:row r="157">
      <x:c r="A157" s="89"/>
      <x:c r="B157" s="89"/>
      <x:c r="C157" s="89"/>
      <x:c r="D157" s="89"/>
      <x:c r="E157" s="89"/>
      <x:c r="F157" s="89"/>
      <x:c r="G157" s="89"/>
      <x:c r="H157" s="89"/>
      <x:c r="I157" s="89"/>
      <x:c r="J157" s="89"/>
      <x:c r="K157" s="89"/>
      <x:c r="L157" s="89"/>
      <x:c r="M157" s="89"/>
      <x:c r="N157" s="89"/>
      <x:c r="O157" s="89"/>
      <x:c r="P157" s="89"/>
      <x:c r="Q157" s="89"/>
      <x:c r="R157" s="89"/>
      <x:c r="S157" s="89"/>
      <x:c r="T157" s="89"/>
      <x:c r="U157" s="89"/>
      <x:c r="V157" s="89"/>
      <x:c r="W157" s="89"/>
      <x:c r="X157" s="89"/>
      <x:c r="Y157" s="89"/>
      <x:c r="Z157" s="89"/>
    </x:row>
    <x:row r="158">
      <x:c r="A158" s="89"/>
      <x:c r="B158" s="89"/>
      <x:c r="C158" s="89"/>
      <x:c r="D158" s="89"/>
      <x:c r="E158" s="89"/>
      <x:c r="F158" s="89"/>
      <x:c r="G158" s="89"/>
      <x:c r="H158" s="89"/>
      <x:c r="I158" s="89"/>
      <x:c r="J158" s="89"/>
      <x:c r="K158" s="89"/>
      <x:c r="L158" s="89"/>
      <x:c r="M158" s="89"/>
      <x:c r="N158" s="89"/>
      <x:c r="O158" s="89"/>
      <x:c r="P158" s="89"/>
      <x:c r="Q158" s="89"/>
      <x:c r="R158" s="89"/>
      <x:c r="S158" s="89"/>
      <x:c r="T158" s="89"/>
      <x:c r="U158" s="89"/>
      <x:c r="V158" s="89"/>
      <x:c r="W158" s="89"/>
      <x:c r="X158" s="89"/>
      <x:c r="Y158" s="89"/>
      <x:c r="Z158" s="89"/>
    </x:row>
    <x:row r="159">
      <x:c r="A159" s="89"/>
      <x:c r="B159" s="89"/>
      <x:c r="C159" s="89"/>
      <x:c r="D159" s="89"/>
      <x:c r="E159" s="89"/>
      <x:c r="F159" s="89"/>
      <x:c r="G159" s="89"/>
      <x:c r="H159" s="89"/>
      <x:c r="I159" s="89"/>
      <x:c r="J159" s="89"/>
      <x:c r="K159" s="89"/>
      <x:c r="L159" s="89"/>
      <x:c r="M159" s="89"/>
      <x:c r="N159" s="89"/>
      <x:c r="O159" s="89"/>
      <x:c r="P159" s="89"/>
      <x:c r="Q159" s="89"/>
      <x:c r="R159" s="89"/>
      <x:c r="S159" s="89"/>
      <x:c r="T159" s="89"/>
      <x:c r="U159" s="89"/>
      <x:c r="V159" s="89"/>
      <x:c r="W159" s="89"/>
      <x:c r="X159" s="89"/>
      <x:c r="Y159" s="89"/>
      <x:c r="Z159" s="89"/>
    </x:row>
    <x:row r="160">
      <x:c r="A160" s="89"/>
      <x:c r="B160" s="89"/>
      <x:c r="C160" s="89"/>
      <x:c r="D160" s="89"/>
      <x:c r="E160" s="89"/>
      <x:c r="F160" s="89"/>
      <x:c r="G160" s="89"/>
      <x:c r="H160" s="89"/>
      <x:c r="I160" s="89"/>
      <x:c r="J160" s="89"/>
      <x:c r="K160" s="89"/>
      <x:c r="L160" s="89"/>
      <x:c r="M160" s="89"/>
      <x:c r="N160" s="89"/>
      <x:c r="O160" s="89"/>
      <x:c r="P160" s="89"/>
      <x:c r="Q160" s="89"/>
      <x:c r="R160" s="89"/>
      <x:c r="S160" s="89"/>
      <x:c r="T160" s="89"/>
      <x:c r="U160" s="89"/>
      <x:c r="V160" s="89"/>
      <x:c r="W160" s="89"/>
      <x:c r="X160" s="89"/>
      <x:c r="Y160" s="89"/>
      <x:c r="Z160" s="89"/>
    </x:row>
    <x:row r="161">
      <x:c r="A161" s="89"/>
      <x:c r="B161" s="89"/>
      <x:c r="C161" s="89"/>
      <x:c r="D161" s="89"/>
      <x:c r="E161" s="89"/>
      <x:c r="F161" s="89"/>
      <x:c r="G161" s="89"/>
      <x:c r="H161" s="89"/>
      <x:c r="I161" s="89"/>
      <x:c r="J161" s="89"/>
      <x:c r="K161" s="89"/>
      <x:c r="L161" s="89"/>
      <x:c r="M161" s="89"/>
      <x:c r="N161" s="89"/>
      <x:c r="O161" s="89"/>
      <x:c r="P161" s="89"/>
      <x:c r="Q161" s="89"/>
      <x:c r="R161" s="89"/>
      <x:c r="S161" s="89"/>
      <x:c r="T161" s="89"/>
      <x:c r="U161" s="89"/>
      <x:c r="V161" s="89"/>
      <x:c r="W161" s="89"/>
      <x:c r="X161" s="89"/>
      <x:c r="Y161" s="89"/>
      <x:c r="Z161" s="89"/>
    </x:row>
    <x:row r="162">
      <x:c r="A162" s="89"/>
      <x:c r="B162" s="89"/>
      <x:c r="C162" s="89"/>
      <x:c r="D162" s="89"/>
      <x:c r="E162" s="89"/>
      <x:c r="F162" s="89"/>
      <x:c r="G162" s="89"/>
      <x:c r="H162" s="89"/>
      <x:c r="I162" s="89"/>
      <x:c r="J162" s="89"/>
      <x:c r="K162" s="89"/>
      <x:c r="L162" s="89"/>
      <x:c r="M162" s="89"/>
      <x:c r="N162" s="89"/>
      <x:c r="O162" s="89"/>
      <x:c r="P162" s="89"/>
      <x:c r="Q162" s="89"/>
      <x:c r="R162" s="89"/>
      <x:c r="S162" s="89"/>
      <x:c r="T162" s="89"/>
      <x:c r="U162" s="89"/>
      <x:c r="V162" s="89"/>
      <x:c r="W162" s="89"/>
      <x:c r="X162" s="89"/>
      <x:c r="Y162" s="89"/>
      <x:c r="Z162" s="89"/>
    </x:row>
    <x:row r="163">
      <x:c r="A163" s="89"/>
      <x:c r="B163" s="89"/>
      <x:c r="C163" s="89"/>
      <x:c r="D163" s="89"/>
      <x:c r="E163" s="89"/>
      <x:c r="F163" s="89"/>
      <x:c r="G163" s="89"/>
      <x:c r="H163" s="89"/>
      <x:c r="I163" s="89"/>
      <x:c r="J163" s="89"/>
      <x:c r="K163" s="89"/>
      <x:c r="L163" s="89"/>
      <x:c r="M163" s="89"/>
      <x:c r="N163" s="89"/>
      <x:c r="O163" s="89"/>
      <x:c r="P163" s="89"/>
      <x:c r="Q163" s="89"/>
      <x:c r="R163" s="89"/>
      <x:c r="S163" s="89"/>
      <x:c r="T163" s="89"/>
      <x:c r="U163" s="89"/>
      <x:c r="V163" s="89"/>
      <x:c r="W163" s="89"/>
      <x:c r="X163" s="89"/>
      <x:c r="Y163" s="89"/>
      <x:c r="Z163" s="89"/>
    </x:row>
    <x:row r="164">
      <x:c r="A164" s="89"/>
      <x:c r="B164" s="89"/>
      <x:c r="C164" s="89"/>
      <x:c r="D164" s="89"/>
      <x:c r="E164" s="89"/>
      <x:c r="F164" s="89"/>
      <x:c r="G164" s="89"/>
      <x:c r="H164" s="89"/>
      <x:c r="I164" s="89"/>
      <x:c r="J164" s="89"/>
      <x:c r="K164" s="89"/>
      <x:c r="L164" s="89"/>
      <x:c r="M164" s="89"/>
      <x:c r="N164" s="89"/>
      <x:c r="O164" s="89"/>
      <x:c r="P164" s="89"/>
      <x:c r="Q164" s="89"/>
      <x:c r="R164" s="89"/>
      <x:c r="S164" s="89"/>
      <x:c r="T164" s="89"/>
      <x:c r="U164" s="89"/>
      <x:c r="V164" s="89"/>
      <x:c r="W164" s="89"/>
      <x:c r="X164" s="89"/>
      <x:c r="Y164" s="89"/>
      <x:c r="Z164" s="89"/>
    </x:row>
    <x:row r="165">
      <x:c r="A165" s="89"/>
      <x:c r="B165" s="89"/>
      <x:c r="C165" s="89"/>
      <x:c r="D165" s="89"/>
      <x:c r="E165" s="89"/>
      <x:c r="F165" s="89"/>
      <x:c r="G165" s="89"/>
      <x:c r="H165" s="89"/>
      <x:c r="I165" s="89"/>
      <x:c r="J165" s="89"/>
      <x:c r="K165" s="89"/>
      <x:c r="L165" s="89"/>
      <x:c r="M165" s="89"/>
      <x:c r="N165" s="89"/>
      <x:c r="O165" s="89"/>
      <x:c r="P165" s="89"/>
      <x:c r="Q165" s="89"/>
      <x:c r="R165" s="89"/>
      <x:c r="S165" s="89"/>
      <x:c r="T165" s="89"/>
      <x:c r="U165" s="89"/>
      <x:c r="V165" s="89"/>
      <x:c r="W165" s="89"/>
      <x:c r="X165" s="89"/>
      <x:c r="Y165" s="89"/>
      <x:c r="Z165" s="89"/>
    </x:row>
    <x:row r="166">
      <x:c r="A166" s="89"/>
      <x:c r="B166" s="89"/>
      <x:c r="C166" s="89"/>
      <x:c r="D166" s="89"/>
      <x:c r="E166" s="89"/>
      <x:c r="F166" s="89"/>
      <x:c r="G166" s="89"/>
      <x:c r="H166" s="89"/>
      <x:c r="I166" s="89"/>
      <x:c r="J166" s="89"/>
      <x:c r="K166" s="89"/>
      <x:c r="L166" s="89"/>
      <x:c r="M166" s="89"/>
      <x:c r="N166" s="89"/>
      <x:c r="O166" s="89"/>
      <x:c r="P166" s="89"/>
      <x:c r="Q166" s="89"/>
      <x:c r="R166" s="89"/>
      <x:c r="S166" s="89"/>
      <x:c r="T166" s="89"/>
      <x:c r="U166" s="89"/>
      <x:c r="V166" s="89"/>
      <x:c r="W166" s="89"/>
      <x:c r="X166" s="89"/>
      <x:c r="Y166" s="89"/>
      <x:c r="Z166" s="89"/>
    </x:row>
    <x:row r="167">
      <x:c r="A167" s="89"/>
      <x:c r="B167" s="89"/>
      <x:c r="C167" s="89"/>
      <x:c r="D167" s="89"/>
      <x:c r="E167" s="89"/>
      <x:c r="F167" s="89"/>
      <x:c r="G167" s="89"/>
      <x:c r="H167" s="89"/>
      <x:c r="I167" s="89"/>
      <x:c r="J167" s="89"/>
      <x:c r="K167" s="89"/>
      <x:c r="L167" s="89"/>
      <x:c r="M167" s="89"/>
      <x:c r="N167" s="89"/>
      <x:c r="O167" s="89"/>
      <x:c r="P167" s="89"/>
      <x:c r="Q167" s="89"/>
      <x:c r="R167" s="89"/>
      <x:c r="S167" s="89"/>
      <x:c r="T167" s="89"/>
      <x:c r="U167" s="89"/>
      <x:c r="V167" s="89"/>
      <x:c r="W167" s="89"/>
      <x:c r="X167" s="89"/>
      <x:c r="Y167" s="89"/>
      <x:c r="Z167" s="89"/>
    </x:row>
    <x:row r="168">
      <x:c r="A168" s="89"/>
      <x:c r="B168" s="89"/>
      <x:c r="C168" s="89"/>
      <x:c r="D168" s="89"/>
      <x:c r="E168" s="89"/>
      <x:c r="F168" s="89"/>
      <x:c r="G168" s="89"/>
      <x:c r="H168" s="89"/>
      <x:c r="I168" s="89"/>
      <x:c r="J168" s="89"/>
      <x:c r="K168" s="89"/>
      <x:c r="L168" s="89"/>
      <x:c r="M168" s="89"/>
      <x:c r="N168" s="89"/>
      <x:c r="O168" s="89"/>
      <x:c r="P168" s="89"/>
      <x:c r="Q168" s="89"/>
      <x:c r="R168" s="89"/>
      <x:c r="S168" s="89"/>
      <x:c r="T168" s="89"/>
      <x:c r="U168" s="89"/>
      <x:c r="V168" s="89"/>
      <x:c r="W168" s="89"/>
      <x:c r="X168" s="89"/>
      <x:c r="Y168" s="89"/>
      <x:c r="Z168" s="89"/>
    </x:row>
    <x:row r="169">
      <x:c r="A169" s="89"/>
      <x:c r="B169" s="89"/>
      <x:c r="C169" s="89"/>
      <x:c r="D169" s="89"/>
      <x:c r="E169" s="89"/>
      <x:c r="F169" s="89"/>
      <x:c r="G169" s="89"/>
      <x:c r="H169" s="89"/>
      <x:c r="I169" s="89"/>
      <x:c r="J169" s="89"/>
      <x:c r="K169" s="89"/>
      <x:c r="L169" s="89"/>
      <x:c r="M169" s="89"/>
      <x:c r="N169" s="89"/>
      <x:c r="O169" s="89"/>
      <x:c r="P169" s="89"/>
      <x:c r="Q169" s="89"/>
      <x:c r="R169" s="89"/>
      <x:c r="S169" s="89"/>
      <x:c r="T169" s="89"/>
      <x:c r="U169" s="89"/>
      <x:c r="V169" s="89"/>
      <x:c r="W169" s="89"/>
      <x:c r="X169" s="89"/>
      <x:c r="Y169" s="89"/>
      <x:c r="Z169" s="89"/>
    </x:row>
    <x:row r="170">
      <x:c r="A170" s="89"/>
      <x:c r="B170" s="89"/>
      <x:c r="C170" s="89"/>
      <x:c r="D170" s="89"/>
      <x:c r="E170" s="89"/>
      <x:c r="F170" s="89"/>
      <x:c r="G170" s="89"/>
      <x:c r="H170" s="89"/>
      <x:c r="I170" s="89"/>
      <x:c r="J170" s="89"/>
      <x:c r="K170" s="89"/>
      <x:c r="L170" s="89"/>
      <x:c r="M170" s="89"/>
      <x:c r="N170" s="89"/>
      <x:c r="O170" s="89"/>
      <x:c r="P170" s="89"/>
      <x:c r="Q170" s="89"/>
      <x:c r="R170" s="89"/>
      <x:c r="S170" s="89"/>
      <x:c r="T170" s="89"/>
      <x:c r="U170" s="89"/>
      <x:c r="V170" s="89"/>
      <x:c r="W170" s="89"/>
      <x:c r="X170" s="89"/>
      <x:c r="Y170" s="89"/>
      <x:c r="Z170" s="89"/>
    </x:row>
    <x:row r="171">
      <x:c r="A171" s="89"/>
      <x:c r="B171" s="89"/>
      <x:c r="C171" s="89"/>
      <x:c r="D171" s="89"/>
      <x:c r="E171" s="89"/>
      <x:c r="F171" s="89"/>
      <x:c r="G171" s="89"/>
      <x:c r="H171" s="89"/>
      <x:c r="I171" s="89"/>
      <x:c r="J171" s="89"/>
      <x:c r="K171" s="89"/>
      <x:c r="L171" s="89"/>
      <x:c r="M171" s="89"/>
      <x:c r="N171" s="89"/>
      <x:c r="O171" s="89"/>
      <x:c r="P171" s="89"/>
      <x:c r="Q171" s="89"/>
      <x:c r="R171" s="89"/>
      <x:c r="S171" s="89"/>
      <x:c r="T171" s="89"/>
      <x:c r="U171" s="89"/>
      <x:c r="V171" s="89"/>
      <x:c r="W171" s="89"/>
      <x:c r="X171" s="89"/>
      <x:c r="Y171" s="89"/>
      <x:c r="Z171" s="89"/>
    </x:row>
    <x:row r="172">
      <x:c r="A172" s="89"/>
      <x:c r="B172" s="89"/>
      <x:c r="C172" s="89"/>
      <x:c r="D172" s="89"/>
      <x:c r="E172" s="89"/>
      <x:c r="F172" s="89"/>
      <x:c r="G172" s="89"/>
      <x:c r="H172" s="89"/>
      <x:c r="I172" s="89"/>
      <x:c r="J172" s="89"/>
      <x:c r="K172" s="89"/>
      <x:c r="L172" s="89"/>
      <x:c r="M172" s="89"/>
      <x:c r="N172" s="89"/>
      <x:c r="O172" s="89"/>
      <x:c r="P172" s="89"/>
      <x:c r="Q172" s="89"/>
      <x:c r="R172" s="89"/>
      <x:c r="S172" s="89"/>
      <x:c r="T172" s="89"/>
      <x:c r="U172" s="89"/>
      <x:c r="V172" s="89"/>
      <x:c r="W172" s="89"/>
      <x:c r="X172" s="89"/>
      <x:c r="Y172" s="89"/>
      <x:c r="Z172" s="89"/>
    </x:row>
    <x:row r="173">
      <x:c r="A173" s="89"/>
      <x:c r="B173" s="89"/>
      <x:c r="C173" s="89"/>
      <x:c r="D173" s="89"/>
      <x:c r="E173" s="89"/>
      <x:c r="F173" s="89"/>
      <x:c r="G173" s="89"/>
      <x:c r="H173" s="89"/>
      <x:c r="I173" s="89"/>
      <x:c r="J173" s="89"/>
      <x:c r="K173" s="89"/>
      <x:c r="L173" s="89"/>
      <x:c r="M173" s="89"/>
      <x:c r="N173" s="89"/>
      <x:c r="O173" s="89"/>
      <x:c r="P173" s="89"/>
      <x:c r="Q173" s="89"/>
      <x:c r="R173" s="89"/>
      <x:c r="S173" s="89"/>
      <x:c r="T173" s="89"/>
      <x:c r="U173" s="89"/>
      <x:c r="V173" s="89"/>
      <x:c r="W173" s="89"/>
      <x:c r="X173" s="89"/>
      <x:c r="Y173" s="89"/>
      <x:c r="Z173" s="89"/>
    </x:row>
    <x:row r="174">
      <x:c r="A174" s="89"/>
      <x:c r="B174" s="89"/>
      <x:c r="C174" s="89"/>
      <x:c r="D174" s="89"/>
      <x:c r="E174" s="89"/>
      <x:c r="F174" s="89"/>
      <x:c r="G174" s="89"/>
      <x:c r="H174" s="89"/>
      <x:c r="I174" s="89"/>
      <x:c r="J174" s="89"/>
      <x:c r="K174" s="89"/>
      <x:c r="L174" s="89"/>
      <x:c r="M174" s="89"/>
      <x:c r="N174" s="89"/>
      <x:c r="O174" s="89"/>
      <x:c r="P174" s="89"/>
      <x:c r="Q174" s="89"/>
      <x:c r="R174" s="89"/>
      <x:c r="S174" s="89"/>
      <x:c r="T174" s="89"/>
      <x:c r="U174" s="89"/>
      <x:c r="V174" s="89"/>
      <x:c r="W174" s="89"/>
      <x:c r="X174" s="89"/>
      <x:c r="Y174" s="89"/>
      <x:c r="Z174" s="89"/>
    </x:row>
    <x:row r="175">
      <x:c r="A175" s="89"/>
      <x:c r="B175" s="89"/>
      <x:c r="C175" s="89"/>
      <x:c r="D175" s="89"/>
      <x:c r="E175" s="89"/>
      <x:c r="F175" s="89"/>
      <x:c r="G175" s="89"/>
      <x:c r="H175" s="89"/>
      <x:c r="I175" s="89"/>
      <x:c r="J175" s="89"/>
      <x:c r="K175" s="89"/>
      <x:c r="L175" s="89"/>
      <x:c r="M175" s="89"/>
      <x:c r="N175" s="89"/>
      <x:c r="O175" s="89"/>
      <x:c r="P175" s="89"/>
      <x:c r="Q175" s="89"/>
      <x:c r="R175" s="89"/>
      <x:c r="S175" s="89"/>
      <x:c r="T175" s="89"/>
      <x:c r="U175" s="89"/>
      <x:c r="V175" s="89"/>
      <x:c r="W175" s="89"/>
      <x:c r="X175" s="89"/>
      <x:c r="Y175" s="89"/>
      <x:c r="Z175" s="89"/>
    </x:row>
    <x:row r="176">
      <x:c r="A176" s="89"/>
      <x:c r="B176" s="89"/>
      <x:c r="C176" s="89"/>
      <x:c r="D176" s="89"/>
      <x:c r="E176" s="89"/>
      <x:c r="F176" s="89"/>
      <x:c r="G176" s="89"/>
      <x:c r="H176" s="89"/>
      <x:c r="I176" s="89"/>
      <x:c r="J176" s="89"/>
      <x:c r="K176" s="89"/>
      <x:c r="L176" s="89"/>
      <x:c r="M176" s="89"/>
      <x:c r="N176" s="89"/>
      <x:c r="O176" s="89"/>
      <x:c r="P176" s="89"/>
      <x:c r="Q176" s="89"/>
      <x:c r="R176" s="89"/>
      <x:c r="S176" s="89"/>
      <x:c r="T176" s="89"/>
      <x:c r="U176" s="89"/>
      <x:c r="V176" s="89"/>
      <x:c r="W176" s="89"/>
      <x:c r="X176" s="89"/>
      <x:c r="Y176" s="89"/>
      <x:c r="Z176" s="89"/>
    </x:row>
    <x:row r="177">
      <x:c r="A177" s="89"/>
      <x:c r="B177" s="89"/>
      <x:c r="C177" s="89"/>
      <x:c r="D177" s="89"/>
      <x:c r="E177" s="89"/>
      <x:c r="F177" s="89"/>
      <x:c r="G177" s="89"/>
      <x:c r="H177" s="89"/>
      <x:c r="I177" s="89"/>
      <x:c r="J177" s="89"/>
      <x:c r="K177" s="89"/>
      <x:c r="L177" s="89"/>
      <x:c r="M177" s="89"/>
      <x:c r="N177" s="89"/>
      <x:c r="O177" s="89"/>
      <x:c r="P177" s="89"/>
      <x:c r="Q177" s="89"/>
      <x:c r="R177" s="89"/>
      <x:c r="S177" s="89"/>
      <x:c r="T177" s="89"/>
      <x:c r="U177" s="89"/>
      <x:c r="V177" s="89"/>
      <x:c r="W177" s="89"/>
      <x:c r="X177" s="89"/>
      <x:c r="Y177" s="89"/>
      <x:c r="Z177" s="89"/>
    </x:row>
    <x:row r="178">
      <x:c r="A178" s="89"/>
      <x:c r="B178" s="89"/>
      <x:c r="C178" s="89"/>
      <x:c r="D178" s="89"/>
      <x:c r="E178" s="89"/>
      <x:c r="F178" s="89"/>
      <x:c r="G178" s="89"/>
      <x:c r="H178" s="89"/>
      <x:c r="I178" s="89"/>
      <x:c r="J178" s="89"/>
      <x:c r="K178" s="89"/>
      <x:c r="L178" s="89"/>
      <x:c r="M178" s="89"/>
      <x:c r="N178" s="89"/>
      <x:c r="O178" s="89"/>
      <x:c r="P178" s="89"/>
      <x:c r="Q178" s="89"/>
      <x:c r="R178" s="89"/>
      <x:c r="S178" s="89"/>
      <x:c r="T178" s="89"/>
      <x:c r="U178" s="89"/>
      <x:c r="V178" s="89"/>
      <x:c r="W178" s="89"/>
      <x:c r="X178" s="89"/>
      <x:c r="Y178" s="89"/>
      <x:c r="Z178" s="89"/>
    </x:row>
    <x:row r="179">
      <x:c r="A179" s="89"/>
      <x:c r="B179" s="89"/>
      <x:c r="C179" s="89"/>
      <x:c r="D179" s="89"/>
      <x:c r="E179" s="89"/>
      <x:c r="F179" s="89"/>
      <x:c r="G179" s="89"/>
      <x:c r="H179" s="89"/>
      <x:c r="I179" s="89"/>
      <x:c r="J179" s="89"/>
      <x:c r="K179" s="89"/>
      <x:c r="L179" s="89"/>
      <x:c r="M179" s="89"/>
      <x:c r="N179" s="89"/>
      <x:c r="O179" s="89"/>
      <x:c r="P179" s="89"/>
      <x:c r="Q179" s="89"/>
      <x:c r="R179" s="89"/>
      <x:c r="S179" s="89"/>
      <x:c r="T179" s="89"/>
      <x:c r="U179" s="89"/>
      <x:c r="V179" s="89"/>
      <x:c r="W179" s="89"/>
      <x:c r="X179" s="89"/>
      <x:c r="Y179" s="89"/>
      <x:c r="Z179" s="89"/>
    </x:row>
    <x:row r="180">
      <x:c r="A180" s="89"/>
      <x:c r="B180" s="89"/>
      <x:c r="C180" s="89"/>
      <x:c r="D180" s="89"/>
      <x:c r="E180" s="89"/>
      <x:c r="F180" s="89"/>
      <x:c r="G180" s="89"/>
      <x:c r="H180" s="89"/>
      <x:c r="I180" s="89"/>
      <x:c r="J180" s="89"/>
      <x:c r="K180" s="89"/>
      <x:c r="L180" s="89"/>
      <x:c r="M180" s="89"/>
      <x:c r="N180" s="89"/>
      <x:c r="O180" s="89"/>
      <x:c r="P180" s="89"/>
      <x:c r="Q180" s="89"/>
      <x:c r="R180" s="89"/>
      <x:c r="S180" s="89"/>
      <x:c r="T180" s="89"/>
      <x:c r="U180" s="89"/>
      <x:c r="V180" s="89"/>
      <x:c r="W180" s="89"/>
      <x:c r="X180" s="89"/>
      <x:c r="Y180" s="89"/>
      <x:c r="Z180" s="89"/>
    </x:row>
    <x:row r="181">
      <x:c r="A181" s="89"/>
      <x:c r="B181" s="89"/>
      <x:c r="C181" s="89"/>
      <x:c r="D181" s="89"/>
      <x:c r="E181" s="89"/>
      <x:c r="F181" s="89"/>
      <x:c r="G181" s="89"/>
      <x:c r="H181" s="89"/>
      <x:c r="I181" s="89"/>
      <x:c r="J181" s="89"/>
      <x:c r="K181" s="89"/>
      <x:c r="L181" s="89"/>
      <x:c r="M181" s="89"/>
      <x:c r="N181" s="89"/>
      <x:c r="O181" s="89"/>
      <x:c r="P181" s="89"/>
      <x:c r="Q181" s="89"/>
      <x:c r="R181" s="89"/>
      <x:c r="S181" s="89"/>
      <x:c r="T181" s="89"/>
      <x:c r="U181" s="89"/>
      <x:c r="V181" s="89"/>
      <x:c r="W181" s="89"/>
      <x:c r="X181" s="89"/>
      <x:c r="Y181" s="89"/>
      <x:c r="Z181" s="89"/>
    </x:row>
    <x:row r="182">
      <x:c r="A182" s="89"/>
      <x:c r="B182" s="89"/>
      <x:c r="C182" s="89"/>
      <x:c r="D182" s="89"/>
      <x:c r="E182" s="89"/>
      <x:c r="F182" s="89"/>
      <x:c r="G182" s="89"/>
      <x:c r="H182" s="89"/>
      <x:c r="I182" s="89"/>
      <x:c r="J182" s="89"/>
      <x:c r="K182" s="89"/>
      <x:c r="L182" s="89"/>
      <x:c r="M182" s="89"/>
      <x:c r="N182" s="89"/>
      <x:c r="O182" s="89"/>
      <x:c r="P182" s="89"/>
      <x:c r="Q182" s="89"/>
      <x:c r="R182" s="89"/>
      <x:c r="S182" s="89"/>
      <x:c r="T182" s="89"/>
      <x:c r="U182" s="89"/>
      <x:c r="V182" s="89"/>
      <x:c r="W182" s="89"/>
      <x:c r="X182" s="89"/>
      <x:c r="Y182" s="89"/>
      <x:c r="Z182" s="89"/>
    </x:row>
    <x:row r="183">
      <x:c r="A183" s="89"/>
      <x:c r="B183" s="89"/>
      <x:c r="C183" s="89"/>
      <x:c r="D183" s="89"/>
      <x:c r="E183" s="89"/>
      <x:c r="F183" s="89"/>
      <x:c r="G183" s="89"/>
      <x:c r="H183" s="89"/>
      <x:c r="I183" s="89"/>
      <x:c r="J183" s="89"/>
      <x:c r="K183" s="89"/>
      <x:c r="L183" s="89"/>
      <x:c r="M183" s="89"/>
      <x:c r="N183" s="89"/>
      <x:c r="O183" s="89"/>
      <x:c r="P183" s="89"/>
      <x:c r="Q183" s="89"/>
      <x:c r="R183" s="89"/>
      <x:c r="S183" s="89"/>
      <x:c r="T183" s="89"/>
      <x:c r="U183" s="89"/>
      <x:c r="V183" s="89"/>
      <x:c r="W183" s="89"/>
      <x:c r="X183" s="89"/>
      <x:c r="Y183" s="89"/>
      <x:c r="Z183" s="89"/>
    </x:row>
    <x:row r="184">
      <x:c r="A184" s="89"/>
      <x:c r="B184" s="89"/>
      <x:c r="C184" s="89"/>
      <x:c r="D184" s="89"/>
      <x:c r="E184" s="89"/>
      <x:c r="F184" s="89"/>
      <x:c r="G184" s="89"/>
      <x:c r="H184" s="89"/>
      <x:c r="I184" s="89"/>
      <x:c r="J184" s="89"/>
      <x:c r="K184" s="89"/>
      <x:c r="L184" s="89"/>
      <x:c r="M184" s="89"/>
      <x:c r="N184" s="89"/>
      <x:c r="O184" s="89"/>
      <x:c r="P184" s="89"/>
      <x:c r="Q184" s="89"/>
      <x:c r="R184" s="89"/>
      <x:c r="S184" s="89"/>
      <x:c r="T184" s="89"/>
      <x:c r="U184" s="89"/>
      <x:c r="V184" s="89"/>
      <x:c r="W184" s="89"/>
      <x:c r="X184" s="89"/>
      <x:c r="Y184" s="89"/>
      <x:c r="Z184" s="89"/>
    </x:row>
    <x:row r="185">
      <x:c r="A185" s="89"/>
      <x:c r="B185" s="89"/>
      <x:c r="C185" s="89"/>
      <x:c r="D185" s="89"/>
      <x:c r="E185" s="89"/>
      <x:c r="F185" s="89"/>
      <x:c r="G185" s="89"/>
      <x:c r="H185" s="89"/>
      <x:c r="I185" s="89"/>
      <x:c r="J185" s="89"/>
      <x:c r="K185" s="89"/>
      <x:c r="L185" s="89"/>
      <x:c r="M185" s="89"/>
      <x:c r="N185" s="89"/>
      <x:c r="O185" s="89"/>
      <x:c r="P185" s="89"/>
      <x:c r="Q185" s="89"/>
      <x:c r="R185" s="89"/>
      <x:c r="S185" s="89"/>
      <x:c r="T185" s="89"/>
      <x:c r="U185" s="89"/>
      <x:c r="V185" s="89"/>
      <x:c r="W185" s="89"/>
      <x:c r="X185" s="89"/>
      <x:c r="Y185" s="89"/>
      <x:c r="Z185" s="89"/>
    </x:row>
    <x:row r="186">
      <x:c r="A186" s="89"/>
      <x:c r="B186" s="89"/>
      <x:c r="C186" s="89"/>
      <x:c r="D186" s="89"/>
      <x:c r="E186" s="89"/>
      <x:c r="F186" s="89"/>
      <x:c r="G186" s="89"/>
      <x:c r="H186" s="89"/>
      <x:c r="I186" s="89"/>
      <x:c r="J186" s="89"/>
      <x:c r="K186" s="89"/>
      <x:c r="L186" s="89"/>
      <x:c r="M186" s="89"/>
      <x:c r="N186" s="89"/>
      <x:c r="O186" s="89"/>
      <x:c r="P186" s="89"/>
      <x:c r="Q186" s="89"/>
      <x:c r="R186" s="89"/>
      <x:c r="S186" s="89"/>
      <x:c r="T186" s="89"/>
      <x:c r="U186" s="89"/>
      <x:c r="V186" s="89"/>
      <x:c r="W186" s="89"/>
      <x:c r="X186" s="89"/>
      <x:c r="Y186" s="89"/>
      <x:c r="Z186" s="89"/>
    </x:row>
    <x:row r="187">
      <x:c r="A187" s="89"/>
      <x:c r="B187" s="89"/>
      <x:c r="C187" s="89"/>
      <x:c r="D187" s="89"/>
      <x:c r="E187" s="89"/>
      <x:c r="F187" s="89"/>
      <x:c r="G187" s="89"/>
      <x:c r="H187" s="89"/>
      <x:c r="I187" s="89"/>
      <x:c r="J187" s="89"/>
      <x:c r="K187" s="89"/>
      <x:c r="L187" s="89"/>
      <x:c r="M187" s="89"/>
      <x:c r="N187" s="89"/>
      <x:c r="O187" s="89"/>
      <x:c r="P187" s="89"/>
      <x:c r="Q187" s="89"/>
      <x:c r="R187" s="89"/>
      <x:c r="S187" s="89"/>
      <x:c r="T187" s="89"/>
      <x:c r="U187" s="89"/>
      <x:c r="V187" s="89"/>
      <x:c r="W187" s="89"/>
      <x:c r="X187" s="89"/>
      <x:c r="Y187" s="89"/>
      <x:c r="Z187" s="89"/>
    </x:row>
    <x:row r="188">
      <x:c r="A188" s="89"/>
      <x:c r="B188" s="89"/>
      <x:c r="C188" s="89"/>
      <x:c r="D188" s="89"/>
      <x:c r="E188" s="89"/>
      <x:c r="F188" s="89"/>
      <x:c r="G188" s="89"/>
      <x:c r="H188" s="89"/>
      <x:c r="I188" s="89"/>
      <x:c r="J188" s="89"/>
      <x:c r="K188" s="89"/>
      <x:c r="L188" s="89"/>
      <x:c r="M188" s="89"/>
      <x:c r="N188" s="89"/>
      <x:c r="O188" s="89"/>
      <x:c r="P188" s="89"/>
      <x:c r="Q188" s="89"/>
      <x:c r="R188" s="89"/>
      <x:c r="S188" s="89"/>
      <x:c r="T188" s="89"/>
      <x:c r="U188" s="89"/>
      <x:c r="V188" s="89"/>
      <x:c r="W188" s="89"/>
      <x:c r="X188" s="89"/>
      <x:c r="Y188" s="89"/>
      <x:c r="Z188" s="89"/>
    </x:row>
    <x:row r="189">
      <x:c r="A189" s="89"/>
      <x:c r="B189" s="89"/>
      <x:c r="C189" s="89"/>
      <x:c r="D189" s="89"/>
      <x:c r="E189" s="89"/>
      <x:c r="F189" s="89"/>
      <x:c r="G189" s="89"/>
      <x:c r="H189" s="89"/>
      <x:c r="I189" s="89"/>
      <x:c r="J189" s="89"/>
      <x:c r="K189" s="89"/>
      <x:c r="L189" s="89"/>
      <x:c r="M189" s="89"/>
      <x:c r="N189" s="89"/>
      <x:c r="O189" s="89"/>
      <x:c r="P189" s="89"/>
      <x:c r="Q189" s="89"/>
      <x:c r="R189" s="89"/>
      <x:c r="S189" s="89"/>
      <x:c r="T189" s="89"/>
      <x:c r="U189" s="89"/>
      <x:c r="V189" s="89"/>
      <x:c r="W189" s="89"/>
      <x:c r="X189" s="89"/>
      <x:c r="Y189" s="89"/>
      <x:c r="Z189" s="89"/>
    </x:row>
    <x:row r="190">
      <x:c r="A190" s="89"/>
      <x:c r="B190" s="89"/>
      <x:c r="C190" s="89"/>
      <x:c r="D190" s="89"/>
      <x:c r="E190" s="89"/>
      <x:c r="F190" s="89"/>
      <x:c r="G190" s="89"/>
      <x:c r="H190" s="89"/>
      <x:c r="I190" s="89"/>
      <x:c r="J190" s="89"/>
      <x:c r="K190" s="89"/>
      <x:c r="L190" s="89"/>
      <x:c r="M190" s="89"/>
      <x:c r="N190" s="89"/>
      <x:c r="O190" s="89"/>
      <x:c r="P190" s="89"/>
      <x:c r="Q190" s="89"/>
      <x:c r="R190" s="89"/>
      <x:c r="S190" s="89"/>
      <x:c r="T190" s="89"/>
      <x:c r="U190" s="89"/>
      <x:c r="V190" s="89"/>
      <x:c r="W190" s="89"/>
      <x:c r="X190" s="89"/>
      <x:c r="Y190" s="89"/>
      <x:c r="Z190" s="89"/>
    </x:row>
    <x:row r="191">
      <x:c r="A191" s="89"/>
      <x:c r="B191" s="89"/>
      <x:c r="C191" s="89"/>
      <x:c r="D191" s="89"/>
      <x:c r="E191" s="89"/>
      <x:c r="F191" s="89"/>
      <x:c r="G191" s="89"/>
      <x:c r="H191" s="89"/>
      <x:c r="I191" s="89"/>
      <x:c r="J191" s="89"/>
      <x:c r="K191" s="89"/>
      <x:c r="L191" s="89"/>
      <x:c r="M191" s="89"/>
      <x:c r="N191" s="89"/>
      <x:c r="O191" s="89"/>
      <x:c r="P191" s="89"/>
      <x:c r="Q191" s="89"/>
      <x:c r="R191" s="89"/>
      <x:c r="S191" s="89"/>
      <x:c r="T191" s="89"/>
      <x:c r="U191" s="89"/>
      <x:c r="V191" s="89"/>
      <x:c r="W191" s="89"/>
      <x:c r="X191" s="89"/>
      <x:c r="Y191" s="89"/>
      <x:c r="Z191" s="89"/>
    </x:row>
    <x:row r="192">
      <x:c r="A192" s="89"/>
      <x:c r="B192" s="89"/>
      <x:c r="C192" s="89"/>
      <x:c r="D192" s="89"/>
      <x:c r="E192" s="89"/>
      <x:c r="F192" s="89"/>
      <x:c r="G192" s="89"/>
      <x:c r="H192" s="89"/>
      <x:c r="I192" s="89"/>
      <x:c r="J192" s="89"/>
      <x:c r="K192" s="89"/>
      <x:c r="L192" s="89"/>
      <x:c r="M192" s="89"/>
      <x:c r="N192" s="89"/>
      <x:c r="O192" s="89"/>
      <x:c r="P192" s="89"/>
      <x:c r="Q192" s="89"/>
      <x:c r="R192" s="89"/>
      <x:c r="S192" s="89"/>
      <x:c r="T192" s="89"/>
      <x:c r="U192" s="89"/>
      <x:c r="V192" s="89"/>
      <x:c r="W192" s="89"/>
      <x:c r="X192" s="89"/>
      <x:c r="Y192" s="89"/>
      <x:c r="Z192" s="89"/>
    </x:row>
    <x:row r="193">
      <x:c r="A193" s="89"/>
      <x:c r="B193" s="89"/>
      <x:c r="C193" s="89"/>
      <x:c r="D193" s="89"/>
      <x:c r="E193" s="89"/>
      <x:c r="F193" s="89"/>
      <x:c r="G193" s="89"/>
      <x:c r="H193" s="89"/>
      <x:c r="I193" s="89"/>
      <x:c r="J193" s="89"/>
      <x:c r="K193" s="89"/>
      <x:c r="L193" s="89"/>
      <x:c r="M193" s="89"/>
      <x:c r="N193" s="89"/>
      <x:c r="O193" s="89"/>
      <x:c r="P193" s="89"/>
      <x:c r="Q193" s="89"/>
      <x:c r="R193" s="89"/>
      <x:c r="S193" s="89"/>
      <x:c r="T193" s="89"/>
      <x:c r="U193" s="89"/>
      <x:c r="V193" s="89"/>
      <x:c r="W193" s="89"/>
      <x:c r="X193" s="89"/>
      <x:c r="Y193" s="89"/>
      <x:c r="Z193" s="89"/>
    </x:row>
    <x:row r="194">
      <x:c r="A194" s="89"/>
      <x:c r="B194" s="89"/>
      <x:c r="C194" s="89"/>
      <x:c r="D194" s="89"/>
      <x:c r="E194" s="89"/>
      <x:c r="F194" s="89"/>
      <x:c r="G194" s="89"/>
      <x:c r="H194" s="89"/>
      <x:c r="I194" s="89"/>
      <x:c r="J194" s="89"/>
      <x:c r="K194" s="89"/>
      <x:c r="L194" s="89"/>
      <x:c r="M194" s="89"/>
      <x:c r="N194" s="89"/>
      <x:c r="O194" s="89"/>
      <x:c r="P194" s="89"/>
      <x:c r="Q194" s="89"/>
      <x:c r="R194" s="89"/>
      <x:c r="S194" s="89"/>
      <x:c r="T194" s="89"/>
      <x:c r="U194" s="89"/>
      <x:c r="V194" s="89"/>
      <x:c r="W194" s="89"/>
      <x:c r="X194" s="89"/>
      <x:c r="Y194" s="89"/>
      <x:c r="Z194" s="89"/>
    </x:row>
    <x:row r="195">
      <x:c r="A195" s="89"/>
      <x:c r="B195" s="89"/>
      <x:c r="C195" s="89"/>
      <x:c r="D195" s="89"/>
      <x:c r="E195" s="89"/>
      <x:c r="F195" s="89"/>
      <x:c r="G195" s="89"/>
      <x:c r="H195" s="89"/>
      <x:c r="I195" s="89"/>
      <x:c r="J195" s="89"/>
      <x:c r="K195" s="89"/>
      <x:c r="L195" s="89"/>
      <x:c r="M195" s="89"/>
      <x:c r="N195" s="89"/>
      <x:c r="O195" s="89"/>
      <x:c r="P195" s="89"/>
      <x:c r="Q195" s="89"/>
      <x:c r="R195" s="89"/>
      <x:c r="S195" s="89"/>
      <x:c r="T195" s="89"/>
      <x:c r="U195" s="89"/>
      <x:c r="V195" s="89"/>
      <x:c r="W195" s="89"/>
      <x:c r="X195" s="89"/>
      <x:c r="Y195" s="89"/>
      <x:c r="Z195" s="89"/>
    </x:row>
    <x:row r="196">
      <x:c r="A196" s="89"/>
      <x:c r="B196" s="89"/>
      <x:c r="C196" s="89"/>
      <x:c r="D196" s="89"/>
      <x:c r="E196" s="89"/>
      <x:c r="F196" s="89"/>
      <x:c r="G196" s="89"/>
      <x:c r="H196" s="89"/>
      <x:c r="I196" s="89"/>
      <x:c r="J196" s="89"/>
      <x:c r="K196" s="89"/>
      <x:c r="L196" s="89"/>
      <x:c r="M196" s="89"/>
      <x:c r="N196" s="89"/>
      <x:c r="O196" s="89"/>
      <x:c r="P196" s="89"/>
      <x:c r="Q196" s="89"/>
      <x:c r="R196" s="89"/>
      <x:c r="S196" s="89"/>
      <x:c r="T196" s="89"/>
      <x:c r="U196" s="89"/>
      <x:c r="V196" s="89"/>
      <x:c r="W196" s="89"/>
      <x:c r="X196" s="89"/>
      <x:c r="Y196" s="89"/>
      <x:c r="Z196" s="89"/>
    </x:row>
    <x:row r="197">
      <x:c r="A197" s="89"/>
      <x:c r="B197" s="89"/>
      <x:c r="C197" s="89"/>
      <x:c r="D197" s="89"/>
      <x:c r="E197" s="89"/>
      <x:c r="F197" s="89"/>
      <x:c r="G197" s="89"/>
      <x:c r="H197" s="89"/>
      <x:c r="I197" s="89"/>
      <x:c r="J197" s="89"/>
      <x:c r="K197" s="89"/>
      <x:c r="L197" s="89"/>
      <x:c r="M197" s="89"/>
      <x:c r="N197" s="89"/>
      <x:c r="O197" s="89"/>
      <x:c r="P197" s="89"/>
      <x:c r="Q197" s="89"/>
      <x:c r="R197" s="89"/>
      <x:c r="S197" s="89"/>
      <x:c r="T197" s="89"/>
      <x:c r="U197" s="89"/>
      <x:c r="V197" s="89"/>
      <x:c r="W197" s="89"/>
      <x:c r="X197" s="89"/>
      <x:c r="Y197" s="89"/>
      <x:c r="Z197" s="89"/>
    </x:row>
    <x:row r="198">
      <x:c r="A198" s="89"/>
      <x:c r="B198" s="89"/>
      <x:c r="C198" s="89"/>
      <x:c r="D198" s="89"/>
      <x:c r="E198" s="89"/>
      <x:c r="F198" s="89"/>
      <x:c r="G198" s="89"/>
      <x:c r="H198" s="89"/>
      <x:c r="I198" s="89"/>
      <x:c r="J198" s="89"/>
      <x:c r="K198" s="89"/>
      <x:c r="L198" s="89"/>
      <x:c r="M198" s="89"/>
      <x:c r="N198" s="89"/>
      <x:c r="O198" s="89"/>
      <x:c r="P198" s="89"/>
      <x:c r="Q198" s="89"/>
      <x:c r="R198" s="89"/>
      <x:c r="S198" s="89"/>
      <x:c r="T198" s="89"/>
      <x:c r="U198" s="89"/>
      <x:c r="V198" s="89"/>
      <x:c r="W198" s="89"/>
      <x:c r="X198" s="89"/>
      <x:c r="Y198" s="89"/>
      <x:c r="Z198" s="89"/>
    </x:row>
    <x:row r="199">
      <x:c r="A199" s="89"/>
      <x:c r="B199" s="89"/>
      <x:c r="C199" s="89"/>
      <x:c r="D199" s="89"/>
      <x:c r="E199" s="89"/>
      <x:c r="F199" s="89"/>
      <x:c r="G199" s="89"/>
      <x:c r="H199" s="89"/>
      <x:c r="I199" s="89"/>
      <x:c r="J199" s="89"/>
      <x:c r="K199" s="89"/>
      <x:c r="L199" s="89"/>
      <x:c r="M199" s="89"/>
      <x:c r="N199" s="89"/>
      <x:c r="O199" s="89"/>
      <x:c r="P199" s="89"/>
      <x:c r="Q199" s="89"/>
      <x:c r="R199" s="89"/>
      <x:c r="S199" s="89"/>
      <x:c r="T199" s="89"/>
      <x:c r="U199" s="89"/>
      <x:c r="V199" s="89"/>
      <x:c r="W199" s="89"/>
      <x:c r="X199" s="89"/>
      <x:c r="Y199" s="89"/>
      <x:c r="Z199" s="89"/>
    </x:row>
    <x:row r="200">
      <x:c r="A200" s="89"/>
      <x:c r="B200" s="89"/>
      <x:c r="C200" s="89"/>
      <x:c r="D200" s="89"/>
      <x:c r="E200" s="89"/>
      <x:c r="F200" s="89"/>
      <x:c r="G200" s="89"/>
      <x:c r="H200" s="89"/>
      <x:c r="I200" s="89"/>
      <x:c r="J200" s="89"/>
      <x:c r="K200" s="89"/>
      <x:c r="L200" s="89"/>
      <x:c r="M200" s="89"/>
      <x:c r="N200" s="89"/>
      <x:c r="O200" s="89"/>
      <x:c r="P200" s="89"/>
      <x:c r="Q200" s="89"/>
      <x:c r="R200" s="89"/>
      <x:c r="S200" s="89"/>
      <x:c r="T200" s="89"/>
      <x:c r="U200" s="89"/>
      <x:c r="V200" s="89"/>
      <x:c r="W200" s="89"/>
      <x:c r="X200" s="89"/>
      <x:c r="Y200" s="89"/>
      <x:c r="Z200" s="89"/>
    </x:row>
  </x:sheetData>
  <x:mergeCells>
    <x:mergeCell ref="A1:H1"/>
    <x:mergeCell ref="A2:H2"/>
    <x:mergeCell ref="D15:H15"/>
  </x:mergeCells>
  <x:conditionalFormatting sqref="B10:B10">
    <x:cfRule type="expression" dxfId="16" priority="1">
      <x:formula>$B10&gt;0</x:formula>
    </x:cfRule>
  </x:conditionalFormatting>
  <x:pageMargins left="0.7" right="0.7" top="0.75" bottom="0.75" header="0.3" footer="0.3"/>
  <x:drawing xmlns:r="http://schemas.openxmlformats.org/officeDocument/2006/relationships" r:id="R68e9f2d2b3b348b7"/>
</x:worksheet>
</file>